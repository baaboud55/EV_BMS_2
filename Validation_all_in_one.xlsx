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A9FAF98-0A52-42A8-8807-69760DB59B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rger Efficiency" sheetId="1" r:id="rId1"/>
    <sheet name="Charing Profile" sheetId="2" r:id="rId2"/>
    <sheet name="Voltage Reading Accuracy" sheetId="3" r:id="rId3"/>
    <sheet name="Current Reading Accuracy" sheetId="4" r:id="rId4"/>
  </sheets>
  <externalReferences>
    <externalReference r:id="rId5"/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T4" i="2"/>
  <c r="S5" i="2"/>
  <c r="S6" i="2"/>
  <c r="A525" i="2"/>
  <c r="H525" i="2" s="1"/>
  <c r="K524" i="2"/>
  <c r="H524" i="2"/>
  <c r="I524" i="2" s="1"/>
  <c r="M523" i="2"/>
  <c r="C523" i="2" s="1"/>
  <c r="H523" i="2"/>
  <c r="I523" i="2" s="1"/>
  <c r="M522" i="2"/>
  <c r="C522" i="2" s="1"/>
  <c r="H522" i="2"/>
  <c r="I522" i="2" s="1"/>
  <c r="M521" i="2"/>
  <c r="C521" i="2" s="1"/>
  <c r="H521" i="2"/>
  <c r="I521" i="2" s="1"/>
  <c r="M520" i="2"/>
  <c r="C520" i="2" s="1"/>
  <c r="H520" i="2"/>
  <c r="I520" i="2" s="1"/>
  <c r="M519" i="2"/>
  <c r="C519" i="2" s="1"/>
  <c r="H519" i="2"/>
  <c r="I519" i="2" s="1"/>
  <c r="M518" i="2"/>
  <c r="C518" i="2" s="1"/>
  <c r="H518" i="2"/>
  <c r="I518" i="2" s="1"/>
  <c r="M517" i="2"/>
  <c r="C517" i="2" s="1"/>
  <c r="H517" i="2"/>
  <c r="I517" i="2" s="1"/>
  <c r="M516" i="2"/>
  <c r="C516" i="2" s="1"/>
  <c r="H516" i="2"/>
  <c r="I516" i="2" s="1"/>
  <c r="M515" i="2"/>
  <c r="C515" i="2" s="1"/>
  <c r="H515" i="2"/>
  <c r="I515" i="2" s="1"/>
  <c r="M514" i="2"/>
  <c r="C514" i="2" s="1"/>
  <c r="H514" i="2"/>
  <c r="I514" i="2" s="1"/>
  <c r="M513" i="2"/>
  <c r="H513" i="2"/>
  <c r="I513" i="2" s="1"/>
  <c r="M512" i="2"/>
  <c r="C512" i="2" s="1"/>
  <c r="H512" i="2"/>
  <c r="I512" i="2" s="1"/>
  <c r="M511" i="2"/>
  <c r="H511" i="2"/>
  <c r="I511" i="2" s="1"/>
  <c r="M510" i="2"/>
  <c r="H510" i="2"/>
  <c r="I510" i="2" s="1"/>
  <c r="M509" i="2"/>
  <c r="H509" i="2"/>
  <c r="I509" i="2" s="1"/>
  <c r="M508" i="2"/>
  <c r="H508" i="2"/>
  <c r="I508" i="2" s="1"/>
  <c r="M507" i="2"/>
  <c r="H507" i="2"/>
  <c r="I507" i="2" s="1"/>
  <c r="M506" i="2"/>
  <c r="H506" i="2"/>
  <c r="I506" i="2" s="1"/>
  <c r="M505" i="2"/>
  <c r="H505" i="2"/>
  <c r="I505" i="2" s="1"/>
  <c r="M504" i="2"/>
  <c r="H504" i="2"/>
  <c r="I504" i="2" s="1"/>
  <c r="M503" i="2"/>
  <c r="H503" i="2"/>
  <c r="I503" i="2" s="1"/>
  <c r="M502" i="2"/>
  <c r="C502" i="2" s="1"/>
  <c r="H502" i="2"/>
  <c r="I502" i="2" s="1"/>
  <c r="M501" i="2"/>
  <c r="H501" i="2"/>
  <c r="I501" i="2" s="1"/>
  <c r="M500" i="2"/>
  <c r="C500" i="2" s="1"/>
  <c r="H500" i="2"/>
  <c r="I500" i="2" s="1"/>
  <c r="M499" i="2"/>
  <c r="H499" i="2"/>
  <c r="I499" i="2" s="1"/>
  <c r="M498" i="2"/>
  <c r="H498" i="2"/>
  <c r="I498" i="2" s="1"/>
  <c r="M497" i="2"/>
  <c r="H497" i="2"/>
  <c r="I497" i="2" s="1"/>
  <c r="M496" i="2"/>
  <c r="H496" i="2"/>
  <c r="I496" i="2" s="1"/>
  <c r="M495" i="2"/>
  <c r="C495" i="2" s="1"/>
  <c r="H495" i="2"/>
  <c r="I495" i="2" s="1"/>
  <c r="M494" i="2"/>
  <c r="H494" i="2"/>
  <c r="I494" i="2" s="1"/>
  <c r="M493" i="2"/>
  <c r="H493" i="2"/>
  <c r="I493" i="2" s="1"/>
  <c r="M492" i="2"/>
  <c r="H492" i="2"/>
  <c r="I492" i="2" s="1"/>
  <c r="M491" i="2"/>
  <c r="H491" i="2"/>
  <c r="I491" i="2" s="1"/>
  <c r="M490" i="2"/>
  <c r="C490" i="2" s="1"/>
  <c r="H490" i="2"/>
  <c r="I490" i="2" s="1"/>
  <c r="M489" i="2"/>
  <c r="H489" i="2"/>
  <c r="I489" i="2" s="1"/>
  <c r="M488" i="2"/>
  <c r="C488" i="2" s="1"/>
  <c r="H488" i="2"/>
  <c r="I488" i="2" s="1"/>
  <c r="M487" i="2"/>
  <c r="H487" i="2"/>
  <c r="I487" i="2" s="1"/>
  <c r="M486" i="2"/>
  <c r="H486" i="2"/>
  <c r="I486" i="2" s="1"/>
  <c r="M485" i="2"/>
  <c r="H485" i="2"/>
  <c r="I485" i="2" s="1"/>
  <c r="M484" i="2"/>
  <c r="H484" i="2"/>
  <c r="I484" i="2" s="1"/>
  <c r="M483" i="2"/>
  <c r="C483" i="2" s="1"/>
  <c r="H483" i="2"/>
  <c r="I483" i="2" s="1"/>
  <c r="M482" i="2"/>
  <c r="H482" i="2"/>
  <c r="I482" i="2" s="1"/>
  <c r="M481" i="2"/>
  <c r="H481" i="2"/>
  <c r="I481" i="2" s="1"/>
  <c r="M480" i="2"/>
  <c r="H480" i="2"/>
  <c r="I480" i="2" s="1"/>
  <c r="M479" i="2"/>
  <c r="H479" i="2"/>
  <c r="I479" i="2" s="1"/>
  <c r="M478" i="2"/>
  <c r="C478" i="2" s="1"/>
  <c r="H478" i="2"/>
  <c r="I478" i="2" s="1"/>
  <c r="M477" i="2"/>
  <c r="H477" i="2"/>
  <c r="I477" i="2" s="1"/>
  <c r="M476" i="2"/>
  <c r="C476" i="2" s="1"/>
  <c r="H476" i="2"/>
  <c r="I476" i="2" s="1"/>
  <c r="M475" i="2"/>
  <c r="H475" i="2"/>
  <c r="I475" i="2" s="1"/>
  <c r="M474" i="2"/>
  <c r="H474" i="2"/>
  <c r="I474" i="2" s="1"/>
  <c r="M473" i="2"/>
  <c r="H473" i="2"/>
  <c r="I473" i="2" s="1"/>
  <c r="M472" i="2"/>
  <c r="H472" i="2"/>
  <c r="I472" i="2" s="1"/>
  <c r="M471" i="2"/>
  <c r="C471" i="2" s="1"/>
  <c r="H471" i="2"/>
  <c r="I471" i="2" s="1"/>
  <c r="M470" i="2"/>
  <c r="H470" i="2"/>
  <c r="I470" i="2" s="1"/>
  <c r="M469" i="2"/>
  <c r="C469" i="2" s="1"/>
  <c r="H469" i="2"/>
  <c r="I469" i="2" s="1"/>
  <c r="M468" i="2"/>
  <c r="H468" i="2"/>
  <c r="I468" i="2" s="1"/>
  <c r="M467" i="2"/>
  <c r="H467" i="2"/>
  <c r="I467" i="2" s="1"/>
  <c r="M466" i="2"/>
  <c r="C466" i="2" s="1"/>
  <c r="H466" i="2"/>
  <c r="I466" i="2" s="1"/>
  <c r="M465" i="2"/>
  <c r="H465" i="2"/>
  <c r="I465" i="2" s="1"/>
  <c r="M464" i="2"/>
  <c r="C464" i="2" s="1"/>
  <c r="H464" i="2"/>
  <c r="I464" i="2" s="1"/>
  <c r="M463" i="2"/>
  <c r="H463" i="2"/>
  <c r="I463" i="2" s="1"/>
  <c r="M462" i="2"/>
  <c r="I462" i="2"/>
  <c r="H462" i="2"/>
  <c r="M461" i="2"/>
  <c r="I461" i="2"/>
  <c r="H461" i="2"/>
  <c r="M460" i="2"/>
  <c r="I460" i="2"/>
  <c r="H460" i="2"/>
  <c r="M459" i="2"/>
  <c r="H459" i="2"/>
  <c r="I459" i="2" s="1"/>
  <c r="M458" i="2"/>
  <c r="C458" i="2" s="1"/>
  <c r="I458" i="2"/>
  <c r="H458" i="2"/>
  <c r="M457" i="2"/>
  <c r="C457" i="2" s="1"/>
  <c r="H457" i="2"/>
  <c r="I457" i="2" s="1"/>
  <c r="M456" i="2"/>
  <c r="I456" i="2"/>
  <c r="H456" i="2"/>
  <c r="M455" i="2"/>
  <c r="I455" i="2"/>
  <c r="H455" i="2"/>
  <c r="M454" i="2"/>
  <c r="I454" i="2"/>
  <c r="H454" i="2"/>
  <c r="M453" i="2"/>
  <c r="H453" i="2"/>
  <c r="I453" i="2" s="1"/>
  <c r="M452" i="2"/>
  <c r="C452" i="2" s="1"/>
  <c r="I452" i="2"/>
  <c r="H452" i="2"/>
  <c r="M451" i="2"/>
  <c r="C451" i="2" s="1"/>
  <c r="H451" i="2"/>
  <c r="I451" i="2" s="1"/>
  <c r="M450" i="2"/>
  <c r="I450" i="2"/>
  <c r="H450" i="2"/>
  <c r="M449" i="2"/>
  <c r="I449" i="2"/>
  <c r="H449" i="2"/>
  <c r="M448" i="2"/>
  <c r="H448" i="2"/>
  <c r="I448" i="2" s="1"/>
  <c r="M447" i="2"/>
  <c r="H447" i="2"/>
  <c r="I447" i="2" s="1"/>
  <c r="M446" i="2"/>
  <c r="C446" i="2" s="1"/>
  <c r="I446" i="2"/>
  <c r="H446" i="2"/>
  <c r="M445" i="2"/>
  <c r="C445" i="2" s="1"/>
  <c r="H445" i="2"/>
  <c r="I445" i="2" s="1"/>
  <c r="M444" i="2"/>
  <c r="I444" i="2"/>
  <c r="H444" i="2"/>
  <c r="M443" i="2"/>
  <c r="I443" i="2"/>
  <c r="H443" i="2"/>
  <c r="M442" i="2"/>
  <c r="I442" i="2"/>
  <c r="H442" i="2"/>
  <c r="M441" i="2"/>
  <c r="H441" i="2"/>
  <c r="I441" i="2" s="1"/>
  <c r="M440" i="2"/>
  <c r="C440" i="2" s="1"/>
  <c r="I440" i="2"/>
  <c r="H440" i="2"/>
  <c r="M439" i="2"/>
  <c r="C439" i="2" s="1"/>
  <c r="H439" i="2"/>
  <c r="I439" i="2" s="1"/>
  <c r="M438" i="2"/>
  <c r="I438" i="2"/>
  <c r="H438" i="2"/>
  <c r="M437" i="2"/>
  <c r="I437" i="2"/>
  <c r="H437" i="2"/>
  <c r="M436" i="2"/>
  <c r="I436" i="2"/>
  <c r="H436" i="2"/>
  <c r="M435" i="2"/>
  <c r="H435" i="2"/>
  <c r="I435" i="2" s="1"/>
  <c r="M434" i="2"/>
  <c r="C434" i="2" s="1"/>
  <c r="I434" i="2"/>
  <c r="H434" i="2"/>
  <c r="M433" i="2"/>
  <c r="C433" i="2" s="1"/>
  <c r="H433" i="2"/>
  <c r="I433" i="2" s="1"/>
  <c r="M432" i="2"/>
  <c r="I432" i="2"/>
  <c r="H432" i="2"/>
  <c r="M431" i="2"/>
  <c r="H431" i="2"/>
  <c r="I431" i="2" s="1"/>
  <c r="M430" i="2"/>
  <c r="I430" i="2"/>
  <c r="H430" i="2"/>
  <c r="M429" i="2"/>
  <c r="C429" i="2" s="1"/>
  <c r="H429" i="2"/>
  <c r="I429" i="2" s="1"/>
  <c r="M428" i="2"/>
  <c r="C428" i="2" s="1"/>
  <c r="I428" i="2"/>
  <c r="H428" i="2"/>
  <c r="M427" i="2"/>
  <c r="C427" i="2" s="1"/>
  <c r="H427" i="2"/>
  <c r="I427" i="2" s="1"/>
  <c r="M426" i="2"/>
  <c r="I426" i="2"/>
  <c r="H426" i="2"/>
  <c r="M425" i="2"/>
  <c r="H425" i="2"/>
  <c r="I425" i="2" s="1"/>
  <c r="M424" i="2"/>
  <c r="I424" i="2"/>
  <c r="H424" i="2"/>
  <c r="M423" i="2"/>
  <c r="C423" i="2" s="1"/>
  <c r="H423" i="2"/>
  <c r="I423" i="2" s="1"/>
  <c r="M422" i="2"/>
  <c r="C422" i="2" s="1"/>
  <c r="I422" i="2"/>
  <c r="H422" i="2"/>
  <c r="M421" i="2"/>
  <c r="C421" i="2" s="1"/>
  <c r="H421" i="2"/>
  <c r="I421" i="2" s="1"/>
  <c r="M420" i="2"/>
  <c r="I420" i="2"/>
  <c r="H420" i="2"/>
  <c r="M419" i="2"/>
  <c r="I419" i="2"/>
  <c r="H419" i="2"/>
  <c r="M418" i="2"/>
  <c r="H418" i="2"/>
  <c r="I418" i="2" s="1"/>
  <c r="M417" i="2"/>
  <c r="C417" i="2" s="1"/>
  <c r="H417" i="2"/>
  <c r="I417" i="2" s="1"/>
  <c r="M416" i="2"/>
  <c r="C416" i="2" s="1"/>
  <c r="I416" i="2"/>
  <c r="H416" i="2"/>
  <c r="M415" i="2"/>
  <c r="C415" i="2" s="1"/>
  <c r="H415" i="2"/>
  <c r="I415" i="2" s="1"/>
  <c r="M414" i="2"/>
  <c r="I414" i="2"/>
  <c r="H414" i="2"/>
  <c r="M413" i="2"/>
  <c r="I413" i="2"/>
  <c r="H413" i="2"/>
  <c r="M412" i="2"/>
  <c r="H412" i="2"/>
  <c r="I412" i="2" s="1"/>
  <c r="M411" i="2"/>
  <c r="C411" i="2" s="1"/>
  <c r="H411" i="2"/>
  <c r="I411" i="2" s="1"/>
  <c r="M410" i="2"/>
  <c r="C410" i="2" s="1"/>
  <c r="I410" i="2"/>
  <c r="H410" i="2"/>
  <c r="M409" i="2"/>
  <c r="C409" i="2" s="1"/>
  <c r="H409" i="2"/>
  <c r="I409" i="2" s="1"/>
  <c r="M408" i="2"/>
  <c r="I408" i="2"/>
  <c r="H408" i="2"/>
  <c r="M407" i="2"/>
  <c r="I407" i="2"/>
  <c r="H407" i="2"/>
  <c r="M406" i="2"/>
  <c r="H406" i="2"/>
  <c r="I406" i="2" s="1"/>
  <c r="M405" i="2"/>
  <c r="C405" i="2" s="1"/>
  <c r="H405" i="2"/>
  <c r="I405" i="2" s="1"/>
  <c r="M404" i="2"/>
  <c r="C404" i="2" s="1"/>
  <c r="I404" i="2"/>
  <c r="H404" i="2"/>
  <c r="M403" i="2"/>
  <c r="C403" i="2" s="1"/>
  <c r="H403" i="2"/>
  <c r="I403" i="2" s="1"/>
  <c r="M402" i="2"/>
  <c r="I402" i="2"/>
  <c r="H402" i="2"/>
  <c r="M401" i="2"/>
  <c r="I401" i="2"/>
  <c r="H401" i="2"/>
  <c r="M400" i="2"/>
  <c r="H400" i="2"/>
  <c r="I400" i="2" s="1"/>
  <c r="M399" i="2"/>
  <c r="C399" i="2" s="1"/>
  <c r="H399" i="2"/>
  <c r="I399" i="2" s="1"/>
  <c r="M398" i="2"/>
  <c r="C398" i="2" s="1"/>
  <c r="I398" i="2"/>
  <c r="H398" i="2"/>
  <c r="M397" i="2"/>
  <c r="C397" i="2" s="1"/>
  <c r="H397" i="2"/>
  <c r="I397" i="2" s="1"/>
  <c r="M396" i="2"/>
  <c r="I396" i="2"/>
  <c r="H396" i="2"/>
  <c r="M395" i="2"/>
  <c r="I395" i="2"/>
  <c r="H395" i="2"/>
  <c r="M394" i="2"/>
  <c r="H394" i="2"/>
  <c r="I394" i="2" s="1"/>
  <c r="M393" i="2"/>
  <c r="C393" i="2" s="1"/>
  <c r="H393" i="2"/>
  <c r="I393" i="2" s="1"/>
  <c r="M392" i="2"/>
  <c r="C392" i="2" s="1"/>
  <c r="I392" i="2"/>
  <c r="H392" i="2"/>
  <c r="M391" i="2"/>
  <c r="C391" i="2" s="1"/>
  <c r="H391" i="2"/>
  <c r="I391" i="2" s="1"/>
  <c r="M390" i="2"/>
  <c r="I390" i="2"/>
  <c r="H390" i="2"/>
  <c r="M389" i="2"/>
  <c r="I389" i="2"/>
  <c r="H389" i="2"/>
  <c r="M388" i="2"/>
  <c r="H388" i="2"/>
  <c r="I388" i="2" s="1"/>
  <c r="M387" i="2"/>
  <c r="C387" i="2" s="1"/>
  <c r="H387" i="2"/>
  <c r="I387" i="2" s="1"/>
  <c r="M386" i="2"/>
  <c r="C386" i="2" s="1"/>
  <c r="I386" i="2"/>
  <c r="H386" i="2"/>
  <c r="M385" i="2"/>
  <c r="C385" i="2" s="1"/>
  <c r="H385" i="2"/>
  <c r="I385" i="2" s="1"/>
  <c r="M384" i="2"/>
  <c r="I384" i="2"/>
  <c r="H384" i="2"/>
  <c r="M383" i="2"/>
  <c r="I383" i="2"/>
  <c r="H383" i="2"/>
  <c r="M382" i="2"/>
  <c r="H382" i="2"/>
  <c r="I382" i="2" s="1"/>
  <c r="M381" i="2"/>
  <c r="C381" i="2" s="1"/>
  <c r="H381" i="2"/>
  <c r="I381" i="2" s="1"/>
  <c r="M380" i="2"/>
  <c r="C380" i="2" s="1"/>
  <c r="I380" i="2"/>
  <c r="H380" i="2"/>
  <c r="M379" i="2"/>
  <c r="C379" i="2" s="1"/>
  <c r="H379" i="2"/>
  <c r="I379" i="2" s="1"/>
  <c r="M378" i="2"/>
  <c r="I378" i="2"/>
  <c r="H378" i="2"/>
  <c r="M377" i="2"/>
  <c r="I377" i="2"/>
  <c r="H377" i="2"/>
  <c r="M376" i="2"/>
  <c r="H376" i="2"/>
  <c r="I376" i="2" s="1"/>
  <c r="M375" i="2"/>
  <c r="C375" i="2" s="1"/>
  <c r="H375" i="2"/>
  <c r="I375" i="2" s="1"/>
  <c r="M374" i="2"/>
  <c r="I374" i="2"/>
  <c r="H374" i="2"/>
  <c r="M373" i="2"/>
  <c r="C373" i="2" s="1"/>
  <c r="H373" i="2"/>
  <c r="I373" i="2" s="1"/>
  <c r="M372" i="2"/>
  <c r="I372" i="2"/>
  <c r="H372" i="2"/>
  <c r="M371" i="2"/>
  <c r="I371" i="2"/>
  <c r="H371" i="2"/>
  <c r="M370" i="2"/>
  <c r="H370" i="2"/>
  <c r="I370" i="2" s="1"/>
  <c r="M369" i="2"/>
  <c r="C369" i="2" s="1"/>
  <c r="H369" i="2"/>
  <c r="I369" i="2" s="1"/>
  <c r="M368" i="2"/>
  <c r="I368" i="2"/>
  <c r="H368" i="2"/>
  <c r="M367" i="2"/>
  <c r="C367" i="2" s="1"/>
  <c r="H367" i="2"/>
  <c r="I367" i="2" s="1"/>
  <c r="M366" i="2"/>
  <c r="I366" i="2"/>
  <c r="H366" i="2"/>
  <c r="M365" i="2"/>
  <c r="H365" i="2"/>
  <c r="I365" i="2" s="1"/>
  <c r="M364" i="2"/>
  <c r="H364" i="2"/>
  <c r="I364" i="2" s="1"/>
  <c r="M363" i="2"/>
  <c r="C363" i="2" s="1"/>
  <c r="H363" i="2"/>
  <c r="I363" i="2" s="1"/>
  <c r="M362" i="2"/>
  <c r="I362" i="2"/>
  <c r="H362" i="2"/>
  <c r="M361" i="2"/>
  <c r="C361" i="2" s="1"/>
  <c r="H361" i="2"/>
  <c r="I361" i="2" s="1"/>
  <c r="M360" i="2"/>
  <c r="I360" i="2"/>
  <c r="H360" i="2"/>
  <c r="M359" i="2"/>
  <c r="H359" i="2"/>
  <c r="I359" i="2" s="1"/>
  <c r="M358" i="2"/>
  <c r="H358" i="2"/>
  <c r="I358" i="2" s="1"/>
  <c r="C358" i="2"/>
  <c r="M357" i="2"/>
  <c r="H357" i="2"/>
  <c r="I357" i="2" s="1"/>
  <c r="C357" i="2"/>
  <c r="M356" i="2"/>
  <c r="I356" i="2"/>
  <c r="H356" i="2"/>
  <c r="M355" i="2"/>
  <c r="I355" i="2"/>
  <c r="H355" i="2"/>
  <c r="M354" i="2"/>
  <c r="H354" i="2"/>
  <c r="C354" i="2" s="1"/>
  <c r="M353" i="2"/>
  <c r="H353" i="2"/>
  <c r="I353" i="2" s="1"/>
  <c r="M352" i="2"/>
  <c r="H352" i="2"/>
  <c r="I352" i="2" s="1"/>
  <c r="M351" i="2"/>
  <c r="H351" i="2"/>
  <c r="I351" i="2" s="1"/>
  <c r="C351" i="2"/>
  <c r="M350" i="2"/>
  <c r="I350" i="2"/>
  <c r="H350" i="2"/>
  <c r="M349" i="2"/>
  <c r="I349" i="2"/>
  <c r="H349" i="2"/>
  <c r="C349" i="2" s="1"/>
  <c r="M348" i="2"/>
  <c r="I348" i="2"/>
  <c r="H348" i="2"/>
  <c r="M347" i="2"/>
  <c r="I347" i="2"/>
  <c r="H347" i="2"/>
  <c r="C347" i="2" s="1"/>
  <c r="M346" i="2"/>
  <c r="H346" i="2"/>
  <c r="I346" i="2" s="1"/>
  <c r="C346" i="2"/>
  <c r="M345" i="2"/>
  <c r="H345" i="2"/>
  <c r="I345" i="2" s="1"/>
  <c r="C345" i="2"/>
  <c r="M344" i="2"/>
  <c r="I344" i="2"/>
  <c r="H344" i="2"/>
  <c r="M343" i="2"/>
  <c r="I343" i="2"/>
  <c r="H343" i="2"/>
  <c r="M342" i="2"/>
  <c r="I342" i="2"/>
  <c r="H342" i="2"/>
  <c r="M341" i="2"/>
  <c r="H341" i="2"/>
  <c r="I341" i="2" s="1"/>
  <c r="C341" i="2"/>
  <c r="M340" i="2"/>
  <c r="H340" i="2"/>
  <c r="I340" i="2" s="1"/>
  <c r="C340" i="2"/>
  <c r="M339" i="2"/>
  <c r="H339" i="2"/>
  <c r="I339" i="2" s="1"/>
  <c r="C339" i="2"/>
  <c r="M338" i="2"/>
  <c r="I338" i="2"/>
  <c r="H338" i="2"/>
  <c r="M337" i="2"/>
  <c r="I337" i="2"/>
  <c r="H337" i="2"/>
  <c r="M336" i="2"/>
  <c r="H336" i="2"/>
  <c r="C336" i="2" s="1"/>
  <c r="M335" i="2"/>
  <c r="H335" i="2"/>
  <c r="I335" i="2" s="1"/>
  <c r="M334" i="2"/>
  <c r="H334" i="2"/>
  <c r="I334" i="2" s="1"/>
  <c r="M333" i="2"/>
  <c r="H333" i="2"/>
  <c r="I333" i="2" s="1"/>
  <c r="C333" i="2"/>
  <c r="M332" i="2"/>
  <c r="I332" i="2"/>
  <c r="H332" i="2"/>
  <c r="M331" i="2"/>
  <c r="I331" i="2"/>
  <c r="H331" i="2"/>
  <c r="C331" i="2" s="1"/>
  <c r="M330" i="2"/>
  <c r="I330" i="2"/>
  <c r="H330" i="2"/>
  <c r="M329" i="2"/>
  <c r="I329" i="2"/>
  <c r="H329" i="2"/>
  <c r="C329" i="2" s="1"/>
  <c r="M328" i="2"/>
  <c r="H328" i="2"/>
  <c r="I328" i="2" s="1"/>
  <c r="C328" i="2"/>
  <c r="M327" i="2"/>
  <c r="H327" i="2"/>
  <c r="I327" i="2" s="1"/>
  <c r="C327" i="2"/>
  <c r="M326" i="2"/>
  <c r="I326" i="2"/>
  <c r="H326" i="2"/>
  <c r="M325" i="2"/>
  <c r="I325" i="2"/>
  <c r="H325" i="2"/>
  <c r="M324" i="2"/>
  <c r="I324" i="2"/>
  <c r="H324" i="2"/>
  <c r="M323" i="2"/>
  <c r="H323" i="2"/>
  <c r="I323" i="2" s="1"/>
  <c r="C323" i="2"/>
  <c r="M322" i="2"/>
  <c r="H322" i="2"/>
  <c r="I322" i="2" s="1"/>
  <c r="C322" i="2"/>
  <c r="M321" i="2"/>
  <c r="H321" i="2"/>
  <c r="I321" i="2" s="1"/>
  <c r="C321" i="2"/>
  <c r="M320" i="2"/>
  <c r="I320" i="2"/>
  <c r="H320" i="2"/>
  <c r="M319" i="2"/>
  <c r="I319" i="2"/>
  <c r="H319" i="2"/>
  <c r="M318" i="2"/>
  <c r="H318" i="2"/>
  <c r="C318" i="2" s="1"/>
  <c r="M317" i="2"/>
  <c r="H317" i="2"/>
  <c r="I317" i="2" s="1"/>
  <c r="M316" i="2"/>
  <c r="H316" i="2"/>
  <c r="I316" i="2" s="1"/>
  <c r="M315" i="2"/>
  <c r="H315" i="2"/>
  <c r="I315" i="2" s="1"/>
  <c r="C315" i="2"/>
  <c r="M314" i="2"/>
  <c r="I314" i="2"/>
  <c r="H314" i="2"/>
  <c r="M313" i="2"/>
  <c r="H313" i="2"/>
  <c r="M312" i="2"/>
  <c r="I312" i="2"/>
  <c r="H312" i="2"/>
  <c r="C312" i="2"/>
  <c r="M311" i="2"/>
  <c r="I311" i="2"/>
  <c r="H311" i="2"/>
  <c r="M310" i="2"/>
  <c r="H310" i="2"/>
  <c r="I310" i="2" s="1"/>
  <c r="C310" i="2"/>
  <c r="M309" i="2"/>
  <c r="H309" i="2"/>
  <c r="I309" i="2" s="1"/>
  <c r="C309" i="2"/>
  <c r="M308" i="2"/>
  <c r="I308" i="2"/>
  <c r="H308" i="2"/>
  <c r="M307" i="2"/>
  <c r="H307" i="2"/>
  <c r="I307" i="2" s="1"/>
  <c r="M306" i="2"/>
  <c r="I306" i="2"/>
  <c r="H306" i="2"/>
  <c r="C306" i="2"/>
  <c r="M305" i="2"/>
  <c r="I305" i="2"/>
  <c r="H305" i="2"/>
  <c r="M304" i="2"/>
  <c r="H304" i="2"/>
  <c r="I304" i="2" s="1"/>
  <c r="C304" i="2"/>
  <c r="M303" i="2"/>
  <c r="H303" i="2"/>
  <c r="I303" i="2" s="1"/>
  <c r="C303" i="2"/>
  <c r="M302" i="2"/>
  <c r="I302" i="2"/>
  <c r="H302" i="2"/>
  <c r="M301" i="2"/>
  <c r="H301" i="2"/>
  <c r="I301" i="2" s="1"/>
  <c r="M300" i="2"/>
  <c r="I300" i="2"/>
  <c r="H300" i="2"/>
  <c r="C300" i="2"/>
  <c r="M299" i="2"/>
  <c r="I299" i="2"/>
  <c r="H299" i="2"/>
  <c r="M298" i="2"/>
  <c r="H298" i="2"/>
  <c r="I298" i="2" s="1"/>
  <c r="C298" i="2"/>
  <c r="M297" i="2"/>
  <c r="H297" i="2"/>
  <c r="I297" i="2" s="1"/>
  <c r="C297" i="2"/>
  <c r="M296" i="2"/>
  <c r="I296" i="2"/>
  <c r="H296" i="2"/>
  <c r="M295" i="2"/>
  <c r="H295" i="2"/>
  <c r="M294" i="2"/>
  <c r="I294" i="2"/>
  <c r="H294" i="2"/>
  <c r="C294" i="2"/>
  <c r="M293" i="2"/>
  <c r="I293" i="2"/>
  <c r="H293" i="2"/>
  <c r="M292" i="2"/>
  <c r="H292" i="2"/>
  <c r="I292" i="2" s="1"/>
  <c r="C292" i="2"/>
  <c r="M291" i="2"/>
  <c r="H291" i="2"/>
  <c r="I291" i="2" s="1"/>
  <c r="C291" i="2"/>
  <c r="M290" i="2"/>
  <c r="I290" i="2"/>
  <c r="H290" i="2"/>
  <c r="M289" i="2"/>
  <c r="H289" i="2"/>
  <c r="I289" i="2" s="1"/>
  <c r="M288" i="2"/>
  <c r="I288" i="2"/>
  <c r="H288" i="2"/>
  <c r="C288" i="2"/>
  <c r="M287" i="2"/>
  <c r="I287" i="2"/>
  <c r="H287" i="2"/>
  <c r="M286" i="2"/>
  <c r="H286" i="2"/>
  <c r="I286" i="2" s="1"/>
  <c r="C286" i="2"/>
  <c r="M285" i="2"/>
  <c r="H285" i="2"/>
  <c r="I285" i="2" s="1"/>
  <c r="C285" i="2"/>
  <c r="M284" i="2"/>
  <c r="I284" i="2"/>
  <c r="H284" i="2"/>
  <c r="M283" i="2"/>
  <c r="H283" i="2"/>
  <c r="M282" i="2"/>
  <c r="I282" i="2"/>
  <c r="H282" i="2"/>
  <c r="C282" i="2"/>
  <c r="M281" i="2"/>
  <c r="I281" i="2"/>
  <c r="H281" i="2"/>
  <c r="M280" i="2"/>
  <c r="H280" i="2"/>
  <c r="I280" i="2" s="1"/>
  <c r="C280" i="2"/>
  <c r="M279" i="2"/>
  <c r="H279" i="2"/>
  <c r="I279" i="2" s="1"/>
  <c r="C279" i="2"/>
  <c r="M278" i="2"/>
  <c r="I278" i="2"/>
  <c r="H278" i="2"/>
  <c r="M277" i="2"/>
  <c r="H277" i="2"/>
  <c r="I277" i="2" s="1"/>
  <c r="M276" i="2"/>
  <c r="I276" i="2"/>
  <c r="H276" i="2"/>
  <c r="C276" i="2"/>
  <c r="M275" i="2"/>
  <c r="I275" i="2"/>
  <c r="H275" i="2"/>
  <c r="M274" i="2"/>
  <c r="H274" i="2"/>
  <c r="I274" i="2" s="1"/>
  <c r="C274" i="2"/>
  <c r="M273" i="2"/>
  <c r="H273" i="2"/>
  <c r="I273" i="2" s="1"/>
  <c r="C273" i="2"/>
  <c r="M272" i="2"/>
  <c r="I272" i="2"/>
  <c r="H272" i="2"/>
  <c r="M271" i="2"/>
  <c r="H271" i="2"/>
  <c r="I271" i="2" s="1"/>
  <c r="M270" i="2"/>
  <c r="I270" i="2"/>
  <c r="H270" i="2"/>
  <c r="C270" i="2"/>
  <c r="M269" i="2"/>
  <c r="I269" i="2"/>
  <c r="H269" i="2"/>
  <c r="M268" i="2"/>
  <c r="H268" i="2"/>
  <c r="I268" i="2" s="1"/>
  <c r="C268" i="2"/>
  <c r="M267" i="2"/>
  <c r="H267" i="2"/>
  <c r="I267" i="2" s="1"/>
  <c r="C267" i="2"/>
  <c r="M266" i="2"/>
  <c r="I266" i="2"/>
  <c r="H266" i="2"/>
  <c r="M265" i="2"/>
  <c r="H265" i="2"/>
  <c r="I265" i="2" s="1"/>
  <c r="M264" i="2"/>
  <c r="I264" i="2"/>
  <c r="H264" i="2"/>
  <c r="C264" i="2"/>
  <c r="M263" i="2"/>
  <c r="I263" i="2"/>
  <c r="H263" i="2"/>
  <c r="M262" i="2"/>
  <c r="H262" i="2"/>
  <c r="I262" i="2" s="1"/>
  <c r="C262" i="2"/>
  <c r="M261" i="2"/>
  <c r="H261" i="2"/>
  <c r="I261" i="2" s="1"/>
  <c r="C261" i="2"/>
  <c r="M260" i="2"/>
  <c r="I260" i="2"/>
  <c r="H260" i="2"/>
  <c r="M259" i="2"/>
  <c r="H259" i="2"/>
  <c r="I259" i="2" s="1"/>
  <c r="M258" i="2"/>
  <c r="I258" i="2"/>
  <c r="H258" i="2"/>
  <c r="C258" i="2"/>
  <c r="M257" i="2"/>
  <c r="I257" i="2"/>
  <c r="H257" i="2"/>
  <c r="M256" i="2"/>
  <c r="H256" i="2"/>
  <c r="I256" i="2" s="1"/>
  <c r="C256" i="2"/>
  <c r="M255" i="2"/>
  <c r="H255" i="2"/>
  <c r="I255" i="2" s="1"/>
  <c r="C255" i="2"/>
  <c r="M254" i="2"/>
  <c r="I254" i="2"/>
  <c r="H254" i="2"/>
  <c r="M253" i="2"/>
  <c r="H253" i="2"/>
  <c r="I253" i="2" s="1"/>
  <c r="M252" i="2"/>
  <c r="I252" i="2"/>
  <c r="H252" i="2"/>
  <c r="C252" i="2"/>
  <c r="M251" i="2"/>
  <c r="I251" i="2"/>
  <c r="H251" i="2"/>
  <c r="M250" i="2"/>
  <c r="H250" i="2"/>
  <c r="I250" i="2" s="1"/>
  <c r="C250" i="2"/>
  <c r="M249" i="2"/>
  <c r="H249" i="2"/>
  <c r="I249" i="2" s="1"/>
  <c r="C249" i="2"/>
  <c r="M248" i="2"/>
  <c r="I248" i="2"/>
  <c r="H248" i="2"/>
  <c r="M247" i="2"/>
  <c r="H247" i="2"/>
  <c r="I247" i="2" s="1"/>
  <c r="M246" i="2"/>
  <c r="I246" i="2"/>
  <c r="H246" i="2"/>
  <c r="C246" i="2"/>
  <c r="M245" i="2"/>
  <c r="I245" i="2"/>
  <c r="H245" i="2"/>
  <c r="M244" i="2"/>
  <c r="H244" i="2"/>
  <c r="I244" i="2" s="1"/>
  <c r="C244" i="2"/>
  <c r="M243" i="2"/>
  <c r="H243" i="2"/>
  <c r="I243" i="2" s="1"/>
  <c r="C243" i="2"/>
  <c r="M242" i="2"/>
  <c r="I242" i="2"/>
  <c r="H242" i="2"/>
  <c r="M241" i="2"/>
  <c r="H241" i="2"/>
  <c r="I241" i="2" s="1"/>
  <c r="M240" i="2"/>
  <c r="I240" i="2"/>
  <c r="H240" i="2"/>
  <c r="C240" i="2"/>
  <c r="M239" i="2"/>
  <c r="I239" i="2"/>
  <c r="H239" i="2"/>
  <c r="M238" i="2"/>
  <c r="H238" i="2"/>
  <c r="I238" i="2" s="1"/>
  <c r="C238" i="2"/>
  <c r="M237" i="2"/>
  <c r="H237" i="2"/>
  <c r="I237" i="2" s="1"/>
  <c r="C237" i="2"/>
  <c r="M236" i="2"/>
  <c r="I236" i="2"/>
  <c r="H236" i="2"/>
  <c r="M235" i="2"/>
  <c r="H235" i="2"/>
  <c r="M234" i="2"/>
  <c r="I234" i="2"/>
  <c r="H234" i="2"/>
  <c r="C234" i="2"/>
  <c r="M233" i="2"/>
  <c r="I233" i="2"/>
  <c r="H233" i="2"/>
  <c r="M232" i="2"/>
  <c r="H232" i="2"/>
  <c r="I232" i="2" s="1"/>
  <c r="C232" i="2"/>
  <c r="M231" i="2"/>
  <c r="H231" i="2"/>
  <c r="I231" i="2" s="1"/>
  <c r="C231" i="2"/>
  <c r="M230" i="2"/>
  <c r="I230" i="2"/>
  <c r="H230" i="2"/>
  <c r="M229" i="2"/>
  <c r="H229" i="2"/>
  <c r="M228" i="2"/>
  <c r="I228" i="2"/>
  <c r="H228" i="2"/>
  <c r="C228" i="2"/>
  <c r="M227" i="2"/>
  <c r="I227" i="2"/>
  <c r="H227" i="2"/>
  <c r="M226" i="2"/>
  <c r="H226" i="2"/>
  <c r="I226" i="2" s="1"/>
  <c r="C226" i="2"/>
  <c r="M225" i="2"/>
  <c r="H225" i="2"/>
  <c r="I225" i="2" s="1"/>
  <c r="C225" i="2"/>
  <c r="M224" i="2"/>
  <c r="I224" i="2"/>
  <c r="H224" i="2"/>
  <c r="M223" i="2"/>
  <c r="H223" i="2"/>
  <c r="I223" i="2" s="1"/>
  <c r="M222" i="2"/>
  <c r="I222" i="2"/>
  <c r="H222" i="2"/>
  <c r="C222" i="2"/>
  <c r="M221" i="2"/>
  <c r="I221" i="2"/>
  <c r="H221" i="2"/>
  <c r="M220" i="2"/>
  <c r="H220" i="2"/>
  <c r="I220" i="2" s="1"/>
  <c r="C220" i="2"/>
  <c r="M219" i="2"/>
  <c r="H219" i="2"/>
  <c r="I219" i="2" s="1"/>
  <c r="C219" i="2"/>
  <c r="M218" i="2"/>
  <c r="I218" i="2"/>
  <c r="H218" i="2"/>
  <c r="M217" i="2"/>
  <c r="H217" i="2"/>
  <c r="I217" i="2" s="1"/>
  <c r="M216" i="2"/>
  <c r="I216" i="2"/>
  <c r="H216" i="2"/>
  <c r="C216" i="2"/>
  <c r="M215" i="2"/>
  <c r="I215" i="2"/>
  <c r="H215" i="2"/>
  <c r="M214" i="2"/>
  <c r="H214" i="2"/>
  <c r="I214" i="2" s="1"/>
  <c r="C214" i="2"/>
  <c r="M213" i="2"/>
  <c r="H213" i="2"/>
  <c r="I213" i="2" s="1"/>
  <c r="C213" i="2"/>
  <c r="M212" i="2"/>
  <c r="I212" i="2"/>
  <c r="H212" i="2"/>
  <c r="M211" i="2"/>
  <c r="H211" i="2"/>
  <c r="M210" i="2"/>
  <c r="I210" i="2"/>
  <c r="H210" i="2"/>
  <c r="C210" i="2"/>
  <c r="M209" i="2"/>
  <c r="I209" i="2"/>
  <c r="H209" i="2"/>
  <c r="M208" i="2"/>
  <c r="H208" i="2"/>
  <c r="I208" i="2" s="1"/>
  <c r="C208" i="2"/>
  <c r="M207" i="2"/>
  <c r="H207" i="2"/>
  <c r="I207" i="2" s="1"/>
  <c r="C207" i="2"/>
  <c r="M206" i="2"/>
  <c r="I206" i="2"/>
  <c r="H206" i="2"/>
  <c r="M205" i="2"/>
  <c r="H205" i="2"/>
  <c r="I205" i="2" s="1"/>
  <c r="M204" i="2"/>
  <c r="I204" i="2"/>
  <c r="H204" i="2"/>
  <c r="C204" i="2"/>
  <c r="M203" i="2"/>
  <c r="I203" i="2"/>
  <c r="H203" i="2"/>
  <c r="M202" i="2"/>
  <c r="H202" i="2"/>
  <c r="I202" i="2" s="1"/>
  <c r="C202" i="2"/>
  <c r="M201" i="2"/>
  <c r="H201" i="2"/>
  <c r="I201" i="2" s="1"/>
  <c r="C201" i="2"/>
  <c r="M200" i="2"/>
  <c r="I200" i="2"/>
  <c r="H200" i="2"/>
  <c r="M199" i="2"/>
  <c r="H199" i="2"/>
  <c r="M198" i="2"/>
  <c r="I198" i="2"/>
  <c r="H198" i="2"/>
  <c r="C198" i="2"/>
  <c r="M197" i="2"/>
  <c r="I197" i="2"/>
  <c r="H197" i="2"/>
  <c r="M196" i="2"/>
  <c r="H196" i="2"/>
  <c r="I196" i="2" s="1"/>
  <c r="C196" i="2"/>
  <c r="M195" i="2"/>
  <c r="H195" i="2"/>
  <c r="I195" i="2" s="1"/>
  <c r="C195" i="2"/>
  <c r="M194" i="2"/>
  <c r="I194" i="2"/>
  <c r="H194" i="2"/>
  <c r="M193" i="2"/>
  <c r="H193" i="2"/>
  <c r="M192" i="2"/>
  <c r="I192" i="2"/>
  <c r="H192" i="2"/>
  <c r="C192" i="2"/>
  <c r="M191" i="2"/>
  <c r="I191" i="2"/>
  <c r="H191" i="2"/>
  <c r="M190" i="2"/>
  <c r="H190" i="2"/>
  <c r="I190" i="2" s="1"/>
  <c r="C190" i="2"/>
  <c r="M189" i="2"/>
  <c r="H189" i="2"/>
  <c r="I189" i="2" s="1"/>
  <c r="C189" i="2"/>
  <c r="M188" i="2"/>
  <c r="I188" i="2"/>
  <c r="H188" i="2"/>
  <c r="M187" i="2"/>
  <c r="H187" i="2"/>
  <c r="I187" i="2" s="1"/>
  <c r="M186" i="2"/>
  <c r="I186" i="2"/>
  <c r="H186" i="2"/>
  <c r="C186" i="2"/>
  <c r="M185" i="2"/>
  <c r="I185" i="2"/>
  <c r="H185" i="2"/>
  <c r="M184" i="2"/>
  <c r="H184" i="2"/>
  <c r="I184" i="2" s="1"/>
  <c r="C184" i="2"/>
  <c r="M183" i="2"/>
  <c r="H183" i="2"/>
  <c r="I183" i="2" s="1"/>
  <c r="C183" i="2"/>
  <c r="M182" i="2"/>
  <c r="I182" i="2"/>
  <c r="H182" i="2"/>
  <c r="M181" i="2"/>
  <c r="H181" i="2"/>
  <c r="M180" i="2"/>
  <c r="I180" i="2"/>
  <c r="H180" i="2"/>
  <c r="C180" i="2"/>
  <c r="M179" i="2"/>
  <c r="I179" i="2"/>
  <c r="H179" i="2"/>
  <c r="M178" i="2"/>
  <c r="H178" i="2"/>
  <c r="I178" i="2" s="1"/>
  <c r="C178" i="2"/>
  <c r="M177" i="2"/>
  <c r="H177" i="2"/>
  <c r="I177" i="2" s="1"/>
  <c r="C177" i="2"/>
  <c r="M176" i="2"/>
  <c r="I176" i="2"/>
  <c r="H176" i="2"/>
  <c r="M175" i="2"/>
  <c r="H175" i="2"/>
  <c r="M174" i="2"/>
  <c r="I174" i="2"/>
  <c r="H174" i="2"/>
  <c r="C174" i="2"/>
  <c r="M173" i="2"/>
  <c r="I173" i="2"/>
  <c r="H173" i="2"/>
  <c r="M172" i="2"/>
  <c r="H172" i="2"/>
  <c r="C172" i="2" s="1"/>
  <c r="M171" i="2"/>
  <c r="H171" i="2"/>
  <c r="I171" i="2" s="1"/>
  <c r="C171" i="2"/>
  <c r="M170" i="2"/>
  <c r="I170" i="2"/>
  <c r="H170" i="2"/>
  <c r="M169" i="2"/>
  <c r="I169" i="2"/>
  <c r="H169" i="2"/>
  <c r="C170" i="2" s="1"/>
  <c r="M168" i="2"/>
  <c r="H168" i="2"/>
  <c r="C168" i="2" s="1"/>
  <c r="M167" i="2"/>
  <c r="H167" i="2"/>
  <c r="I167" i="2" s="1"/>
  <c r="C167" i="2"/>
  <c r="M166" i="2"/>
  <c r="H166" i="2"/>
  <c r="I166" i="2" s="1"/>
  <c r="M165" i="2"/>
  <c r="H165" i="2"/>
  <c r="I165" i="2" s="1"/>
  <c r="M164" i="2"/>
  <c r="I164" i="2"/>
  <c r="H164" i="2"/>
  <c r="M163" i="2"/>
  <c r="H163" i="2"/>
  <c r="C163" i="2" s="1"/>
  <c r="M162" i="2"/>
  <c r="H162" i="2"/>
  <c r="I162" i="2" s="1"/>
  <c r="M161" i="2"/>
  <c r="I161" i="2"/>
  <c r="H161" i="2"/>
  <c r="M160" i="2"/>
  <c r="H160" i="2"/>
  <c r="C160" i="2" s="1"/>
  <c r="M159" i="2"/>
  <c r="H159" i="2"/>
  <c r="I159" i="2" s="1"/>
  <c r="C159" i="2"/>
  <c r="M158" i="2"/>
  <c r="I158" i="2"/>
  <c r="H158" i="2"/>
  <c r="M157" i="2"/>
  <c r="I157" i="2"/>
  <c r="H157" i="2"/>
  <c r="C158" i="2" s="1"/>
  <c r="M156" i="2"/>
  <c r="H156" i="2"/>
  <c r="C156" i="2" s="1"/>
  <c r="M155" i="2"/>
  <c r="H155" i="2"/>
  <c r="I155" i="2" s="1"/>
  <c r="C155" i="2"/>
  <c r="M154" i="2"/>
  <c r="H154" i="2"/>
  <c r="I154" i="2" s="1"/>
  <c r="M153" i="2"/>
  <c r="H153" i="2"/>
  <c r="I153" i="2" s="1"/>
  <c r="M152" i="2"/>
  <c r="I152" i="2"/>
  <c r="H152" i="2"/>
  <c r="C152" i="2"/>
  <c r="M151" i="2"/>
  <c r="H151" i="2"/>
  <c r="C151" i="2" s="1"/>
  <c r="M150" i="2"/>
  <c r="H150" i="2"/>
  <c r="I150" i="2" s="1"/>
  <c r="M149" i="2"/>
  <c r="I149" i="2"/>
  <c r="H149" i="2"/>
  <c r="M148" i="2"/>
  <c r="H148" i="2"/>
  <c r="C148" i="2" s="1"/>
  <c r="M147" i="2"/>
  <c r="H147" i="2"/>
  <c r="I147" i="2" s="1"/>
  <c r="C147" i="2"/>
  <c r="M146" i="2"/>
  <c r="I146" i="2"/>
  <c r="H146" i="2"/>
  <c r="M145" i="2"/>
  <c r="I145" i="2"/>
  <c r="H145" i="2"/>
  <c r="C146" i="2" s="1"/>
  <c r="M144" i="2"/>
  <c r="H144" i="2"/>
  <c r="C144" i="2" s="1"/>
  <c r="M143" i="2"/>
  <c r="H143" i="2"/>
  <c r="I143" i="2" s="1"/>
  <c r="C143" i="2"/>
  <c r="M142" i="2"/>
  <c r="H142" i="2"/>
  <c r="I142" i="2" s="1"/>
  <c r="M141" i="2"/>
  <c r="H141" i="2"/>
  <c r="I141" i="2" s="1"/>
  <c r="M140" i="2"/>
  <c r="I140" i="2"/>
  <c r="H140" i="2"/>
  <c r="C140" i="2"/>
  <c r="M139" i="2"/>
  <c r="H139" i="2"/>
  <c r="C139" i="2" s="1"/>
  <c r="M138" i="2"/>
  <c r="H138" i="2"/>
  <c r="I138" i="2" s="1"/>
  <c r="M137" i="2"/>
  <c r="I137" i="2"/>
  <c r="H137" i="2"/>
  <c r="M136" i="2"/>
  <c r="H136" i="2"/>
  <c r="C136" i="2" s="1"/>
  <c r="M135" i="2"/>
  <c r="H135" i="2"/>
  <c r="I135" i="2" s="1"/>
  <c r="C135" i="2"/>
  <c r="M134" i="2"/>
  <c r="I134" i="2"/>
  <c r="H134" i="2"/>
  <c r="M133" i="2"/>
  <c r="I133" i="2"/>
  <c r="H133" i="2"/>
  <c r="C134" i="2" s="1"/>
  <c r="M132" i="2"/>
  <c r="H132" i="2"/>
  <c r="C132" i="2" s="1"/>
  <c r="M131" i="2"/>
  <c r="H131" i="2"/>
  <c r="I131" i="2" s="1"/>
  <c r="C131" i="2"/>
  <c r="M130" i="2"/>
  <c r="H130" i="2"/>
  <c r="I130" i="2" s="1"/>
  <c r="M129" i="2"/>
  <c r="H129" i="2"/>
  <c r="I129" i="2" s="1"/>
  <c r="M128" i="2"/>
  <c r="I128" i="2"/>
  <c r="H128" i="2"/>
  <c r="C128" i="2"/>
  <c r="M127" i="2"/>
  <c r="H127" i="2"/>
  <c r="C127" i="2" s="1"/>
  <c r="M126" i="2"/>
  <c r="H126" i="2"/>
  <c r="I126" i="2" s="1"/>
  <c r="M125" i="2"/>
  <c r="I125" i="2"/>
  <c r="H125" i="2"/>
  <c r="M124" i="2"/>
  <c r="H124" i="2"/>
  <c r="C124" i="2" s="1"/>
  <c r="M123" i="2"/>
  <c r="H123" i="2"/>
  <c r="I123" i="2" s="1"/>
  <c r="C123" i="2"/>
  <c r="M122" i="2"/>
  <c r="I122" i="2"/>
  <c r="H122" i="2"/>
  <c r="M121" i="2"/>
  <c r="I121" i="2"/>
  <c r="H121" i="2"/>
  <c r="C122" i="2" s="1"/>
  <c r="M120" i="2"/>
  <c r="H120" i="2"/>
  <c r="C120" i="2" s="1"/>
  <c r="M119" i="2"/>
  <c r="H119" i="2"/>
  <c r="I119" i="2" s="1"/>
  <c r="C119" i="2"/>
  <c r="M118" i="2"/>
  <c r="I118" i="2"/>
  <c r="H118" i="2"/>
  <c r="C118" i="2"/>
  <c r="M117" i="2"/>
  <c r="C117" i="2" s="1"/>
  <c r="H117" i="2"/>
  <c r="I117" i="2" s="1"/>
  <c r="M116" i="2"/>
  <c r="C116" i="2" s="1"/>
  <c r="I116" i="2"/>
  <c r="H116" i="2"/>
  <c r="M115" i="2"/>
  <c r="I115" i="2"/>
  <c r="H115" i="2"/>
  <c r="C115" i="2" s="1"/>
  <c r="M114" i="2"/>
  <c r="H114" i="2"/>
  <c r="C114" i="2" s="1"/>
  <c r="M113" i="2"/>
  <c r="H113" i="2"/>
  <c r="I113" i="2" s="1"/>
  <c r="C113" i="2"/>
  <c r="M112" i="2"/>
  <c r="C112" i="2" s="1"/>
  <c r="I112" i="2"/>
  <c r="H112" i="2"/>
  <c r="M111" i="2"/>
  <c r="C111" i="2" s="1"/>
  <c r="H111" i="2"/>
  <c r="I111" i="2" s="1"/>
  <c r="M110" i="2"/>
  <c r="C110" i="2" s="1"/>
  <c r="I110" i="2"/>
  <c r="H110" i="2"/>
  <c r="M109" i="2"/>
  <c r="I109" i="2"/>
  <c r="H109" i="2"/>
  <c r="C109" i="2"/>
  <c r="M108" i="2"/>
  <c r="I108" i="2"/>
  <c r="H108" i="2"/>
  <c r="C108" i="2"/>
  <c r="M107" i="2"/>
  <c r="I107" i="2"/>
  <c r="H107" i="2"/>
  <c r="C107" i="2"/>
  <c r="M106" i="2"/>
  <c r="I106" i="2"/>
  <c r="H106" i="2"/>
  <c r="C106" i="2"/>
  <c r="M105" i="2"/>
  <c r="I105" i="2"/>
  <c r="H105" i="2"/>
  <c r="C105" i="2"/>
  <c r="M104" i="2"/>
  <c r="I104" i="2"/>
  <c r="H104" i="2"/>
  <c r="C104" i="2"/>
  <c r="M103" i="2"/>
  <c r="I103" i="2"/>
  <c r="H103" i="2"/>
  <c r="C103" i="2"/>
  <c r="M102" i="2"/>
  <c r="I102" i="2"/>
  <c r="H102" i="2"/>
  <c r="C102" i="2"/>
  <c r="M101" i="2"/>
  <c r="I101" i="2"/>
  <c r="H101" i="2"/>
  <c r="C101" i="2"/>
  <c r="M100" i="2"/>
  <c r="I100" i="2"/>
  <c r="H100" i="2"/>
  <c r="C100" i="2"/>
  <c r="M99" i="2"/>
  <c r="I99" i="2"/>
  <c r="H99" i="2"/>
  <c r="C99" i="2"/>
  <c r="M98" i="2"/>
  <c r="I98" i="2"/>
  <c r="H98" i="2"/>
  <c r="C98" i="2"/>
  <c r="M97" i="2"/>
  <c r="I97" i="2"/>
  <c r="H97" i="2"/>
  <c r="C97" i="2"/>
  <c r="M96" i="2"/>
  <c r="I96" i="2"/>
  <c r="H96" i="2"/>
  <c r="C96" i="2"/>
  <c r="M95" i="2"/>
  <c r="I95" i="2"/>
  <c r="H95" i="2"/>
  <c r="C95" i="2"/>
  <c r="M94" i="2"/>
  <c r="I94" i="2"/>
  <c r="H94" i="2"/>
  <c r="C94" i="2"/>
  <c r="M93" i="2"/>
  <c r="I93" i="2"/>
  <c r="H93" i="2"/>
  <c r="C93" i="2"/>
  <c r="M92" i="2"/>
  <c r="I92" i="2"/>
  <c r="H92" i="2"/>
  <c r="C92" i="2"/>
  <c r="M91" i="2"/>
  <c r="I91" i="2"/>
  <c r="H91" i="2"/>
  <c r="C91" i="2"/>
  <c r="M90" i="2"/>
  <c r="I90" i="2"/>
  <c r="H90" i="2"/>
  <c r="C90" i="2"/>
  <c r="M89" i="2"/>
  <c r="I89" i="2"/>
  <c r="H89" i="2"/>
  <c r="C89" i="2"/>
  <c r="M88" i="2"/>
  <c r="I88" i="2"/>
  <c r="H88" i="2"/>
  <c r="C88" i="2"/>
  <c r="M87" i="2"/>
  <c r="I87" i="2"/>
  <c r="H87" i="2"/>
  <c r="C87" i="2"/>
  <c r="M86" i="2"/>
  <c r="I86" i="2"/>
  <c r="H86" i="2"/>
  <c r="C86" i="2"/>
  <c r="M85" i="2"/>
  <c r="I85" i="2"/>
  <c r="H85" i="2"/>
  <c r="C85" i="2"/>
  <c r="M84" i="2"/>
  <c r="I84" i="2"/>
  <c r="H84" i="2"/>
  <c r="C84" i="2"/>
  <c r="M83" i="2"/>
  <c r="I83" i="2"/>
  <c r="H83" i="2"/>
  <c r="C83" i="2"/>
  <c r="M82" i="2"/>
  <c r="I82" i="2"/>
  <c r="H82" i="2"/>
  <c r="C82" i="2"/>
  <c r="M81" i="2"/>
  <c r="I81" i="2"/>
  <c r="H81" i="2"/>
  <c r="C81" i="2"/>
  <c r="M80" i="2"/>
  <c r="I80" i="2"/>
  <c r="H80" i="2"/>
  <c r="C80" i="2"/>
  <c r="M79" i="2"/>
  <c r="I79" i="2"/>
  <c r="H79" i="2"/>
  <c r="C79" i="2"/>
  <c r="M78" i="2"/>
  <c r="I78" i="2"/>
  <c r="H78" i="2"/>
  <c r="C78" i="2"/>
  <c r="M77" i="2"/>
  <c r="I77" i="2"/>
  <c r="H77" i="2"/>
  <c r="C77" i="2"/>
  <c r="M76" i="2"/>
  <c r="I76" i="2"/>
  <c r="H76" i="2"/>
  <c r="C76" i="2"/>
  <c r="M75" i="2"/>
  <c r="I75" i="2"/>
  <c r="H75" i="2"/>
  <c r="C75" i="2"/>
  <c r="M74" i="2"/>
  <c r="I74" i="2"/>
  <c r="H74" i="2"/>
  <c r="C74" i="2"/>
  <c r="M73" i="2"/>
  <c r="I73" i="2"/>
  <c r="H73" i="2"/>
  <c r="C73" i="2"/>
  <c r="M72" i="2"/>
  <c r="I72" i="2"/>
  <c r="H72" i="2"/>
  <c r="C72" i="2"/>
  <c r="M71" i="2"/>
  <c r="I71" i="2"/>
  <c r="H71" i="2"/>
  <c r="C71" i="2"/>
  <c r="M70" i="2"/>
  <c r="I70" i="2"/>
  <c r="H70" i="2"/>
  <c r="C70" i="2"/>
  <c r="M69" i="2"/>
  <c r="I69" i="2"/>
  <c r="H69" i="2"/>
  <c r="C69" i="2"/>
  <c r="M68" i="2"/>
  <c r="I68" i="2"/>
  <c r="H68" i="2"/>
  <c r="C68" i="2"/>
  <c r="M67" i="2"/>
  <c r="I67" i="2"/>
  <c r="H67" i="2"/>
  <c r="C67" i="2"/>
  <c r="M66" i="2"/>
  <c r="I66" i="2"/>
  <c r="H66" i="2"/>
  <c r="C66" i="2"/>
  <c r="M65" i="2"/>
  <c r="I65" i="2"/>
  <c r="H65" i="2"/>
  <c r="C65" i="2"/>
  <c r="M64" i="2"/>
  <c r="I64" i="2"/>
  <c r="H64" i="2"/>
  <c r="C64" i="2"/>
  <c r="M63" i="2"/>
  <c r="I63" i="2"/>
  <c r="H63" i="2"/>
  <c r="C63" i="2"/>
  <c r="M62" i="2"/>
  <c r="I62" i="2"/>
  <c r="H62" i="2"/>
  <c r="C62" i="2"/>
  <c r="M61" i="2"/>
  <c r="I61" i="2"/>
  <c r="H61" i="2"/>
  <c r="C61" i="2"/>
  <c r="M60" i="2"/>
  <c r="I60" i="2"/>
  <c r="H60" i="2"/>
  <c r="C60" i="2"/>
  <c r="M59" i="2"/>
  <c r="I59" i="2"/>
  <c r="H59" i="2"/>
  <c r="C59" i="2"/>
  <c r="M58" i="2"/>
  <c r="I58" i="2"/>
  <c r="H58" i="2"/>
  <c r="C58" i="2"/>
  <c r="M57" i="2"/>
  <c r="I57" i="2"/>
  <c r="H57" i="2"/>
  <c r="C57" i="2"/>
  <c r="M56" i="2"/>
  <c r="I56" i="2"/>
  <c r="H56" i="2"/>
  <c r="C56" i="2"/>
  <c r="M55" i="2"/>
  <c r="I55" i="2"/>
  <c r="H55" i="2"/>
  <c r="C55" i="2"/>
  <c r="M54" i="2"/>
  <c r="I54" i="2"/>
  <c r="H54" i="2"/>
  <c r="C54" i="2"/>
  <c r="M53" i="2"/>
  <c r="I53" i="2"/>
  <c r="H53" i="2"/>
  <c r="C53" i="2"/>
  <c r="M52" i="2"/>
  <c r="I52" i="2"/>
  <c r="H52" i="2"/>
  <c r="C52" i="2"/>
  <c r="M51" i="2"/>
  <c r="I51" i="2"/>
  <c r="H51" i="2"/>
  <c r="C51" i="2"/>
  <c r="M50" i="2"/>
  <c r="I50" i="2"/>
  <c r="H50" i="2"/>
  <c r="C50" i="2"/>
  <c r="M49" i="2"/>
  <c r="I49" i="2"/>
  <c r="H49" i="2"/>
  <c r="C49" i="2"/>
  <c r="M48" i="2"/>
  <c r="I48" i="2"/>
  <c r="H48" i="2"/>
  <c r="C48" i="2"/>
  <c r="M47" i="2"/>
  <c r="I47" i="2"/>
  <c r="H47" i="2"/>
  <c r="C47" i="2"/>
  <c r="M46" i="2"/>
  <c r="I46" i="2"/>
  <c r="H46" i="2"/>
  <c r="C46" i="2"/>
  <c r="M45" i="2"/>
  <c r="I45" i="2"/>
  <c r="H45" i="2"/>
  <c r="C45" i="2"/>
  <c r="M44" i="2"/>
  <c r="I44" i="2"/>
  <c r="H44" i="2"/>
  <c r="C44" i="2"/>
  <c r="M43" i="2"/>
  <c r="I43" i="2"/>
  <c r="H43" i="2"/>
  <c r="C43" i="2"/>
  <c r="M42" i="2"/>
  <c r="I42" i="2"/>
  <c r="H42" i="2"/>
  <c r="C42" i="2"/>
  <c r="M41" i="2"/>
  <c r="I41" i="2"/>
  <c r="H41" i="2"/>
  <c r="C41" i="2"/>
  <c r="M40" i="2"/>
  <c r="I40" i="2"/>
  <c r="H40" i="2"/>
  <c r="C40" i="2"/>
  <c r="M39" i="2"/>
  <c r="I39" i="2"/>
  <c r="H39" i="2"/>
  <c r="C39" i="2"/>
  <c r="M38" i="2"/>
  <c r="I38" i="2"/>
  <c r="H38" i="2"/>
  <c r="C38" i="2"/>
  <c r="M37" i="2"/>
  <c r="I37" i="2"/>
  <c r="H37" i="2"/>
  <c r="C37" i="2"/>
  <c r="M36" i="2"/>
  <c r="I36" i="2"/>
  <c r="H36" i="2"/>
  <c r="C36" i="2"/>
  <c r="M35" i="2"/>
  <c r="I35" i="2"/>
  <c r="H35" i="2"/>
  <c r="C35" i="2"/>
  <c r="M34" i="2"/>
  <c r="I34" i="2"/>
  <c r="H34" i="2"/>
  <c r="C34" i="2"/>
  <c r="M33" i="2"/>
  <c r="I33" i="2"/>
  <c r="H33" i="2"/>
  <c r="C33" i="2"/>
  <c r="M32" i="2"/>
  <c r="I32" i="2"/>
  <c r="H32" i="2"/>
  <c r="C32" i="2"/>
  <c r="M31" i="2"/>
  <c r="I31" i="2"/>
  <c r="H31" i="2"/>
  <c r="C31" i="2"/>
  <c r="M30" i="2"/>
  <c r="I30" i="2"/>
  <c r="H30" i="2"/>
  <c r="C30" i="2"/>
  <c r="M29" i="2"/>
  <c r="I29" i="2"/>
  <c r="H29" i="2"/>
  <c r="C29" i="2"/>
  <c r="M28" i="2"/>
  <c r="I28" i="2"/>
  <c r="H28" i="2"/>
  <c r="C28" i="2"/>
  <c r="M27" i="2"/>
  <c r="I27" i="2"/>
  <c r="H27" i="2"/>
  <c r="C27" i="2"/>
  <c r="M26" i="2"/>
  <c r="I26" i="2"/>
  <c r="H26" i="2"/>
  <c r="C26" i="2"/>
  <c r="M25" i="2"/>
  <c r="I25" i="2"/>
  <c r="H25" i="2"/>
  <c r="C25" i="2"/>
  <c r="M24" i="2"/>
  <c r="I24" i="2"/>
  <c r="H24" i="2"/>
  <c r="C24" i="2"/>
  <c r="M23" i="2"/>
  <c r="I23" i="2"/>
  <c r="H23" i="2"/>
  <c r="C23" i="2"/>
  <c r="M22" i="2"/>
  <c r="I22" i="2"/>
  <c r="H22" i="2"/>
  <c r="C22" i="2"/>
  <c r="M21" i="2"/>
  <c r="I21" i="2"/>
  <c r="H21" i="2"/>
  <c r="C21" i="2"/>
  <c r="M20" i="2"/>
  <c r="I20" i="2"/>
  <c r="H20" i="2"/>
  <c r="C20" i="2"/>
  <c r="M19" i="2"/>
  <c r="I19" i="2"/>
  <c r="H19" i="2"/>
  <c r="C19" i="2"/>
  <c r="M18" i="2"/>
  <c r="I18" i="2"/>
  <c r="H18" i="2"/>
  <c r="C18" i="2"/>
  <c r="M17" i="2"/>
  <c r="I17" i="2"/>
  <c r="H17" i="2"/>
  <c r="C17" i="2"/>
  <c r="M16" i="2"/>
  <c r="I16" i="2"/>
  <c r="H16" i="2"/>
  <c r="C16" i="2"/>
  <c r="M15" i="2"/>
  <c r="I15" i="2"/>
  <c r="H15" i="2"/>
  <c r="C15" i="2"/>
  <c r="I14" i="2"/>
  <c r="H14" i="2"/>
  <c r="B14" i="2"/>
  <c r="M14" i="2" s="1"/>
  <c r="C14" i="2" s="1"/>
  <c r="I13" i="2"/>
  <c r="L13" i="2"/>
  <c r="AI50" i="4"/>
  <c r="AF50" i="4"/>
  <c r="AI49" i="4"/>
  <c r="AF49" i="4"/>
  <c r="AI48" i="4"/>
  <c r="AF48" i="4"/>
  <c r="AI47" i="4"/>
  <c r="AF47" i="4"/>
  <c r="AI46" i="4"/>
  <c r="AF46" i="4"/>
  <c r="AI45" i="4"/>
  <c r="AF45" i="4"/>
  <c r="AI44" i="4"/>
  <c r="AF44" i="4"/>
  <c r="AI43" i="4"/>
  <c r="AF43" i="4"/>
  <c r="AI42" i="4"/>
  <c r="AF42" i="4"/>
  <c r="AI41" i="4"/>
  <c r="AF41" i="4"/>
  <c r="AI40" i="4"/>
  <c r="AF40" i="4"/>
  <c r="AI39" i="4"/>
  <c r="AF39" i="4"/>
  <c r="AI38" i="4"/>
  <c r="AF38" i="4"/>
  <c r="AI37" i="4"/>
  <c r="AF37" i="4"/>
  <c r="AI36" i="4"/>
  <c r="AF36" i="4"/>
  <c r="AI35" i="4"/>
  <c r="AF35" i="4"/>
  <c r="AI34" i="4"/>
  <c r="AF34" i="4"/>
  <c r="AI33" i="4"/>
  <c r="AF33" i="4"/>
  <c r="AI32" i="4"/>
  <c r="AF32" i="4"/>
  <c r="AI31" i="4"/>
  <c r="AF31" i="4"/>
  <c r="AI30" i="4"/>
  <c r="AF30" i="4"/>
  <c r="AI29" i="4"/>
  <c r="AF29" i="4"/>
  <c r="AI28" i="4"/>
  <c r="AF28" i="4"/>
  <c r="AI27" i="4"/>
  <c r="AF27" i="4"/>
  <c r="AI26" i="4"/>
  <c r="AF26" i="4"/>
  <c r="AI25" i="4"/>
  <c r="AF25" i="4"/>
  <c r="AI24" i="4"/>
  <c r="AF24" i="4"/>
  <c r="AI23" i="4"/>
  <c r="AF23" i="4"/>
  <c r="AI22" i="4"/>
  <c r="AF22" i="4"/>
  <c r="AI21" i="4"/>
  <c r="AF21" i="4"/>
  <c r="AI20" i="4"/>
  <c r="AF20" i="4"/>
  <c r="AI19" i="4"/>
  <c r="AF19" i="4"/>
  <c r="AI18" i="4"/>
  <c r="AF18" i="4"/>
  <c r="AI17" i="4"/>
  <c r="AF17" i="4"/>
  <c r="AI16" i="4"/>
  <c r="AF16" i="4"/>
  <c r="AI15" i="4"/>
  <c r="AF15" i="4"/>
  <c r="AI14" i="4"/>
  <c r="AF14" i="4"/>
  <c r="AI13" i="4"/>
  <c r="AF13" i="4"/>
  <c r="AH7" i="4"/>
  <c r="AH8" i="4" s="1"/>
  <c r="AH9" i="4" s="1"/>
  <c r="AH7" i="4" a="1"/>
  <c r="AH6" i="4" a="1"/>
  <c r="AH6" i="4" s="1"/>
  <c r="AH5" i="4"/>
  <c r="AH10" i="4" s="1"/>
  <c r="AH11" i="4" s="1"/>
  <c r="AH5" i="4" a="1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S13" i="3"/>
  <c r="R11" i="3"/>
  <c r="R12" i="3" s="1"/>
  <c r="L11" i="3"/>
  <c r="L12" i="3" s="1"/>
  <c r="Q10" i="3"/>
  <c r="L10" i="3"/>
  <c r="K10" i="3"/>
  <c r="Q9" i="3"/>
  <c r="P9" i="3"/>
  <c r="P10" i="3" s="1"/>
  <c r="L9" i="3"/>
  <c r="K9" i="3"/>
  <c r="J9" i="3"/>
  <c r="J10" i="3" s="1"/>
  <c r="R8" i="3"/>
  <c r="Q8" i="3"/>
  <c r="P8" i="3"/>
  <c r="O8" i="3"/>
  <c r="O9" i="3" s="1"/>
  <c r="O10" i="3" s="1"/>
  <c r="N8" i="3"/>
  <c r="N9" i="3" s="1"/>
  <c r="N10" i="3" s="1"/>
  <c r="M8" i="3"/>
  <c r="M9" i="3" s="1"/>
  <c r="L8" i="3"/>
  <c r="K8" i="3"/>
  <c r="J8" i="3"/>
  <c r="R7" i="3"/>
  <c r="Q7" i="3"/>
  <c r="Q11" i="3" s="1"/>
  <c r="Q12" i="3" s="1"/>
  <c r="P7" i="3"/>
  <c r="P11" i="3" s="1"/>
  <c r="P12" i="3" s="1"/>
  <c r="O7" i="3"/>
  <c r="O11" i="3" s="1"/>
  <c r="O12" i="3" s="1"/>
  <c r="N7" i="3"/>
  <c r="N11" i="3" s="1"/>
  <c r="N12" i="3" s="1"/>
  <c r="M7" i="3"/>
  <c r="L7" i="3"/>
  <c r="K7" i="3"/>
  <c r="K11" i="3" s="1"/>
  <c r="K12" i="3" s="1"/>
  <c r="J7" i="3"/>
  <c r="J11" i="3" s="1"/>
  <c r="R6" i="3"/>
  <c r="Q6" i="3"/>
  <c r="P6" i="3"/>
  <c r="O6" i="3"/>
  <c r="N6" i="3"/>
  <c r="M6" i="3"/>
  <c r="M11" i="3" s="1"/>
  <c r="M12" i="3" s="1"/>
  <c r="L6" i="3"/>
  <c r="K6" i="3"/>
  <c r="J6" i="3"/>
  <c r="R5" i="3"/>
  <c r="R9" i="3" s="1"/>
  <c r="R10" i="3" s="1"/>
  <c r="L14" i="2" l="1"/>
  <c r="C175" i="2"/>
  <c r="C176" i="2"/>
  <c r="C181" i="2"/>
  <c r="C182" i="2"/>
  <c r="C193" i="2"/>
  <c r="C194" i="2"/>
  <c r="C283" i="2"/>
  <c r="C284" i="2"/>
  <c r="C295" i="2"/>
  <c r="C296" i="2"/>
  <c r="C313" i="2"/>
  <c r="C314" i="2"/>
  <c r="I114" i="2"/>
  <c r="I124" i="2"/>
  <c r="I160" i="2"/>
  <c r="I283" i="2"/>
  <c r="I295" i="2"/>
  <c r="I313" i="2"/>
  <c r="I318" i="2"/>
  <c r="I336" i="2"/>
  <c r="I354" i="2"/>
  <c r="C435" i="2"/>
  <c r="C126" i="2"/>
  <c r="I127" i="2"/>
  <c r="C130" i="2"/>
  <c r="C138" i="2"/>
  <c r="I139" i="2"/>
  <c r="C142" i="2"/>
  <c r="C150" i="2"/>
  <c r="I151" i="2"/>
  <c r="C154" i="2"/>
  <c r="C162" i="2"/>
  <c r="I163" i="2"/>
  <c r="C166" i="2"/>
  <c r="C317" i="2"/>
  <c r="C325" i="2"/>
  <c r="C330" i="2"/>
  <c r="C335" i="2"/>
  <c r="C343" i="2"/>
  <c r="C348" i="2"/>
  <c r="C353" i="2"/>
  <c r="C199" i="2"/>
  <c r="C200" i="2"/>
  <c r="C205" i="2"/>
  <c r="C206" i="2"/>
  <c r="C211" i="2"/>
  <c r="C212" i="2"/>
  <c r="C217" i="2"/>
  <c r="C218" i="2"/>
  <c r="C223" i="2"/>
  <c r="C224" i="2"/>
  <c r="C229" i="2"/>
  <c r="C230" i="2"/>
  <c r="C235" i="2"/>
  <c r="C236" i="2"/>
  <c r="C265" i="2"/>
  <c r="C266" i="2"/>
  <c r="C271" i="2"/>
  <c r="C272" i="2"/>
  <c r="C277" i="2"/>
  <c r="C278" i="2"/>
  <c r="I120" i="2"/>
  <c r="I144" i="2"/>
  <c r="I148" i="2"/>
  <c r="I156" i="2"/>
  <c r="I181" i="2"/>
  <c r="I193" i="2"/>
  <c r="I199" i="2"/>
  <c r="I235" i="2"/>
  <c r="C125" i="2"/>
  <c r="C137" i="2"/>
  <c r="C173" i="2"/>
  <c r="C215" i="2"/>
  <c r="C221" i="2"/>
  <c r="C227" i="2"/>
  <c r="C233" i="2"/>
  <c r="C239" i="2"/>
  <c r="C245" i="2"/>
  <c r="C251" i="2"/>
  <c r="C257" i="2"/>
  <c r="C263" i="2"/>
  <c r="C269" i="2"/>
  <c r="C275" i="2"/>
  <c r="C281" i="2"/>
  <c r="C287" i="2"/>
  <c r="C293" i="2"/>
  <c r="C299" i="2"/>
  <c r="C305" i="2"/>
  <c r="C311" i="2"/>
  <c r="C187" i="2"/>
  <c r="C188" i="2"/>
  <c r="C241" i="2"/>
  <c r="C242" i="2"/>
  <c r="C247" i="2"/>
  <c r="C248" i="2"/>
  <c r="C253" i="2"/>
  <c r="C254" i="2"/>
  <c r="C259" i="2"/>
  <c r="C260" i="2"/>
  <c r="C289" i="2"/>
  <c r="C290" i="2"/>
  <c r="C301" i="2"/>
  <c r="C302" i="2"/>
  <c r="C307" i="2"/>
  <c r="C308" i="2"/>
  <c r="I132" i="2"/>
  <c r="I136" i="2"/>
  <c r="I168" i="2"/>
  <c r="I172" i="2"/>
  <c r="I175" i="2"/>
  <c r="I211" i="2"/>
  <c r="I229" i="2"/>
  <c r="C149" i="2"/>
  <c r="C161" i="2"/>
  <c r="C179" i="2"/>
  <c r="C185" i="2"/>
  <c r="C191" i="2"/>
  <c r="C197" i="2"/>
  <c r="C203" i="2"/>
  <c r="C209" i="2"/>
  <c r="C121" i="2"/>
  <c r="C129" i="2"/>
  <c r="C133" i="2"/>
  <c r="C141" i="2"/>
  <c r="C145" i="2"/>
  <c r="C153" i="2"/>
  <c r="C157" i="2"/>
  <c r="C165" i="2"/>
  <c r="C169" i="2"/>
  <c r="C319" i="2"/>
  <c r="C324" i="2"/>
  <c r="C337" i="2"/>
  <c r="C342" i="2"/>
  <c r="C355" i="2"/>
  <c r="C164" i="2"/>
  <c r="C316" i="2"/>
  <c r="C334" i="2"/>
  <c r="C352" i="2"/>
  <c r="C320" i="2"/>
  <c r="C326" i="2"/>
  <c r="C332" i="2"/>
  <c r="C338" i="2"/>
  <c r="C344" i="2"/>
  <c r="C350" i="2"/>
  <c r="C356" i="2"/>
  <c r="C359" i="2"/>
  <c r="C365" i="2"/>
  <c r="C371" i="2"/>
  <c r="C377" i="2"/>
  <c r="C383" i="2"/>
  <c r="C389" i="2"/>
  <c r="C395" i="2"/>
  <c r="C401" i="2"/>
  <c r="C407" i="2"/>
  <c r="C413" i="2"/>
  <c r="C419" i="2"/>
  <c r="C481" i="2"/>
  <c r="C362" i="2"/>
  <c r="C368" i="2"/>
  <c r="C374" i="2"/>
  <c r="C493" i="2"/>
  <c r="C360" i="2"/>
  <c r="C366" i="2"/>
  <c r="C372" i="2"/>
  <c r="C378" i="2"/>
  <c r="C384" i="2"/>
  <c r="C390" i="2"/>
  <c r="C396" i="2"/>
  <c r="C402" i="2"/>
  <c r="C408" i="2"/>
  <c r="C414" i="2"/>
  <c r="C420" i="2"/>
  <c r="C426" i="2"/>
  <c r="C432" i="2"/>
  <c r="C438" i="2"/>
  <c r="C444" i="2"/>
  <c r="C450" i="2"/>
  <c r="C456" i="2"/>
  <c r="C462" i="2"/>
  <c r="C467" i="2"/>
  <c r="C474" i="2"/>
  <c r="C479" i="2"/>
  <c r="C486" i="2"/>
  <c r="C491" i="2"/>
  <c r="C498" i="2"/>
  <c r="C503" i="2"/>
  <c r="C510" i="2"/>
  <c r="I525" i="2"/>
  <c r="C525" i="2"/>
  <c r="C425" i="2"/>
  <c r="C431" i="2"/>
  <c r="C437" i="2"/>
  <c r="C443" i="2"/>
  <c r="C449" i="2"/>
  <c r="C455" i="2"/>
  <c r="C461" i="2"/>
  <c r="C465" i="2"/>
  <c r="C472" i="2"/>
  <c r="C477" i="2"/>
  <c r="C484" i="2"/>
  <c r="C489" i="2"/>
  <c r="C496" i="2"/>
  <c r="C501" i="2"/>
  <c r="C508" i="2"/>
  <c r="C364" i="2"/>
  <c r="C370" i="2"/>
  <c r="C376" i="2"/>
  <c r="C382" i="2"/>
  <c r="C388" i="2"/>
  <c r="C394" i="2"/>
  <c r="C400" i="2"/>
  <c r="C406" i="2"/>
  <c r="C412" i="2"/>
  <c r="C418" i="2"/>
  <c r="C424" i="2"/>
  <c r="C430" i="2"/>
  <c r="C436" i="2"/>
  <c r="C442" i="2"/>
  <c r="C448" i="2"/>
  <c r="C454" i="2"/>
  <c r="C460" i="2"/>
  <c r="C463" i="2"/>
  <c r="C470" i="2"/>
  <c r="C475" i="2"/>
  <c r="C482" i="2"/>
  <c r="C487" i="2"/>
  <c r="C494" i="2"/>
  <c r="C499" i="2"/>
  <c r="C506" i="2"/>
  <c r="C441" i="2"/>
  <c r="C447" i="2"/>
  <c r="C453" i="2"/>
  <c r="C459" i="2"/>
  <c r="C468" i="2"/>
  <c r="C473" i="2"/>
  <c r="C480" i="2"/>
  <c r="C485" i="2"/>
  <c r="C492" i="2"/>
  <c r="C497" i="2"/>
  <c r="C504" i="2"/>
  <c r="C505" i="2"/>
  <c r="C507" i="2"/>
  <c r="C509" i="2"/>
  <c r="C511" i="2"/>
  <c r="C513" i="2"/>
  <c r="C524" i="2"/>
  <c r="A526" i="2"/>
  <c r="J12" i="3"/>
  <c r="S12" i="3" s="1" a="1"/>
  <c r="S12" i="3" s="1"/>
  <c r="S11" i="3" a="1"/>
  <c r="S11" i="3" s="1"/>
  <c r="M10" i="3"/>
  <c r="S10" i="3" s="1" a="1"/>
  <c r="S10" i="3" s="1"/>
  <c r="S9" i="3" a="1"/>
  <c r="S9" i="3" s="1"/>
  <c r="D156" i="1"/>
  <c r="C156" i="1"/>
  <c r="C158" i="1" s="1"/>
  <c r="D148" i="1"/>
  <c r="C148" i="1"/>
  <c r="C150" i="1" s="1"/>
  <c r="D140" i="1"/>
  <c r="C140" i="1"/>
  <c r="C142" i="1" s="1"/>
  <c r="D132" i="1"/>
  <c r="C132" i="1"/>
  <c r="C134" i="1" s="1"/>
  <c r="D124" i="1"/>
  <c r="C124" i="1"/>
  <c r="C126" i="1" s="1"/>
  <c r="D116" i="1"/>
  <c r="C116" i="1"/>
  <c r="C118" i="1" s="1"/>
  <c r="D108" i="1"/>
  <c r="C108" i="1"/>
  <c r="C110" i="1" s="1"/>
  <c r="D100" i="1"/>
  <c r="C100" i="1"/>
  <c r="C102" i="1" s="1"/>
  <c r="D92" i="1"/>
  <c r="C92" i="1"/>
  <c r="C94" i="1" s="1"/>
  <c r="D84" i="1"/>
  <c r="C84" i="1"/>
  <c r="C86" i="1" s="1"/>
  <c r="D76" i="1"/>
  <c r="C76" i="1"/>
  <c r="C78" i="1" s="1"/>
  <c r="D68" i="1"/>
  <c r="C68" i="1"/>
  <c r="C70" i="1" s="1"/>
  <c r="D60" i="1"/>
  <c r="C60" i="1"/>
  <c r="C62" i="1" s="1"/>
  <c r="D52" i="1"/>
  <c r="C52" i="1"/>
  <c r="C54" i="1" s="1"/>
  <c r="D44" i="1"/>
  <c r="C44" i="1"/>
  <c r="C46" i="1" s="1"/>
  <c r="D36" i="1"/>
  <c r="C36" i="1"/>
  <c r="C38" i="1" s="1"/>
  <c r="D28" i="1"/>
  <c r="C28" i="1"/>
  <c r="C30" i="1" s="1"/>
  <c r="D20" i="1"/>
  <c r="C20" i="1"/>
  <c r="C22" i="1" s="1"/>
  <c r="D12" i="1"/>
  <c r="C12" i="1"/>
  <c r="C14" i="1" s="1"/>
  <c r="D4" i="1"/>
  <c r="C4" i="1"/>
  <c r="C6" i="1" s="1"/>
  <c r="J14" i="2" l="1"/>
  <c r="L15" i="2"/>
  <c r="H526" i="2"/>
  <c r="A527" i="2"/>
  <c r="D6" i="1" a="1"/>
  <c r="D6" i="1" s="1"/>
  <c r="H527" i="2" l="1"/>
  <c r="A528" i="2"/>
  <c r="J15" i="2"/>
  <c r="L16" i="2"/>
  <c r="I526" i="2"/>
  <c r="C526" i="2"/>
  <c r="L17" i="2" l="1"/>
  <c r="J16" i="2"/>
  <c r="H528" i="2"/>
  <c r="A529" i="2"/>
  <c r="I527" i="2"/>
  <c r="C527" i="2"/>
  <c r="H529" i="2" l="1"/>
  <c r="A530" i="2"/>
  <c r="I528" i="2"/>
  <c r="C528" i="2"/>
  <c r="J17" i="2"/>
  <c r="L18" i="2"/>
  <c r="H530" i="2" l="1"/>
  <c r="A531" i="2"/>
  <c r="I529" i="2"/>
  <c r="C529" i="2"/>
  <c r="J18" i="2"/>
  <c r="L19" i="2"/>
  <c r="I530" i="2" l="1"/>
  <c r="C530" i="2"/>
  <c r="L20" i="2"/>
  <c r="J19" i="2"/>
  <c r="H531" i="2"/>
  <c r="A532" i="2"/>
  <c r="H532" i="2" l="1"/>
  <c r="A533" i="2"/>
  <c r="I531" i="2"/>
  <c r="C531" i="2"/>
  <c r="L21" i="2"/>
  <c r="J20" i="2"/>
  <c r="H533" i="2" l="1"/>
  <c r="A534" i="2"/>
  <c r="I532" i="2"/>
  <c r="C532" i="2"/>
  <c r="J21" i="2"/>
  <c r="L22" i="2"/>
  <c r="I533" i="2" l="1"/>
  <c r="C533" i="2"/>
  <c r="L23" i="2"/>
  <c r="J22" i="2"/>
  <c r="H534" i="2"/>
  <c r="A535" i="2"/>
  <c r="I534" i="2" l="1"/>
  <c r="C534" i="2"/>
  <c r="H535" i="2"/>
  <c r="A536" i="2"/>
  <c r="L24" i="2"/>
  <c r="J23" i="2"/>
  <c r="J24" i="2" l="1"/>
  <c r="L25" i="2"/>
  <c r="H536" i="2"/>
  <c r="A537" i="2"/>
  <c r="I535" i="2"/>
  <c r="C535" i="2"/>
  <c r="L26" i="2" l="1"/>
  <c r="J25" i="2"/>
  <c r="H537" i="2"/>
  <c r="A538" i="2"/>
  <c r="I536" i="2"/>
  <c r="C536" i="2"/>
  <c r="I537" i="2" l="1"/>
  <c r="C537" i="2"/>
  <c r="H538" i="2"/>
  <c r="A539" i="2"/>
  <c r="L27" i="2"/>
  <c r="J26" i="2"/>
  <c r="J27" i="2" l="1"/>
  <c r="L28" i="2"/>
  <c r="H539" i="2"/>
  <c r="A540" i="2"/>
  <c r="I538" i="2"/>
  <c r="C538" i="2"/>
  <c r="H540" i="2" l="1"/>
  <c r="A541" i="2"/>
  <c r="I539" i="2"/>
  <c r="C539" i="2"/>
  <c r="L29" i="2"/>
  <c r="J28" i="2"/>
  <c r="L30" i="2" l="1"/>
  <c r="J29" i="2"/>
  <c r="H541" i="2"/>
  <c r="A542" i="2"/>
  <c r="I540" i="2"/>
  <c r="C540" i="2"/>
  <c r="H542" i="2" l="1"/>
  <c r="A543" i="2"/>
  <c r="I541" i="2"/>
  <c r="C541" i="2"/>
  <c r="L31" i="2"/>
  <c r="J30" i="2"/>
  <c r="L32" i="2" l="1"/>
  <c r="J31" i="2"/>
  <c r="H543" i="2"/>
  <c r="A544" i="2"/>
  <c r="I542" i="2"/>
  <c r="C542" i="2"/>
  <c r="H544" i="2" l="1"/>
  <c r="A545" i="2"/>
  <c r="I543" i="2"/>
  <c r="C543" i="2"/>
  <c r="J32" i="2"/>
  <c r="L33" i="2"/>
  <c r="L34" i="2" l="1"/>
  <c r="J33" i="2"/>
  <c r="H545" i="2"/>
  <c r="A546" i="2"/>
  <c r="I544" i="2"/>
  <c r="C544" i="2"/>
  <c r="H546" i="2" l="1"/>
  <c r="A547" i="2"/>
  <c r="I545" i="2"/>
  <c r="C545" i="2"/>
  <c r="L35" i="2"/>
  <c r="J34" i="2"/>
  <c r="L36" i="2" l="1"/>
  <c r="J35" i="2"/>
  <c r="H547" i="2"/>
  <c r="A548" i="2"/>
  <c r="I546" i="2"/>
  <c r="C546" i="2"/>
  <c r="H548" i="2" l="1"/>
  <c r="A549" i="2"/>
  <c r="I547" i="2"/>
  <c r="C547" i="2"/>
  <c r="J36" i="2"/>
  <c r="L37" i="2"/>
  <c r="H549" i="2" l="1"/>
  <c r="A550" i="2"/>
  <c r="L38" i="2"/>
  <c r="J37" i="2"/>
  <c r="I548" i="2"/>
  <c r="C548" i="2"/>
  <c r="L39" i="2" l="1"/>
  <c r="J38" i="2"/>
  <c r="H550" i="2"/>
  <c r="A551" i="2"/>
  <c r="I549" i="2"/>
  <c r="C549" i="2"/>
  <c r="J39" i="2" l="1"/>
  <c r="L40" i="2"/>
  <c r="H551" i="2"/>
  <c r="A552" i="2"/>
  <c r="I550" i="2"/>
  <c r="C550" i="2"/>
  <c r="H552" i="2" l="1"/>
  <c r="A553" i="2"/>
  <c r="L41" i="2"/>
  <c r="J40" i="2"/>
  <c r="I551" i="2"/>
  <c r="C551" i="2"/>
  <c r="L42" i="2" l="1"/>
  <c r="J41" i="2"/>
  <c r="H553" i="2"/>
  <c r="A554" i="2"/>
  <c r="I552" i="2"/>
  <c r="C552" i="2"/>
  <c r="L43" i="2" l="1"/>
  <c r="J42" i="2"/>
  <c r="H554" i="2"/>
  <c r="A555" i="2"/>
  <c r="I553" i="2"/>
  <c r="C553" i="2"/>
  <c r="I554" i="2" l="1"/>
  <c r="C554" i="2"/>
  <c r="A556" i="2"/>
  <c r="H555" i="2"/>
  <c r="J43" i="2"/>
  <c r="L44" i="2"/>
  <c r="I555" i="2" l="1"/>
  <c r="C555" i="2"/>
  <c r="L45" i="2"/>
  <c r="J44" i="2"/>
  <c r="A557" i="2"/>
  <c r="H556" i="2"/>
  <c r="A558" i="2" l="1"/>
  <c r="H557" i="2"/>
  <c r="L46" i="2"/>
  <c r="J45" i="2"/>
  <c r="I556" i="2"/>
  <c r="C556" i="2"/>
  <c r="L47" i="2" l="1"/>
  <c r="J46" i="2"/>
  <c r="I557" i="2"/>
  <c r="C557" i="2"/>
  <c r="A559" i="2"/>
  <c r="H558" i="2"/>
  <c r="A560" i="2" l="1"/>
  <c r="H559" i="2"/>
  <c r="J47" i="2"/>
  <c r="L48" i="2"/>
  <c r="C558" i="2"/>
  <c r="I558" i="2"/>
  <c r="I559" i="2" l="1"/>
  <c r="C559" i="2"/>
  <c r="J48" i="2"/>
  <c r="L49" i="2"/>
  <c r="A561" i="2"/>
  <c r="H560" i="2"/>
  <c r="A562" i="2" l="1"/>
  <c r="H561" i="2"/>
  <c r="L50" i="2"/>
  <c r="J49" i="2"/>
  <c r="I560" i="2"/>
  <c r="C560" i="2"/>
  <c r="J50" i="2" l="1"/>
  <c r="L51" i="2"/>
  <c r="C561" i="2"/>
  <c r="I561" i="2"/>
  <c r="A563" i="2"/>
  <c r="H562" i="2"/>
  <c r="A564" i="2" l="1"/>
  <c r="H563" i="2"/>
  <c r="I562" i="2"/>
  <c r="C562" i="2"/>
  <c r="L52" i="2"/>
  <c r="J51" i="2"/>
  <c r="I563" i="2" l="1"/>
  <c r="C563" i="2"/>
  <c r="L53" i="2"/>
  <c r="J52" i="2"/>
  <c r="A565" i="2"/>
  <c r="H564" i="2"/>
  <c r="A566" i="2" l="1"/>
  <c r="H565" i="2"/>
  <c r="L54" i="2"/>
  <c r="J53" i="2"/>
  <c r="C564" i="2"/>
  <c r="I564" i="2"/>
  <c r="L55" i="2" l="1"/>
  <c r="J54" i="2"/>
  <c r="I565" i="2"/>
  <c r="C565" i="2"/>
  <c r="A567" i="2"/>
  <c r="H566" i="2"/>
  <c r="A568" i="2" l="1"/>
  <c r="H567" i="2"/>
  <c r="L56" i="2"/>
  <c r="J55" i="2"/>
  <c r="I566" i="2"/>
  <c r="C566" i="2"/>
  <c r="L57" i="2" l="1"/>
  <c r="J56" i="2"/>
  <c r="C567" i="2"/>
  <c r="I567" i="2"/>
  <c r="A569" i="2"/>
  <c r="H568" i="2"/>
  <c r="A570" i="2" l="1"/>
  <c r="H569" i="2"/>
  <c r="I568" i="2"/>
  <c r="C568" i="2"/>
  <c r="J57" i="2"/>
  <c r="L58" i="2"/>
  <c r="I569" i="2" l="1"/>
  <c r="C569" i="2"/>
  <c r="L59" i="2"/>
  <c r="J58" i="2"/>
  <c r="A571" i="2"/>
  <c r="H570" i="2"/>
  <c r="J59" i="2" l="1"/>
  <c r="L60" i="2"/>
  <c r="A572" i="2"/>
  <c r="H571" i="2"/>
  <c r="C570" i="2"/>
  <c r="I570" i="2"/>
  <c r="I571" i="2" l="1"/>
  <c r="C571" i="2"/>
  <c r="A573" i="2"/>
  <c r="H572" i="2"/>
  <c r="L61" i="2"/>
  <c r="J60" i="2"/>
  <c r="I572" i="2" l="1"/>
  <c r="C572" i="2"/>
  <c r="A574" i="2"/>
  <c r="H573" i="2"/>
  <c r="L62" i="2"/>
  <c r="J61" i="2"/>
  <c r="L63" i="2" l="1"/>
  <c r="J62" i="2"/>
  <c r="C573" i="2"/>
  <c r="I573" i="2"/>
  <c r="A575" i="2"/>
  <c r="H574" i="2"/>
  <c r="I574" i="2" l="1"/>
  <c r="C574" i="2"/>
  <c r="A576" i="2"/>
  <c r="H575" i="2"/>
  <c r="J63" i="2"/>
  <c r="L64" i="2"/>
  <c r="L65" i="2" l="1"/>
  <c r="J64" i="2"/>
  <c r="I575" i="2"/>
  <c r="C575" i="2"/>
  <c r="A577" i="2"/>
  <c r="H576" i="2"/>
  <c r="C576" i="2" l="1"/>
  <c r="I576" i="2"/>
  <c r="A578" i="2"/>
  <c r="H577" i="2"/>
  <c r="L66" i="2"/>
  <c r="J65" i="2"/>
  <c r="L67" i="2" l="1"/>
  <c r="J66" i="2"/>
  <c r="I577" i="2"/>
  <c r="C577" i="2"/>
  <c r="A579" i="2"/>
  <c r="H578" i="2"/>
  <c r="A580" i="2" l="1"/>
  <c r="H579" i="2"/>
  <c r="I578" i="2"/>
  <c r="C578" i="2"/>
  <c r="J67" i="2"/>
  <c r="L68" i="2"/>
  <c r="C579" i="2" l="1"/>
  <c r="I579" i="2"/>
  <c r="L69" i="2"/>
  <c r="J68" i="2"/>
  <c r="A581" i="2"/>
  <c r="H580" i="2"/>
  <c r="A582" i="2" l="1"/>
  <c r="H581" i="2"/>
  <c r="L70" i="2"/>
  <c r="J69" i="2"/>
  <c r="I580" i="2"/>
  <c r="C580" i="2"/>
  <c r="J70" i="2" l="1"/>
  <c r="L71" i="2"/>
  <c r="I581" i="2"/>
  <c r="C581" i="2"/>
  <c r="A583" i="2"/>
  <c r="H582" i="2"/>
  <c r="L72" i="2" l="1"/>
  <c r="J71" i="2"/>
  <c r="A584" i="2"/>
  <c r="H583" i="2"/>
  <c r="C582" i="2"/>
  <c r="I582" i="2"/>
  <c r="I583" i="2" l="1"/>
  <c r="C583" i="2"/>
  <c r="A585" i="2"/>
  <c r="H584" i="2"/>
  <c r="L73" i="2"/>
  <c r="J72" i="2"/>
  <c r="I584" i="2" l="1"/>
  <c r="C584" i="2"/>
  <c r="L74" i="2"/>
  <c r="J73" i="2"/>
  <c r="A586" i="2"/>
  <c r="H585" i="2"/>
  <c r="A587" i="2" l="1"/>
  <c r="H586" i="2"/>
  <c r="C585" i="2"/>
  <c r="I585" i="2"/>
  <c r="L75" i="2"/>
  <c r="J74" i="2"/>
  <c r="L76" i="2" l="1"/>
  <c r="J75" i="2"/>
  <c r="I586" i="2"/>
  <c r="C586" i="2"/>
  <c r="A588" i="2"/>
  <c r="H587" i="2"/>
  <c r="A589" i="2" l="1"/>
  <c r="H588" i="2"/>
  <c r="I587" i="2"/>
  <c r="C587" i="2"/>
  <c r="J76" i="2"/>
  <c r="L77" i="2"/>
  <c r="L78" i="2" l="1"/>
  <c r="J77" i="2"/>
  <c r="A590" i="2"/>
  <c r="H589" i="2"/>
  <c r="C588" i="2"/>
  <c r="I588" i="2"/>
  <c r="I589" i="2" l="1"/>
  <c r="C589" i="2"/>
  <c r="A591" i="2"/>
  <c r="H590" i="2"/>
  <c r="L79" i="2"/>
  <c r="J78" i="2"/>
  <c r="J79" i="2" l="1"/>
  <c r="L80" i="2"/>
  <c r="I590" i="2"/>
  <c r="C590" i="2"/>
  <c r="A592" i="2"/>
  <c r="H591" i="2"/>
  <c r="A593" i="2" l="1"/>
  <c r="H592" i="2"/>
  <c r="L81" i="2"/>
  <c r="J80" i="2"/>
  <c r="C591" i="2"/>
  <c r="I591" i="2"/>
  <c r="J81" i="2" l="1"/>
  <c r="L82" i="2"/>
  <c r="I592" i="2"/>
  <c r="C592" i="2"/>
  <c r="A594" i="2"/>
  <c r="H593" i="2"/>
  <c r="A595" i="2" l="1"/>
  <c r="H594" i="2"/>
  <c r="L83" i="2"/>
  <c r="J82" i="2"/>
  <c r="I593" i="2"/>
  <c r="C593" i="2"/>
  <c r="L84" i="2" l="1"/>
  <c r="J83" i="2"/>
  <c r="C594" i="2"/>
  <c r="I594" i="2"/>
  <c r="A596" i="2"/>
  <c r="H595" i="2"/>
  <c r="I595" i="2" l="1"/>
  <c r="C595" i="2"/>
  <c r="A597" i="2"/>
  <c r="H596" i="2"/>
  <c r="L85" i="2"/>
  <c r="J84" i="2"/>
  <c r="I596" i="2" l="1"/>
  <c r="C596" i="2"/>
  <c r="A598" i="2"/>
  <c r="H597" i="2"/>
  <c r="L86" i="2"/>
  <c r="J85" i="2"/>
  <c r="L87" i="2" l="1"/>
  <c r="J86" i="2"/>
  <c r="C597" i="2"/>
  <c r="I597" i="2"/>
  <c r="A599" i="2"/>
  <c r="H598" i="2"/>
  <c r="A600" i="2" l="1"/>
  <c r="H599" i="2"/>
  <c r="L88" i="2"/>
  <c r="J87" i="2"/>
  <c r="I598" i="2"/>
  <c r="C598" i="2"/>
  <c r="L89" i="2" l="1"/>
  <c r="J88" i="2"/>
  <c r="I599" i="2"/>
  <c r="C599" i="2"/>
  <c r="A601" i="2"/>
  <c r="H600" i="2"/>
  <c r="A602" i="2" l="1"/>
  <c r="H601" i="2"/>
  <c r="C600" i="2"/>
  <c r="I600" i="2"/>
  <c r="L90" i="2"/>
  <c r="J89" i="2"/>
  <c r="A603" i="2" l="1"/>
  <c r="H602" i="2"/>
  <c r="L91" i="2"/>
  <c r="J90" i="2"/>
  <c r="I601" i="2"/>
  <c r="C601" i="2"/>
  <c r="J91" i="2" l="1"/>
  <c r="L92" i="2"/>
  <c r="I602" i="2"/>
  <c r="C602" i="2"/>
  <c r="A604" i="2"/>
  <c r="H603" i="2"/>
  <c r="A605" i="2" l="1"/>
  <c r="H604" i="2"/>
  <c r="J92" i="2"/>
  <c r="L93" i="2"/>
  <c r="C603" i="2"/>
  <c r="I603" i="2"/>
  <c r="L94" i="2" l="1"/>
  <c r="J93" i="2"/>
  <c r="I604" i="2"/>
  <c r="C604" i="2"/>
  <c r="A606" i="2"/>
  <c r="H605" i="2"/>
  <c r="J94" i="2" l="1"/>
  <c r="L95" i="2"/>
  <c r="A607" i="2"/>
  <c r="H606" i="2"/>
  <c r="I605" i="2"/>
  <c r="C605" i="2"/>
  <c r="C606" i="2" l="1"/>
  <c r="I606" i="2"/>
  <c r="A608" i="2"/>
  <c r="H607" i="2"/>
  <c r="J95" i="2"/>
  <c r="L96" i="2"/>
  <c r="L97" i="2" l="1"/>
  <c r="J96" i="2"/>
  <c r="I607" i="2"/>
  <c r="C607" i="2"/>
  <c r="A609" i="2"/>
  <c r="H608" i="2"/>
  <c r="C608" i="2" l="1"/>
  <c r="I608" i="2"/>
  <c r="A610" i="2"/>
  <c r="H609" i="2"/>
  <c r="L98" i="2"/>
  <c r="J97" i="2"/>
  <c r="J98" i="2" l="1"/>
  <c r="L99" i="2"/>
  <c r="I609" i="2"/>
  <c r="C609" i="2"/>
  <c r="A611" i="2"/>
  <c r="H610" i="2"/>
  <c r="C610" i="2" l="1"/>
  <c r="I610" i="2"/>
  <c r="A612" i="2"/>
  <c r="H611" i="2"/>
  <c r="J99" i="2"/>
  <c r="L100" i="2"/>
  <c r="I611" i="2" l="1"/>
  <c r="C611" i="2"/>
  <c r="A613" i="2"/>
  <c r="H612" i="2"/>
  <c r="J100" i="2"/>
  <c r="L101" i="2"/>
  <c r="L102" i="2" l="1"/>
  <c r="J101" i="2"/>
  <c r="C612" i="2"/>
  <c r="I612" i="2"/>
  <c r="A614" i="2"/>
  <c r="H613" i="2"/>
  <c r="A615" i="2" l="1"/>
  <c r="H614" i="2"/>
  <c r="I613" i="2"/>
  <c r="C613" i="2"/>
  <c r="J102" i="2"/>
  <c r="L103" i="2"/>
  <c r="C614" i="2" l="1"/>
  <c r="I614" i="2"/>
  <c r="J103" i="2"/>
  <c r="L104" i="2"/>
  <c r="A616" i="2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H615" i="2"/>
  <c r="J104" i="2" l="1"/>
  <c r="L105" i="2"/>
  <c r="I615" i="2"/>
  <c r="C615" i="2"/>
  <c r="J105" i="2" l="1"/>
  <c r="L106" i="2"/>
  <c r="L107" i="2" l="1"/>
  <c r="J106" i="2"/>
  <c r="J107" i="2" l="1"/>
  <c r="L108" i="2"/>
  <c r="J108" i="2" l="1"/>
  <c r="L109" i="2"/>
  <c r="J109" i="2" l="1"/>
  <c r="L110" i="2"/>
  <c r="J110" i="2" l="1"/>
  <c r="L111" i="2"/>
  <c r="J111" i="2" l="1"/>
  <c r="L112" i="2"/>
  <c r="J112" i="2" l="1"/>
  <c r="L113" i="2"/>
  <c r="J113" i="2" l="1"/>
  <c r="L114" i="2"/>
  <c r="J114" i="2" l="1"/>
  <c r="L115" i="2"/>
  <c r="J115" i="2" l="1"/>
  <c r="L116" i="2"/>
  <c r="J116" i="2" l="1"/>
  <c r="L117" i="2"/>
  <c r="J117" i="2" l="1"/>
  <c r="L118" i="2"/>
  <c r="J118" i="2" l="1"/>
  <c r="L119" i="2"/>
  <c r="J119" i="2" l="1"/>
  <c r="L120" i="2"/>
  <c r="J120" i="2" l="1"/>
  <c r="L121" i="2"/>
  <c r="J121" i="2" l="1"/>
  <c r="L122" i="2"/>
  <c r="J122" i="2" l="1"/>
  <c r="L123" i="2"/>
  <c r="J123" i="2" l="1"/>
  <c r="L124" i="2"/>
  <c r="J124" i="2" l="1"/>
  <c r="L125" i="2"/>
  <c r="J125" i="2" l="1"/>
  <c r="L126" i="2"/>
  <c r="J126" i="2" l="1"/>
  <c r="L127" i="2"/>
  <c r="J127" i="2" l="1"/>
  <c r="L128" i="2"/>
  <c r="J128" i="2" l="1"/>
  <c r="L129" i="2"/>
  <c r="J129" i="2" l="1"/>
  <c r="L130" i="2"/>
  <c r="J130" i="2" l="1"/>
  <c r="L131" i="2"/>
  <c r="J131" i="2" l="1"/>
  <c r="L132" i="2"/>
  <c r="J132" i="2" l="1"/>
  <c r="L133" i="2"/>
  <c r="J133" i="2" l="1"/>
  <c r="L134" i="2"/>
  <c r="J134" i="2" l="1"/>
  <c r="L135" i="2"/>
  <c r="J135" i="2" l="1"/>
  <c r="L136" i="2"/>
  <c r="J136" i="2" l="1"/>
  <c r="L137" i="2"/>
  <c r="J137" i="2" l="1"/>
  <c r="L138" i="2"/>
  <c r="J138" i="2" l="1"/>
  <c r="L139" i="2"/>
  <c r="J139" i="2" l="1"/>
  <c r="L140" i="2"/>
  <c r="J140" i="2" l="1"/>
  <c r="L141" i="2"/>
  <c r="J141" i="2" l="1"/>
  <c r="L142" i="2"/>
  <c r="J142" i="2" l="1"/>
  <c r="L143" i="2"/>
  <c r="J143" i="2" l="1"/>
  <c r="L144" i="2"/>
  <c r="J144" i="2" l="1"/>
  <c r="L145" i="2"/>
  <c r="J145" i="2" l="1"/>
  <c r="L146" i="2"/>
  <c r="J146" i="2" l="1"/>
  <c r="L147" i="2"/>
  <c r="J147" i="2" l="1"/>
  <c r="L148" i="2"/>
  <c r="J148" i="2" l="1"/>
  <c r="L149" i="2"/>
  <c r="J149" i="2" l="1"/>
  <c r="L150" i="2"/>
  <c r="J150" i="2" l="1"/>
  <c r="L151" i="2"/>
  <c r="J151" i="2" l="1"/>
  <c r="L152" i="2"/>
  <c r="J152" i="2" l="1"/>
  <c r="L153" i="2"/>
  <c r="J153" i="2" l="1"/>
  <c r="L154" i="2"/>
  <c r="J154" i="2" l="1"/>
  <c r="L155" i="2"/>
  <c r="J155" i="2" l="1"/>
  <c r="L156" i="2"/>
  <c r="J156" i="2" l="1"/>
  <c r="L157" i="2"/>
  <c r="J157" i="2" l="1"/>
  <c r="L158" i="2"/>
  <c r="J158" i="2" l="1"/>
  <c r="L159" i="2"/>
  <c r="J159" i="2" l="1"/>
  <c r="L160" i="2"/>
  <c r="J160" i="2" l="1"/>
  <c r="L161" i="2"/>
  <c r="J161" i="2" l="1"/>
  <c r="L162" i="2"/>
  <c r="J162" i="2" l="1"/>
  <c r="L163" i="2"/>
  <c r="J163" i="2" l="1"/>
  <c r="L164" i="2"/>
  <c r="J164" i="2" l="1"/>
  <c r="L165" i="2"/>
  <c r="J165" i="2" l="1"/>
  <c r="L166" i="2"/>
  <c r="J166" i="2" l="1"/>
  <c r="L167" i="2"/>
  <c r="J167" i="2" l="1"/>
  <c r="L168" i="2"/>
  <c r="J168" i="2" l="1"/>
  <c r="L169" i="2"/>
  <c r="J169" i="2" l="1"/>
  <c r="L170" i="2"/>
  <c r="J170" i="2" l="1"/>
  <c r="L171" i="2"/>
  <c r="J171" i="2" l="1"/>
  <c r="L172" i="2"/>
  <c r="J172" i="2" l="1"/>
  <c r="L173" i="2"/>
  <c r="J173" i="2" l="1"/>
  <c r="L174" i="2"/>
  <c r="J174" i="2" l="1"/>
  <c r="L175" i="2"/>
  <c r="J175" i="2" l="1"/>
  <c r="L176" i="2"/>
  <c r="J176" i="2" l="1"/>
  <c r="L177" i="2"/>
  <c r="J177" i="2" l="1"/>
  <c r="L178" i="2"/>
  <c r="J178" i="2" l="1"/>
  <c r="L179" i="2"/>
  <c r="J179" i="2" l="1"/>
  <c r="L180" i="2"/>
  <c r="J180" i="2" l="1"/>
  <c r="L181" i="2"/>
  <c r="J181" i="2" l="1"/>
  <c r="L182" i="2"/>
  <c r="J182" i="2" l="1"/>
  <c r="L183" i="2"/>
  <c r="J183" i="2" l="1"/>
  <c r="L184" i="2"/>
  <c r="J184" i="2" l="1"/>
  <c r="L185" i="2"/>
  <c r="J185" i="2" l="1"/>
  <c r="L186" i="2"/>
  <c r="J186" i="2" l="1"/>
  <c r="L187" i="2"/>
  <c r="J187" i="2" l="1"/>
  <c r="L188" i="2"/>
  <c r="J188" i="2" l="1"/>
  <c r="L189" i="2"/>
  <c r="J189" i="2" l="1"/>
  <c r="L190" i="2"/>
  <c r="J190" i="2" l="1"/>
  <c r="L191" i="2"/>
  <c r="J191" i="2" l="1"/>
  <c r="L192" i="2"/>
  <c r="J192" i="2" l="1"/>
  <c r="L193" i="2"/>
  <c r="J193" i="2" l="1"/>
  <c r="L194" i="2"/>
  <c r="J194" i="2" l="1"/>
  <c r="L195" i="2"/>
  <c r="J195" i="2" l="1"/>
  <c r="L196" i="2"/>
  <c r="J196" i="2" l="1"/>
  <c r="L197" i="2"/>
  <c r="J197" i="2" l="1"/>
  <c r="L198" i="2"/>
  <c r="J198" i="2" l="1"/>
  <c r="L199" i="2"/>
  <c r="J199" i="2" l="1"/>
  <c r="L200" i="2"/>
  <c r="J200" i="2" l="1"/>
  <c r="L201" i="2"/>
  <c r="J201" i="2" l="1"/>
  <c r="L202" i="2"/>
  <c r="J202" i="2" l="1"/>
  <c r="L203" i="2"/>
  <c r="J203" i="2" l="1"/>
  <c r="L204" i="2"/>
  <c r="J204" i="2" l="1"/>
  <c r="L205" i="2"/>
  <c r="J205" i="2" l="1"/>
  <c r="L206" i="2"/>
  <c r="J206" i="2" l="1"/>
  <c r="L207" i="2"/>
  <c r="J207" i="2" l="1"/>
  <c r="L208" i="2"/>
  <c r="J208" i="2" l="1"/>
  <c r="L209" i="2"/>
  <c r="J209" i="2" l="1"/>
  <c r="L210" i="2"/>
  <c r="J210" i="2" l="1"/>
  <c r="L211" i="2"/>
  <c r="J211" i="2" l="1"/>
  <c r="L212" i="2"/>
  <c r="J212" i="2" l="1"/>
  <c r="L213" i="2"/>
  <c r="J213" i="2" l="1"/>
  <c r="L214" i="2"/>
  <c r="J214" i="2" l="1"/>
  <c r="L215" i="2"/>
  <c r="J215" i="2" l="1"/>
  <c r="L216" i="2"/>
  <c r="J216" i="2" l="1"/>
  <c r="L217" i="2"/>
  <c r="J217" i="2" l="1"/>
  <c r="L218" i="2"/>
  <c r="J218" i="2" l="1"/>
  <c r="L219" i="2"/>
  <c r="J219" i="2" l="1"/>
  <c r="L220" i="2"/>
  <c r="J220" i="2" l="1"/>
  <c r="L221" i="2"/>
  <c r="J221" i="2" l="1"/>
  <c r="L222" i="2"/>
  <c r="J222" i="2" l="1"/>
  <c r="L223" i="2"/>
  <c r="J223" i="2" l="1"/>
  <c r="L224" i="2"/>
  <c r="J224" i="2" l="1"/>
  <c r="L225" i="2"/>
  <c r="J225" i="2" l="1"/>
  <c r="L226" i="2"/>
  <c r="J226" i="2" l="1"/>
  <c r="L227" i="2"/>
  <c r="J227" i="2" l="1"/>
  <c r="L228" i="2"/>
  <c r="J228" i="2" l="1"/>
  <c r="L229" i="2"/>
  <c r="J229" i="2" l="1"/>
  <c r="L230" i="2"/>
  <c r="J230" i="2" l="1"/>
  <c r="L231" i="2"/>
  <c r="J231" i="2" l="1"/>
  <c r="L232" i="2"/>
  <c r="J232" i="2" l="1"/>
  <c r="L233" i="2"/>
  <c r="J233" i="2" l="1"/>
  <c r="L234" i="2"/>
  <c r="J234" i="2" l="1"/>
  <c r="L235" i="2"/>
  <c r="J235" i="2" l="1"/>
  <c r="L236" i="2"/>
  <c r="J236" i="2" l="1"/>
  <c r="L237" i="2"/>
  <c r="J237" i="2" l="1"/>
  <c r="L238" i="2"/>
  <c r="J238" i="2" l="1"/>
  <c r="L239" i="2"/>
  <c r="J239" i="2" l="1"/>
  <c r="L240" i="2"/>
  <c r="J240" i="2" l="1"/>
  <c r="L241" i="2"/>
  <c r="J241" i="2" l="1"/>
  <c r="L242" i="2"/>
  <c r="J242" i="2" l="1"/>
  <c r="L243" i="2"/>
  <c r="J243" i="2" l="1"/>
  <c r="L244" i="2"/>
  <c r="J244" i="2" l="1"/>
  <c r="L245" i="2"/>
  <c r="J245" i="2" l="1"/>
  <c r="L246" i="2"/>
  <c r="J246" i="2" l="1"/>
  <c r="L247" i="2"/>
  <c r="J247" i="2" l="1"/>
  <c r="L248" i="2"/>
  <c r="J248" i="2" l="1"/>
  <c r="L249" i="2"/>
  <c r="J249" i="2" l="1"/>
  <c r="L250" i="2"/>
  <c r="J250" i="2" l="1"/>
  <c r="L251" i="2"/>
  <c r="J251" i="2" l="1"/>
  <c r="L252" i="2"/>
  <c r="J252" i="2" l="1"/>
  <c r="L253" i="2"/>
  <c r="J253" i="2" l="1"/>
  <c r="L254" i="2"/>
  <c r="J254" i="2" l="1"/>
  <c r="L255" i="2"/>
  <c r="J255" i="2" l="1"/>
  <c r="L256" i="2"/>
  <c r="J256" i="2" l="1"/>
  <c r="L257" i="2"/>
  <c r="J257" i="2" l="1"/>
  <c r="L258" i="2"/>
  <c r="J258" i="2" l="1"/>
  <c r="L259" i="2"/>
  <c r="J259" i="2" l="1"/>
  <c r="L260" i="2"/>
  <c r="J260" i="2" l="1"/>
  <c r="L261" i="2"/>
  <c r="J261" i="2" l="1"/>
  <c r="L262" i="2"/>
  <c r="J262" i="2" l="1"/>
  <c r="L263" i="2"/>
  <c r="J263" i="2" l="1"/>
  <c r="L264" i="2"/>
  <c r="J264" i="2" l="1"/>
  <c r="L265" i="2"/>
  <c r="J265" i="2" l="1"/>
  <c r="L266" i="2"/>
  <c r="J266" i="2" l="1"/>
  <c r="L267" i="2"/>
  <c r="J267" i="2" l="1"/>
  <c r="L268" i="2"/>
  <c r="J268" i="2" l="1"/>
  <c r="L269" i="2"/>
  <c r="J269" i="2" l="1"/>
  <c r="L270" i="2"/>
  <c r="J270" i="2" l="1"/>
  <c r="L271" i="2"/>
  <c r="J271" i="2" l="1"/>
  <c r="L272" i="2"/>
  <c r="J272" i="2" l="1"/>
  <c r="L273" i="2"/>
  <c r="J273" i="2" l="1"/>
  <c r="L274" i="2"/>
  <c r="J274" i="2" l="1"/>
  <c r="L275" i="2"/>
  <c r="J275" i="2" l="1"/>
  <c r="L276" i="2"/>
  <c r="J276" i="2" l="1"/>
  <c r="L277" i="2"/>
  <c r="J277" i="2" l="1"/>
  <c r="L278" i="2"/>
  <c r="J278" i="2" l="1"/>
  <c r="L279" i="2"/>
  <c r="J279" i="2" l="1"/>
  <c r="L280" i="2"/>
  <c r="J280" i="2" l="1"/>
  <c r="L281" i="2"/>
  <c r="J281" i="2" l="1"/>
  <c r="L282" i="2"/>
  <c r="J282" i="2" l="1"/>
  <c r="L283" i="2"/>
  <c r="J283" i="2" l="1"/>
  <c r="L284" i="2"/>
  <c r="J284" i="2" l="1"/>
  <c r="L285" i="2"/>
  <c r="J285" i="2" l="1"/>
  <c r="L286" i="2"/>
  <c r="J286" i="2" l="1"/>
  <c r="L287" i="2"/>
  <c r="J287" i="2" l="1"/>
  <c r="L288" i="2"/>
  <c r="J288" i="2" l="1"/>
  <c r="L289" i="2"/>
  <c r="J289" i="2" l="1"/>
  <c r="L290" i="2"/>
  <c r="J290" i="2" l="1"/>
  <c r="L291" i="2"/>
  <c r="J291" i="2" l="1"/>
  <c r="L292" i="2"/>
  <c r="J292" i="2" l="1"/>
  <c r="L293" i="2"/>
  <c r="J293" i="2" l="1"/>
  <c r="L294" i="2"/>
  <c r="J294" i="2" l="1"/>
  <c r="L295" i="2"/>
  <c r="J295" i="2" l="1"/>
  <c r="L296" i="2"/>
  <c r="J296" i="2" l="1"/>
  <c r="L297" i="2"/>
  <c r="J297" i="2" l="1"/>
  <c r="L298" i="2"/>
  <c r="J298" i="2" l="1"/>
  <c r="L299" i="2"/>
  <c r="J299" i="2" l="1"/>
  <c r="L300" i="2"/>
  <c r="J300" i="2" l="1"/>
  <c r="L301" i="2"/>
  <c r="J301" i="2" l="1"/>
  <c r="L302" i="2"/>
  <c r="J302" i="2" l="1"/>
  <c r="L303" i="2"/>
  <c r="J303" i="2" l="1"/>
  <c r="L304" i="2"/>
  <c r="J304" i="2" l="1"/>
  <c r="L305" i="2"/>
  <c r="J305" i="2" l="1"/>
  <c r="L306" i="2"/>
  <c r="J306" i="2" l="1"/>
  <c r="L307" i="2"/>
  <c r="J307" i="2" l="1"/>
  <c r="L308" i="2"/>
  <c r="J308" i="2" l="1"/>
  <c r="L309" i="2"/>
  <c r="J309" i="2" l="1"/>
  <c r="L310" i="2"/>
  <c r="J310" i="2" l="1"/>
  <c r="L311" i="2"/>
  <c r="J311" i="2" l="1"/>
  <c r="L312" i="2"/>
  <c r="J312" i="2" l="1"/>
  <c r="L313" i="2"/>
  <c r="J313" i="2" l="1"/>
  <c r="L314" i="2"/>
  <c r="J314" i="2" l="1"/>
  <c r="L315" i="2"/>
  <c r="J315" i="2" l="1"/>
  <c r="L316" i="2"/>
  <c r="J316" i="2" l="1"/>
  <c r="L317" i="2"/>
  <c r="J317" i="2" l="1"/>
  <c r="L318" i="2"/>
  <c r="J318" i="2" l="1"/>
  <c r="L319" i="2"/>
  <c r="J319" i="2" l="1"/>
  <c r="L320" i="2"/>
  <c r="J320" i="2" l="1"/>
  <c r="L321" i="2"/>
  <c r="J321" i="2" l="1"/>
  <c r="L322" i="2"/>
  <c r="J322" i="2" l="1"/>
  <c r="L323" i="2"/>
  <c r="J323" i="2" l="1"/>
  <c r="L324" i="2"/>
  <c r="J324" i="2" l="1"/>
  <c r="L325" i="2"/>
  <c r="J325" i="2" l="1"/>
  <c r="L326" i="2"/>
  <c r="J326" i="2" l="1"/>
  <c r="L327" i="2"/>
  <c r="J327" i="2" l="1"/>
  <c r="L328" i="2"/>
  <c r="J328" i="2" l="1"/>
  <c r="L329" i="2"/>
  <c r="J329" i="2" l="1"/>
  <c r="L330" i="2"/>
  <c r="J330" i="2" l="1"/>
  <c r="L331" i="2"/>
  <c r="J331" i="2" l="1"/>
  <c r="L332" i="2"/>
  <c r="J332" i="2" l="1"/>
  <c r="L333" i="2"/>
  <c r="J333" i="2" l="1"/>
  <c r="L334" i="2"/>
  <c r="J334" i="2" l="1"/>
  <c r="L335" i="2"/>
  <c r="J335" i="2" l="1"/>
  <c r="L336" i="2"/>
  <c r="J336" i="2" l="1"/>
  <c r="L337" i="2"/>
  <c r="J337" i="2" l="1"/>
  <c r="L338" i="2"/>
  <c r="J338" i="2" l="1"/>
  <c r="L339" i="2"/>
  <c r="J339" i="2" l="1"/>
  <c r="L340" i="2"/>
  <c r="J340" i="2" l="1"/>
  <c r="L341" i="2"/>
  <c r="J341" i="2" l="1"/>
  <c r="L342" i="2"/>
  <c r="J342" i="2" l="1"/>
  <c r="L343" i="2"/>
  <c r="J343" i="2" l="1"/>
  <c r="L344" i="2"/>
  <c r="J344" i="2" l="1"/>
  <c r="L345" i="2"/>
  <c r="J345" i="2" l="1"/>
  <c r="L346" i="2"/>
  <c r="J346" i="2" l="1"/>
  <c r="L347" i="2"/>
  <c r="J347" i="2" l="1"/>
  <c r="L348" i="2"/>
  <c r="J348" i="2" l="1"/>
  <c r="L349" i="2"/>
  <c r="J349" i="2" l="1"/>
  <c r="L350" i="2"/>
  <c r="J350" i="2" l="1"/>
  <c r="L351" i="2"/>
  <c r="J351" i="2" l="1"/>
  <c r="L352" i="2"/>
  <c r="J352" i="2" l="1"/>
  <c r="L353" i="2"/>
  <c r="J353" i="2" l="1"/>
  <c r="L354" i="2"/>
  <c r="J354" i="2" l="1"/>
  <c r="L355" i="2"/>
  <c r="J355" i="2" l="1"/>
  <c r="L356" i="2"/>
  <c r="J356" i="2" l="1"/>
  <c r="L357" i="2"/>
  <c r="J357" i="2" l="1"/>
  <c r="L358" i="2"/>
  <c r="J358" i="2" l="1"/>
  <c r="L359" i="2"/>
  <c r="J359" i="2" l="1"/>
  <c r="L360" i="2"/>
  <c r="J360" i="2" l="1"/>
  <c r="L361" i="2"/>
  <c r="J361" i="2" l="1"/>
  <c r="L362" i="2"/>
  <c r="J362" i="2" l="1"/>
  <c r="L363" i="2"/>
  <c r="J363" i="2" l="1"/>
  <c r="L364" i="2"/>
  <c r="J364" i="2" l="1"/>
  <c r="L365" i="2"/>
  <c r="J365" i="2" l="1"/>
  <c r="L366" i="2"/>
  <c r="J366" i="2" l="1"/>
  <c r="L367" i="2"/>
  <c r="J367" i="2" l="1"/>
  <c r="L368" i="2"/>
  <c r="J368" i="2" l="1"/>
  <c r="L369" i="2"/>
  <c r="J369" i="2" l="1"/>
  <c r="L370" i="2"/>
  <c r="J370" i="2" l="1"/>
  <c r="L371" i="2"/>
  <c r="J371" i="2" l="1"/>
  <c r="L372" i="2"/>
  <c r="J372" i="2" l="1"/>
  <c r="L373" i="2"/>
  <c r="J373" i="2" l="1"/>
  <c r="L374" i="2"/>
  <c r="J374" i="2" l="1"/>
  <c r="L375" i="2"/>
  <c r="J375" i="2" l="1"/>
  <c r="L376" i="2"/>
  <c r="J376" i="2" l="1"/>
  <c r="L377" i="2"/>
  <c r="J377" i="2" l="1"/>
  <c r="L378" i="2"/>
  <c r="J378" i="2" l="1"/>
  <c r="L379" i="2"/>
  <c r="J379" i="2" l="1"/>
  <c r="L380" i="2"/>
  <c r="J380" i="2" l="1"/>
  <c r="L381" i="2"/>
  <c r="J381" i="2" l="1"/>
  <c r="L382" i="2"/>
  <c r="J382" i="2" l="1"/>
  <c r="L383" i="2"/>
  <c r="J383" i="2" l="1"/>
  <c r="L384" i="2"/>
  <c r="J384" i="2" l="1"/>
  <c r="L385" i="2"/>
  <c r="J385" i="2" l="1"/>
  <c r="L386" i="2"/>
  <c r="J386" i="2" l="1"/>
  <c r="L387" i="2"/>
  <c r="J387" i="2" l="1"/>
  <c r="L388" i="2"/>
  <c r="J388" i="2" l="1"/>
  <c r="L389" i="2"/>
  <c r="J389" i="2" l="1"/>
  <c r="L390" i="2"/>
  <c r="J390" i="2" l="1"/>
  <c r="L391" i="2"/>
  <c r="J391" i="2" l="1"/>
  <c r="L392" i="2"/>
  <c r="J392" i="2" l="1"/>
  <c r="L393" i="2"/>
  <c r="J393" i="2" l="1"/>
  <c r="L394" i="2"/>
  <c r="J394" i="2" l="1"/>
  <c r="L395" i="2"/>
  <c r="J395" i="2" l="1"/>
  <c r="L396" i="2"/>
  <c r="J396" i="2" l="1"/>
  <c r="L397" i="2"/>
  <c r="J397" i="2" l="1"/>
  <c r="L398" i="2"/>
  <c r="J398" i="2" l="1"/>
  <c r="L399" i="2"/>
  <c r="J399" i="2" l="1"/>
  <c r="L400" i="2"/>
  <c r="J400" i="2" l="1"/>
  <c r="L401" i="2"/>
  <c r="J401" i="2" l="1"/>
  <c r="L402" i="2"/>
  <c r="J402" i="2" l="1"/>
  <c r="L403" i="2"/>
  <c r="J403" i="2" l="1"/>
  <c r="L404" i="2"/>
  <c r="J404" i="2" l="1"/>
  <c r="L405" i="2"/>
  <c r="J405" i="2" l="1"/>
  <c r="L406" i="2"/>
  <c r="J406" i="2" l="1"/>
  <c r="L407" i="2"/>
  <c r="J407" i="2" l="1"/>
  <c r="L408" i="2"/>
  <c r="J408" i="2" l="1"/>
  <c r="L409" i="2"/>
  <c r="J409" i="2" l="1"/>
  <c r="L410" i="2"/>
  <c r="J410" i="2" l="1"/>
  <c r="L411" i="2"/>
  <c r="J411" i="2" l="1"/>
  <c r="L412" i="2"/>
  <c r="J412" i="2" l="1"/>
  <c r="L413" i="2"/>
  <c r="J413" i="2" l="1"/>
  <c r="L414" i="2"/>
  <c r="J414" i="2" l="1"/>
  <c r="L415" i="2"/>
  <c r="J415" i="2" l="1"/>
  <c r="L416" i="2"/>
  <c r="J416" i="2" l="1"/>
  <c r="L417" i="2"/>
  <c r="J417" i="2" l="1"/>
  <c r="L418" i="2"/>
  <c r="J418" i="2" l="1"/>
  <c r="L419" i="2"/>
  <c r="J419" i="2" l="1"/>
  <c r="L420" i="2"/>
  <c r="J420" i="2" l="1"/>
  <c r="L421" i="2"/>
  <c r="J421" i="2" l="1"/>
  <c r="L422" i="2"/>
  <c r="J422" i="2" l="1"/>
  <c r="L423" i="2"/>
  <c r="J423" i="2" l="1"/>
  <c r="L424" i="2"/>
  <c r="J424" i="2" l="1"/>
  <c r="L425" i="2"/>
  <c r="J425" i="2" l="1"/>
  <c r="L426" i="2"/>
  <c r="J426" i="2" l="1"/>
  <c r="L427" i="2"/>
  <c r="J427" i="2" l="1"/>
  <c r="L428" i="2"/>
  <c r="J428" i="2" l="1"/>
  <c r="L429" i="2"/>
  <c r="J429" i="2" l="1"/>
  <c r="L430" i="2"/>
  <c r="J430" i="2" l="1"/>
  <c r="L431" i="2"/>
  <c r="J431" i="2" l="1"/>
  <c r="L432" i="2"/>
  <c r="J432" i="2" l="1"/>
  <c r="L433" i="2"/>
  <c r="J433" i="2" l="1"/>
  <c r="L434" i="2"/>
  <c r="J434" i="2" l="1"/>
  <c r="L435" i="2"/>
  <c r="J435" i="2" l="1"/>
  <c r="L436" i="2"/>
  <c r="J436" i="2" l="1"/>
  <c r="L437" i="2"/>
  <c r="J437" i="2" l="1"/>
  <c r="L438" i="2"/>
  <c r="J438" i="2" l="1"/>
  <c r="L439" i="2"/>
  <c r="J439" i="2" l="1"/>
  <c r="L440" i="2"/>
  <c r="J440" i="2" l="1"/>
  <c r="L441" i="2"/>
  <c r="J441" i="2" l="1"/>
  <c r="L442" i="2"/>
  <c r="J442" i="2" l="1"/>
  <c r="L443" i="2"/>
  <c r="J443" i="2" l="1"/>
  <c r="L444" i="2"/>
  <c r="J444" i="2" l="1"/>
  <c r="L445" i="2"/>
  <c r="J445" i="2" l="1"/>
  <c r="L446" i="2"/>
  <c r="J446" i="2" l="1"/>
  <c r="L447" i="2"/>
  <c r="J447" i="2" l="1"/>
  <c r="L448" i="2"/>
  <c r="J448" i="2" l="1"/>
  <c r="L449" i="2"/>
  <c r="J449" i="2" l="1"/>
  <c r="L450" i="2"/>
  <c r="J450" i="2" l="1"/>
  <c r="L451" i="2"/>
  <c r="J451" i="2" l="1"/>
  <c r="L452" i="2"/>
  <c r="J452" i="2" l="1"/>
  <c r="L453" i="2"/>
  <c r="J453" i="2" l="1"/>
  <c r="L454" i="2"/>
  <c r="J454" i="2" l="1"/>
  <c r="L455" i="2"/>
  <c r="J455" i="2" l="1"/>
  <c r="L456" i="2"/>
  <c r="J456" i="2" l="1"/>
  <c r="L457" i="2"/>
  <c r="J457" i="2" l="1"/>
  <c r="L458" i="2"/>
  <c r="J458" i="2" l="1"/>
  <c r="L459" i="2"/>
  <c r="J459" i="2" l="1"/>
  <c r="L460" i="2"/>
  <c r="J460" i="2" l="1"/>
  <c r="L461" i="2"/>
  <c r="J461" i="2" l="1"/>
  <c r="L462" i="2"/>
  <c r="J462" i="2" l="1"/>
  <c r="L463" i="2"/>
  <c r="J463" i="2" l="1"/>
  <c r="L464" i="2"/>
  <c r="J464" i="2" l="1"/>
  <c r="L465" i="2"/>
  <c r="J465" i="2" l="1"/>
  <c r="L466" i="2"/>
  <c r="J466" i="2" l="1"/>
  <c r="L467" i="2"/>
  <c r="J467" i="2" l="1"/>
  <c r="L468" i="2"/>
  <c r="J468" i="2" l="1"/>
  <c r="L469" i="2"/>
  <c r="J469" i="2" l="1"/>
  <c r="L470" i="2"/>
  <c r="J470" i="2" l="1"/>
  <c r="L471" i="2"/>
  <c r="J471" i="2" l="1"/>
  <c r="L472" i="2"/>
  <c r="J472" i="2" l="1"/>
  <c r="L473" i="2"/>
  <c r="J473" i="2" l="1"/>
  <c r="L474" i="2"/>
  <c r="J474" i="2" l="1"/>
  <c r="L475" i="2"/>
  <c r="J475" i="2" l="1"/>
  <c r="L476" i="2"/>
  <c r="J476" i="2" l="1"/>
  <c r="L477" i="2"/>
  <c r="J477" i="2" l="1"/>
  <c r="L478" i="2"/>
  <c r="J478" i="2" l="1"/>
  <c r="L479" i="2"/>
  <c r="J479" i="2" l="1"/>
  <c r="L480" i="2"/>
  <c r="J480" i="2" l="1"/>
  <c r="L481" i="2"/>
  <c r="J481" i="2" l="1"/>
  <c r="L482" i="2"/>
  <c r="J482" i="2" l="1"/>
  <c r="L483" i="2"/>
  <c r="J483" i="2" l="1"/>
  <c r="L484" i="2"/>
  <c r="J484" i="2" l="1"/>
  <c r="L485" i="2"/>
  <c r="J485" i="2" l="1"/>
  <c r="L486" i="2"/>
  <c r="J486" i="2" l="1"/>
  <c r="L487" i="2"/>
  <c r="J487" i="2" l="1"/>
  <c r="L488" i="2"/>
  <c r="J488" i="2" l="1"/>
  <c r="L489" i="2"/>
  <c r="J489" i="2" l="1"/>
  <c r="L490" i="2"/>
  <c r="J490" i="2" l="1"/>
  <c r="L491" i="2"/>
  <c r="J491" i="2" l="1"/>
  <c r="L492" i="2"/>
  <c r="J492" i="2" l="1"/>
  <c r="L493" i="2"/>
  <c r="J493" i="2" l="1"/>
  <c r="L494" i="2"/>
  <c r="J494" i="2" l="1"/>
  <c r="L495" i="2"/>
  <c r="J495" i="2" l="1"/>
  <c r="L496" i="2"/>
  <c r="J496" i="2" l="1"/>
  <c r="L497" i="2"/>
  <c r="J497" i="2" l="1"/>
  <c r="L498" i="2"/>
  <c r="J498" i="2" l="1"/>
  <c r="L499" i="2"/>
  <c r="J499" i="2" l="1"/>
  <c r="L500" i="2"/>
  <c r="J500" i="2" l="1"/>
  <c r="L501" i="2"/>
  <c r="J501" i="2" l="1"/>
  <c r="L502" i="2"/>
  <c r="J502" i="2" l="1"/>
  <c r="L503" i="2"/>
  <c r="J503" i="2" l="1"/>
  <c r="L504" i="2"/>
  <c r="J504" i="2" l="1"/>
  <c r="L505" i="2"/>
  <c r="J505" i="2" l="1"/>
  <c r="L506" i="2"/>
  <c r="J506" i="2" l="1"/>
  <c r="L507" i="2"/>
  <c r="J507" i="2" l="1"/>
  <c r="L508" i="2"/>
  <c r="J508" i="2" l="1"/>
  <c r="L509" i="2"/>
  <c r="J509" i="2" l="1"/>
  <c r="L510" i="2"/>
  <c r="J510" i="2" l="1"/>
  <c r="L511" i="2"/>
  <c r="J511" i="2" l="1"/>
  <c r="L512" i="2"/>
  <c r="J512" i="2" l="1"/>
  <c r="L513" i="2"/>
  <c r="J513" i="2" l="1"/>
  <c r="L514" i="2"/>
  <c r="J514" i="2" l="1"/>
  <c r="L515" i="2"/>
  <c r="J515" i="2" l="1"/>
  <c r="L516" i="2"/>
  <c r="J516" i="2" l="1"/>
  <c r="L517" i="2"/>
  <c r="J517" i="2" l="1"/>
  <c r="L518" i="2"/>
  <c r="J518" i="2" l="1"/>
  <c r="L519" i="2"/>
  <c r="J519" i="2" l="1"/>
  <c r="L520" i="2"/>
  <c r="J520" i="2" l="1"/>
  <c r="L521" i="2"/>
  <c r="J521" i="2" l="1"/>
  <c r="L522" i="2"/>
  <c r="J522" i="2" l="1"/>
  <c r="L523" i="2"/>
  <c r="J523" i="2" l="1"/>
  <c r="L524" i="2"/>
  <c r="J524" i="2" l="1"/>
  <c r="E9" i="2"/>
  <c r="E5" i="2" s="1"/>
  <c r="L525" i="2"/>
  <c r="J525" i="2" l="1"/>
  <c r="L526" i="2"/>
  <c r="J526" i="2" l="1"/>
  <c r="L527" i="2"/>
  <c r="J527" i="2" l="1"/>
  <c r="L528" i="2"/>
  <c r="J528" i="2" l="1"/>
  <c r="L529" i="2"/>
  <c r="J529" i="2" l="1"/>
  <c r="L530" i="2"/>
  <c r="J530" i="2" l="1"/>
  <c r="L531" i="2"/>
  <c r="J531" i="2" l="1"/>
  <c r="L532" i="2"/>
  <c r="J532" i="2" l="1"/>
  <c r="L533" i="2"/>
  <c r="J533" i="2" l="1"/>
  <c r="L534" i="2"/>
  <c r="J534" i="2" l="1"/>
  <c r="L535" i="2"/>
  <c r="J535" i="2" l="1"/>
  <c r="L536" i="2"/>
  <c r="J536" i="2" l="1"/>
  <c r="L537" i="2"/>
  <c r="J537" i="2" l="1"/>
  <c r="L538" i="2"/>
  <c r="J538" i="2" l="1"/>
  <c r="L539" i="2"/>
  <c r="J539" i="2" l="1"/>
  <c r="L540" i="2"/>
  <c r="J540" i="2" l="1"/>
  <c r="L541" i="2"/>
  <c r="J541" i="2" l="1"/>
  <c r="L542" i="2"/>
  <c r="J542" i="2" l="1"/>
  <c r="L543" i="2"/>
  <c r="J543" i="2" l="1"/>
  <c r="L544" i="2"/>
  <c r="J544" i="2" l="1"/>
  <c r="L545" i="2"/>
  <c r="J545" i="2" l="1"/>
  <c r="L546" i="2"/>
  <c r="J546" i="2" l="1"/>
  <c r="L547" i="2"/>
  <c r="J547" i="2" l="1"/>
  <c r="L548" i="2"/>
  <c r="J548" i="2" l="1"/>
  <c r="L549" i="2"/>
  <c r="J549" i="2" l="1"/>
  <c r="L550" i="2"/>
  <c r="J550" i="2" l="1"/>
  <c r="L551" i="2"/>
  <c r="J551" i="2" l="1"/>
  <c r="L552" i="2"/>
  <c r="J552" i="2" l="1"/>
  <c r="L553" i="2"/>
  <c r="J553" i="2" l="1"/>
  <c r="L554" i="2"/>
  <c r="J554" i="2" l="1"/>
  <c r="L555" i="2"/>
  <c r="J555" i="2" l="1"/>
  <c r="L556" i="2"/>
  <c r="J556" i="2" l="1"/>
  <c r="L557" i="2"/>
  <c r="J557" i="2" l="1"/>
  <c r="L558" i="2"/>
  <c r="J558" i="2" l="1"/>
  <c r="L559" i="2"/>
  <c r="J559" i="2" l="1"/>
  <c r="L560" i="2"/>
  <c r="J560" i="2" l="1"/>
  <c r="L561" i="2"/>
  <c r="J561" i="2" l="1"/>
  <c r="L562" i="2"/>
  <c r="J562" i="2" l="1"/>
  <c r="L563" i="2"/>
  <c r="J563" i="2" l="1"/>
  <c r="L564" i="2"/>
  <c r="J564" i="2" l="1"/>
  <c r="L565" i="2"/>
  <c r="J565" i="2" l="1"/>
  <c r="L566" i="2"/>
  <c r="J566" i="2" l="1"/>
  <c r="L567" i="2"/>
  <c r="J567" i="2" l="1"/>
  <c r="L568" i="2"/>
  <c r="J568" i="2" l="1"/>
  <c r="L569" i="2"/>
  <c r="J569" i="2" l="1"/>
  <c r="L570" i="2"/>
  <c r="J570" i="2" l="1"/>
  <c r="L571" i="2"/>
  <c r="J571" i="2" l="1"/>
  <c r="L572" i="2"/>
  <c r="J572" i="2" l="1"/>
  <c r="L573" i="2"/>
  <c r="J573" i="2" l="1"/>
  <c r="L574" i="2"/>
  <c r="J574" i="2" l="1"/>
  <c r="L575" i="2"/>
  <c r="J575" i="2" l="1"/>
  <c r="L576" i="2"/>
  <c r="J576" i="2" l="1"/>
  <c r="L577" i="2"/>
  <c r="J577" i="2" l="1"/>
  <c r="L578" i="2"/>
  <c r="J578" i="2" l="1"/>
  <c r="L579" i="2"/>
  <c r="J579" i="2" l="1"/>
  <c r="L580" i="2"/>
  <c r="J580" i="2" l="1"/>
  <c r="L581" i="2"/>
  <c r="J581" i="2" l="1"/>
  <c r="L582" i="2"/>
  <c r="J582" i="2" l="1"/>
  <c r="L583" i="2"/>
  <c r="J583" i="2" l="1"/>
  <c r="L584" i="2"/>
  <c r="J584" i="2" l="1"/>
  <c r="L585" i="2"/>
  <c r="J585" i="2" l="1"/>
  <c r="L586" i="2"/>
  <c r="J586" i="2" l="1"/>
  <c r="L587" i="2"/>
  <c r="J587" i="2" l="1"/>
  <c r="L588" i="2"/>
  <c r="J588" i="2" l="1"/>
  <c r="L589" i="2"/>
  <c r="J589" i="2" l="1"/>
  <c r="L590" i="2"/>
  <c r="J590" i="2" l="1"/>
  <c r="L591" i="2"/>
  <c r="J591" i="2" l="1"/>
  <c r="L592" i="2"/>
  <c r="J592" i="2" l="1"/>
  <c r="L593" i="2"/>
  <c r="J593" i="2" l="1"/>
  <c r="L594" i="2"/>
  <c r="J594" i="2" l="1"/>
  <c r="L595" i="2"/>
  <c r="J595" i="2" l="1"/>
  <c r="L596" i="2"/>
  <c r="J596" i="2" l="1"/>
  <c r="L597" i="2"/>
  <c r="J597" i="2" l="1"/>
  <c r="L598" i="2"/>
  <c r="J598" i="2" l="1"/>
  <c r="L599" i="2"/>
  <c r="J599" i="2" l="1"/>
  <c r="L600" i="2"/>
  <c r="J600" i="2" l="1"/>
  <c r="L601" i="2"/>
  <c r="J601" i="2" l="1"/>
  <c r="L602" i="2"/>
  <c r="J602" i="2" l="1"/>
  <c r="L603" i="2"/>
  <c r="J603" i="2" l="1"/>
  <c r="L604" i="2"/>
  <c r="J604" i="2" l="1"/>
  <c r="L605" i="2"/>
  <c r="J605" i="2" l="1"/>
  <c r="L606" i="2"/>
  <c r="J606" i="2" l="1"/>
  <c r="L607" i="2"/>
  <c r="J607" i="2" l="1"/>
  <c r="L608" i="2"/>
  <c r="J608" i="2" l="1"/>
  <c r="L609" i="2"/>
  <c r="J609" i="2" l="1"/>
  <c r="L610" i="2"/>
  <c r="J610" i="2" l="1"/>
  <c r="L611" i="2"/>
  <c r="J611" i="2" l="1"/>
  <c r="L612" i="2"/>
  <c r="J612" i="2" l="1"/>
  <c r="L613" i="2"/>
  <c r="J613" i="2" l="1"/>
  <c r="L614" i="2"/>
  <c r="J614" i="2" l="1"/>
  <c r="L615" i="2"/>
  <c r="J6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<sst xmlns="http://schemas.openxmlformats.org/spreadsheetml/2006/main" count="192" uniqueCount="73">
  <si>
    <t>@2A</t>
  </si>
  <si>
    <t>out</t>
  </si>
  <si>
    <t>in</t>
  </si>
  <si>
    <t>Voltage</t>
  </si>
  <si>
    <t>Current</t>
  </si>
  <si>
    <t xml:space="preserve">Current </t>
  </si>
  <si>
    <t>Efficiency %</t>
  </si>
  <si>
    <t>ef</t>
  </si>
  <si>
    <t>@1.9A</t>
  </si>
  <si>
    <t>@1.8A</t>
  </si>
  <si>
    <t>@1.7A</t>
  </si>
  <si>
    <t>@1.6A</t>
  </si>
  <si>
    <t>@1.5A</t>
  </si>
  <si>
    <t>@1.4A</t>
  </si>
  <si>
    <t>@1.3A</t>
  </si>
  <si>
    <t>@1.2A</t>
  </si>
  <si>
    <t>@1.1A</t>
  </si>
  <si>
    <t>@1A</t>
  </si>
  <si>
    <t>@0.9A</t>
  </si>
  <si>
    <t>@0.8A</t>
  </si>
  <si>
    <t>@0.7A</t>
  </si>
  <si>
    <t>@0.6A</t>
  </si>
  <si>
    <t>@0.5A</t>
  </si>
  <si>
    <t>@0.4A</t>
  </si>
  <si>
    <t>@0.3A</t>
  </si>
  <si>
    <t>@0.2A</t>
  </si>
  <si>
    <t>@0.1A</t>
  </si>
  <si>
    <t>Cumulative 100%</t>
  </si>
  <si>
    <t>Charger</t>
  </si>
  <si>
    <t>mAh</t>
  </si>
  <si>
    <t>END OF CHARGING</t>
  </si>
  <si>
    <t>SOC</t>
  </si>
  <si>
    <t>Cumulative</t>
  </si>
  <si>
    <t>BMS</t>
  </si>
  <si>
    <t>Columb Counting</t>
  </si>
  <si>
    <t>OCV</t>
  </si>
  <si>
    <t>Cumulative 9-88.4%</t>
  </si>
  <si>
    <t>time ms</t>
  </si>
  <si>
    <t>time hh:mm</t>
  </si>
  <si>
    <t>Voltage V</t>
  </si>
  <si>
    <t>Cumulative mAh</t>
  </si>
  <si>
    <t>Current A</t>
  </si>
  <si>
    <t>Tempreture</t>
  </si>
  <si>
    <t>Current*dt</t>
  </si>
  <si>
    <t>Column1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</si>
  <si>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</si>
  <si>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</si>
  <si>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</si>
  <si>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</si>
  <si>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</si>
  <si>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</si>
  <si>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</si>
  <si>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</si>
  <si>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TOTAL VOLTAGE</t>
  </si>
  <si>
    <t xml:space="preserve">WORST </t>
  </si>
  <si>
    <t>REAL</t>
  </si>
  <si>
    <t>MAX</t>
  </si>
  <si>
    <t>MIN</t>
  </si>
  <si>
    <t>MEAN</t>
  </si>
  <si>
    <t>MEANERROR</t>
  </si>
  <si>
    <t>%</t>
  </si>
  <si>
    <t>MAX ERROR</t>
  </si>
  <si>
    <t>TIME ms</t>
  </si>
  <si>
    <t>READING NO.</t>
  </si>
  <si>
    <t>TIME s</t>
  </si>
  <si>
    <t>TEMP 1</t>
  </si>
  <si>
    <t>TEMP 2</t>
  </si>
  <si>
    <t>1</t>
  </si>
  <si>
    <t>MEAN ERROR</t>
  </si>
  <si>
    <t>TIME</t>
  </si>
  <si>
    <t>CURRENT</t>
  </si>
  <si>
    <t>time s</t>
  </si>
  <si>
    <t>Current bfr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</si>
</sst>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2" borderId="2" xfId="0" applyFill="1" applyBorder="1" applyAlignment="1">
      <alignment horizontal="left"/>
    </xf>
    <xf numFmtId="166" fontId="0" fillId="2" borderId="2" xfId="0" applyNumberFormat="1" applyFill="1" applyBorder="1" applyAlignment="1">
      <alignment horizontal="left"/>
    </xf>
    <xf numFmtId="165" fontId="0" fillId="2" borderId="2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65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" fontId="0" fillId="0" borderId="0" xfId="0" applyNumberFormat="1" applyAlignment="1">
      <alignment horizontal="left"/>
    </xf>
    <xf numFmtId="2" fontId="0" fillId="3" borderId="0" xfId="0" applyNumberFormat="1" applyFill="1" applyAlignment="1">
      <alignment horizontal="left"/>
    </xf>
    <xf numFmtId="165" fontId="0" fillId="3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</cellXfs>
  <cellStyles count="1">
    <cellStyle name="Normal" xfId="0" builtinId="0"/>
  </cellStyles>
  <dxfs count="3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Charger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130525350997795E-2"/>
          <c:y val="0.12081720430107529"/>
          <c:w val="0.89946206724159483"/>
          <c:h val="0.688544915756498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'Charger Efficiency'!$I$6:$I$25</c:f>
              <c:numCache>
                <c:formatCode>General</c:formatCode>
                <c:ptCount val="20"/>
                <c:pt idx="0">
                  <c:v>8.7999999999999995E-2</c:v>
                </c:pt>
                <c:pt idx="1">
                  <c:v>0.192</c:v>
                </c:pt>
                <c:pt idx="2">
                  <c:v>0.29199999999999998</c:v>
                </c:pt>
                <c:pt idx="3">
                  <c:v>0.39200000000000002</c:v>
                </c:pt>
                <c:pt idx="4">
                  <c:v>0.49199999999999999</c:v>
                </c:pt>
                <c:pt idx="5">
                  <c:v>0.59199999999999997</c:v>
                </c:pt>
                <c:pt idx="6">
                  <c:v>0.69199999999999995</c:v>
                </c:pt>
                <c:pt idx="7">
                  <c:v>0.79200000000000004</c:v>
                </c:pt>
                <c:pt idx="8">
                  <c:v>0.89200000000000002</c:v>
                </c:pt>
                <c:pt idx="9">
                  <c:v>0.99199999999999999</c:v>
                </c:pt>
                <c:pt idx="10">
                  <c:v>1.0920000000000001</c:v>
                </c:pt>
                <c:pt idx="11">
                  <c:v>1.1919999999999999</c:v>
                </c:pt>
                <c:pt idx="12">
                  <c:v>1.292</c:v>
                </c:pt>
                <c:pt idx="13">
                  <c:v>1.3919999999999999</c:v>
                </c:pt>
                <c:pt idx="14">
                  <c:v>1.492</c:v>
                </c:pt>
                <c:pt idx="15">
                  <c:v>1.5920000000000001</c:v>
                </c:pt>
                <c:pt idx="16">
                  <c:v>1.6919999999999999</c:v>
                </c:pt>
                <c:pt idx="17">
                  <c:v>1.7949999999999999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'Charger Efficiency'!$J$6:$J$25</c:f>
              <c:numCache>
                <c:formatCode>0.0%</c:formatCode>
                <c:ptCount val="20"/>
                <c:pt idx="0">
                  <c:v>0.47599999999999998</c:v>
                </c:pt>
                <c:pt idx="1">
                  <c:v>0.65900000000000003</c:v>
                </c:pt>
                <c:pt idx="2">
                  <c:v>0.71699999999999997</c:v>
                </c:pt>
                <c:pt idx="3">
                  <c:v>0.75</c:v>
                </c:pt>
                <c:pt idx="4">
                  <c:v>0.78300000000000003</c:v>
                </c:pt>
                <c:pt idx="5">
                  <c:v>0.79600000000000004</c:v>
                </c:pt>
                <c:pt idx="6">
                  <c:v>0.80700000000000005</c:v>
                </c:pt>
                <c:pt idx="7">
                  <c:v>0.82299999999999995</c:v>
                </c:pt>
                <c:pt idx="8">
                  <c:v>0.82899999999999996</c:v>
                </c:pt>
                <c:pt idx="9">
                  <c:v>0.83</c:v>
                </c:pt>
                <c:pt idx="10">
                  <c:v>0.83399999999999996</c:v>
                </c:pt>
                <c:pt idx="11">
                  <c:v>0.83499999999999996</c:v>
                </c:pt>
                <c:pt idx="12">
                  <c:v>0.83799999999999997</c:v>
                </c:pt>
                <c:pt idx="13">
                  <c:v>0.83799999999999997</c:v>
                </c:pt>
                <c:pt idx="14">
                  <c:v>0.84199999999999997</c:v>
                </c:pt>
                <c:pt idx="15">
                  <c:v>0.84199999999999997</c:v>
                </c:pt>
                <c:pt idx="16">
                  <c:v>0.84499999999999997</c:v>
                </c:pt>
                <c:pt idx="17">
                  <c:v>0.85099999999999998</c:v>
                </c:pt>
                <c:pt idx="18">
                  <c:v>0.85199999999999998</c:v>
                </c:pt>
                <c:pt idx="19">
                  <c:v>0.85299999999999998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7EB-40CA-82FF-3B2B90E8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382279"/>
        <c:axId val="659384839"/>
      </c:lineChart>
      <c:catAx>
        <c:axId val="659382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84839"/>
        <c:crosses val="autoZero"/>
        <c:auto val="1"/>
        <c:lblAlgn val="ctr"/>
        <c:lblOffset val="100"/>
        <c:noMultiLvlLbl val="0"/>
      </c:catAx>
      <c:valAx>
        <c:axId val="659384839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82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9297669286297"/>
          <c:y val="0.13520527223722772"/>
          <c:w val="0.84633684710066115"/>
          <c:h val="0.67477604186101248"/>
        </c:manualLayout>
      </c:layout>
      <c:lineChart>
        <c:grouping val="standard"/>
        <c:varyColors val="0"/>
        <c:ser>
          <c:idx val="0"/>
          <c:order val="0"/>
          <c:tx>
            <c:strRef>
              <c:f>'Charing Profile'!$K$8</c:f>
              <c:strCache>
                <c:ptCount val="1"/>
                <c:pt idx="0">
                  <c:v>Voltage 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'Charing Profile'!$K$13:$K$615</c:f>
              <c:numCache>
                <c:formatCode>0.00</c:formatCode>
                <c:ptCount val="603"/>
                <c:pt idx="0">
                  <c:v>27.19</c:v>
                </c:pt>
                <c:pt idx="1">
                  <c:v>28.207999999999998</c:v>
                </c:pt>
                <c:pt idx="2">
                  <c:v>28.361999999999998</c:v>
                </c:pt>
                <c:pt idx="3">
                  <c:v>28.518000000000001</c:v>
                </c:pt>
                <c:pt idx="4">
                  <c:v>28.677</c:v>
                </c:pt>
                <c:pt idx="5">
                  <c:v>28.792999999999999</c:v>
                </c:pt>
                <c:pt idx="6">
                  <c:v>28.87</c:v>
                </c:pt>
                <c:pt idx="7">
                  <c:v>28.91</c:v>
                </c:pt>
                <c:pt idx="8">
                  <c:v>28.966999999999999</c:v>
                </c:pt>
                <c:pt idx="9">
                  <c:v>29.004999999999999</c:v>
                </c:pt>
                <c:pt idx="10">
                  <c:v>29.044</c:v>
                </c:pt>
                <c:pt idx="11">
                  <c:v>29.082000000000001</c:v>
                </c:pt>
                <c:pt idx="12">
                  <c:v>29.120999999999999</c:v>
                </c:pt>
                <c:pt idx="13">
                  <c:v>29.122</c:v>
                </c:pt>
                <c:pt idx="14">
                  <c:v>29.161999999999999</c:v>
                </c:pt>
                <c:pt idx="15">
                  <c:v>29.184000000000001</c:v>
                </c:pt>
                <c:pt idx="16">
                  <c:v>29.161999999999999</c:v>
                </c:pt>
                <c:pt idx="17">
                  <c:v>29.201000000000001</c:v>
                </c:pt>
                <c:pt idx="18">
                  <c:v>29.241</c:v>
                </c:pt>
                <c:pt idx="19">
                  <c:v>29.260999999999999</c:v>
                </c:pt>
                <c:pt idx="20">
                  <c:v>29.297999999999998</c:v>
                </c:pt>
                <c:pt idx="21">
                  <c:v>29.315999999999999</c:v>
                </c:pt>
                <c:pt idx="22">
                  <c:v>29.298999999999999</c:v>
                </c:pt>
                <c:pt idx="23">
                  <c:v>29.355</c:v>
                </c:pt>
                <c:pt idx="24">
                  <c:v>29.337</c:v>
                </c:pt>
                <c:pt idx="25">
                  <c:v>29.393000000000001</c:v>
                </c:pt>
                <c:pt idx="26">
                  <c:v>29.391999999999999</c:v>
                </c:pt>
                <c:pt idx="27">
                  <c:v>29.373999999999999</c:v>
                </c:pt>
                <c:pt idx="28">
                  <c:v>29.393999999999998</c:v>
                </c:pt>
                <c:pt idx="29">
                  <c:v>29.433</c:v>
                </c:pt>
                <c:pt idx="30">
                  <c:v>29.414999999999999</c:v>
                </c:pt>
                <c:pt idx="31">
                  <c:v>29.471</c:v>
                </c:pt>
                <c:pt idx="32">
                  <c:v>29.452999999999999</c:v>
                </c:pt>
                <c:pt idx="33">
                  <c:v>29.452999999999999</c:v>
                </c:pt>
                <c:pt idx="34">
                  <c:v>29.51</c:v>
                </c:pt>
                <c:pt idx="35">
                  <c:v>29.51</c:v>
                </c:pt>
                <c:pt idx="36">
                  <c:v>29.494</c:v>
                </c:pt>
                <c:pt idx="37">
                  <c:v>29.532</c:v>
                </c:pt>
                <c:pt idx="38">
                  <c:v>29.55</c:v>
                </c:pt>
                <c:pt idx="39">
                  <c:v>29.532</c:v>
                </c:pt>
                <c:pt idx="40">
                  <c:v>29.532</c:v>
                </c:pt>
                <c:pt idx="41">
                  <c:v>29.588999999999999</c:v>
                </c:pt>
                <c:pt idx="42">
                  <c:v>29.571000000000002</c:v>
                </c:pt>
                <c:pt idx="43">
                  <c:v>29.57</c:v>
                </c:pt>
                <c:pt idx="44">
                  <c:v>29.61</c:v>
                </c:pt>
                <c:pt idx="45">
                  <c:v>29.628</c:v>
                </c:pt>
                <c:pt idx="46">
                  <c:v>29.609000000000002</c:v>
                </c:pt>
                <c:pt idx="47">
                  <c:v>29.649000000000001</c:v>
                </c:pt>
                <c:pt idx="48">
                  <c:v>29.667999999999999</c:v>
                </c:pt>
                <c:pt idx="49">
                  <c:v>29.651</c:v>
                </c:pt>
                <c:pt idx="50">
                  <c:v>29.65</c:v>
                </c:pt>
                <c:pt idx="51">
                  <c:v>29.706</c:v>
                </c:pt>
                <c:pt idx="52">
                  <c:v>29.706</c:v>
                </c:pt>
                <c:pt idx="53">
                  <c:v>29.669</c:v>
                </c:pt>
                <c:pt idx="54">
                  <c:v>29.725000000000001</c:v>
                </c:pt>
                <c:pt idx="55">
                  <c:v>29.725000000000001</c:v>
                </c:pt>
                <c:pt idx="56">
                  <c:v>29.744</c:v>
                </c:pt>
                <c:pt idx="57">
                  <c:v>29.725000000000001</c:v>
                </c:pt>
                <c:pt idx="58">
                  <c:v>29.725000000000001</c:v>
                </c:pt>
                <c:pt idx="59">
                  <c:v>29.783000000000001</c:v>
                </c:pt>
                <c:pt idx="60">
                  <c:v>29.782</c:v>
                </c:pt>
                <c:pt idx="61">
                  <c:v>29.780999999999999</c:v>
                </c:pt>
                <c:pt idx="62">
                  <c:v>29.803999999999998</c:v>
                </c:pt>
                <c:pt idx="63">
                  <c:v>29.821000000000002</c:v>
                </c:pt>
                <c:pt idx="64">
                  <c:v>29.823</c:v>
                </c:pt>
                <c:pt idx="65">
                  <c:v>29.843</c:v>
                </c:pt>
                <c:pt idx="66">
                  <c:v>29.841999999999999</c:v>
                </c:pt>
                <c:pt idx="67">
                  <c:v>29.861000000000001</c:v>
                </c:pt>
                <c:pt idx="68">
                  <c:v>29.861000000000001</c:v>
                </c:pt>
                <c:pt idx="69">
                  <c:v>29.843</c:v>
                </c:pt>
                <c:pt idx="70">
                  <c:v>29.881</c:v>
                </c:pt>
                <c:pt idx="71">
                  <c:v>29.88</c:v>
                </c:pt>
                <c:pt idx="72">
                  <c:v>29.863</c:v>
                </c:pt>
                <c:pt idx="73">
                  <c:v>29.92</c:v>
                </c:pt>
                <c:pt idx="74">
                  <c:v>29.88</c:v>
                </c:pt>
                <c:pt idx="75">
                  <c:v>29.939</c:v>
                </c:pt>
                <c:pt idx="76">
                  <c:v>29.939</c:v>
                </c:pt>
                <c:pt idx="77">
                  <c:v>29.959</c:v>
                </c:pt>
                <c:pt idx="78">
                  <c:v>29.959</c:v>
                </c:pt>
                <c:pt idx="79">
                  <c:v>29.939</c:v>
                </c:pt>
                <c:pt idx="80">
                  <c:v>29.942</c:v>
                </c:pt>
                <c:pt idx="81">
                  <c:v>29.96</c:v>
                </c:pt>
                <c:pt idx="82">
                  <c:v>29.96</c:v>
                </c:pt>
                <c:pt idx="83">
                  <c:v>29.977</c:v>
                </c:pt>
                <c:pt idx="84">
                  <c:v>29.978999999999999</c:v>
                </c:pt>
                <c:pt idx="85">
                  <c:v>29.998000000000001</c:v>
                </c:pt>
                <c:pt idx="86">
                  <c:v>30.036000000000001</c:v>
                </c:pt>
                <c:pt idx="87">
                  <c:v>30.036999999999999</c:v>
                </c:pt>
                <c:pt idx="88">
                  <c:v>30.038</c:v>
                </c:pt>
                <c:pt idx="89">
                  <c:v>30.077000000000002</c:v>
                </c:pt>
                <c:pt idx="90">
                  <c:v>30.094000000000001</c:v>
                </c:pt>
                <c:pt idx="91">
                  <c:v>30.094000000000001</c:v>
                </c:pt>
                <c:pt idx="92">
                  <c:v>30.076000000000001</c:v>
                </c:pt>
                <c:pt idx="93">
                  <c:v>30.076000000000001</c:v>
                </c:pt>
                <c:pt idx="94">
                  <c:v>30.113</c:v>
                </c:pt>
                <c:pt idx="95">
                  <c:v>30.114000000000001</c:v>
                </c:pt>
                <c:pt idx="96">
                  <c:v>30.114000000000001</c:v>
                </c:pt>
                <c:pt idx="97">
                  <c:v>30.113</c:v>
                </c:pt>
                <c:pt idx="98">
                  <c:v>30.170999999999999</c:v>
                </c:pt>
                <c:pt idx="99">
                  <c:v>30.135000000000002</c:v>
                </c:pt>
                <c:pt idx="100">
                  <c:v>30.135999999999999</c:v>
                </c:pt>
                <c:pt idx="101">
                  <c:v>30.193000000000001</c:v>
                </c:pt>
                <c:pt idx="102">
                  <c:v>30.192</c:v>
                </c:pt>
                <c:pt idx="103">
                  <c:v>30.192</c:v>
                </c:pt>
                <c:pt idx="104">
                  <c:v>30.209</c:v>
                </c:pt>
                <c:pt idx="105">
                  <c:v>30.190999999999999</c:v>
                </c:pt>
                <c:pt idx="106">
                  <c:v>30.23</c:v>
                </c:pt>
                <c:pt idx="107">
                  <c:v>30.231000000000002</c:v>
                </c:pt>
                <c:pt idx="108">
                  <c:v>30.231999999999999</c:v>
                </c:pt>
                <c:pt idx="109">
                  <c:v>30.231000000000002</c:v>
                </c:pt>
                <c:pt idx="110">
                  <c:v>30.213999999999999</c:v>
                </c:pt>
                <c:pt idx="111">
                  <c:v>30.231999999999999</c:v>
                </c:pt>
                <c:pt idx="112">
                  <c:v>30.213999999999999</c:v>
                </c:pt>
                <c:pt idx="113">
                  <c:v>30.268999999999998</c:v>
                </c:pt>
                <c:pt idx="114">
                  <c:v>30.268999999999998</c:v>
                </c:pt>
                <c:pt idx="115">
                  <c:v>30.27</c:v>
                </c:pt>
                <c:pt idx="116">
                  <c:v>30.271000000000001</c:v>
                </c:pt>
                <c:pt idx="117">
                  <c:v>30.326000000000001</c:v>
                </c:pt>
                <c:pt idx="118">
                  <c:v>30.308</c:v>
                </c:pt>
                <c:pt idx="119">
                  <c:v>30.309000000000001</c:v>
                </c:pt>
                <c:pt idx="120">
                  <c:v>30.347000000000001</c:v>
                </c:pt>
                <c:pt idx="121">
                  <c:v>30.329000000000001</c:v>
                </c:pt>
                <c:pt idx="122">
                  <c:v>30.347000000000001</c:v>
                </c:pt>
                <c:pt idx="123">
                  <c:v>30.347999999999999</c:v>
                </c:pt>
                <c:pt idx="124">
                  <c:v>30.366</c:v>
                </c:pt>
                <c:pt idx="125">
                  <c:v>30.347999999999999</c:v>
                </c:pt>
                <c:pt idx="126">
                  <c:v>30.385999999999999</c:v>
                </c:pt>
                <c:pt idx="127">
                  <c:v>30.37</c:v>
                </c:pt>
                <c:pt idx="128">
                  <c:v>30.388000000000002</c:v>
                </c:pt>
                <c:pt idx="129">
                  <c:v>30.388000000000002</c:v>
                </c:pt>
                <c:pt idx="130">
                  <c:v>30.387</c:v>
                </c:pt>
                <c:pt idx="131">
                  <c:v>30.388000000000002</c:v>
                </c:pt>
                <c:pt idx="132">
                  <c:v>30.427</c:v>
                </c:pt>
                <c:pt idx="133">
                  <c:v>30.408999999999999</c:v>
                </c:pt>
                <c:pt idx="134">
                  <c:v>30.425000000000001</c:v>
                </c:pt>
                <c:pt idx="135">
                  <c:v>30.408999999999999</c:v>
                </c:pt>
                <c:pt idx="136">
                  <c:v>30.428000000000001</c:v>
                </c:pt>
                <c:pt idx="137">
                  <c:v>30.465</c:v>
                </c:pt>
                <c:pt idx="138">
                  <c:v>30.481999999999999</c:v>
                </c:pt>
                <c:pt idx="139">
                  <c:v>30.465</c:v>
                </c:pt>
                <c:pt idx="140">
                  <c:v>30.466000000000001</c:v>
                </c:pt>
                <c:pt idx="141">
                  <c:v>30.504999999999999</c:v>
                </c:pt>
                <c:pt idx="142">
                  <c:v>30.465</c:v>
                </c:pt>
                <c:pt idx="143">
                  <c:v>30.446000000000002</c:v>
                </c:pt>
                <c:pt idx="144">
                  <c:v>30.503</c:v>
                </c:pt>
                <c:pt idx="145">
                  <c:v>30.501999999999999</c:v>
                </c:pt>
                <c:pt idx="146">
                  <c:v>30.541</c:v>
                </c:pt>
                <c:pt idx="147">
                  <c:v>30.501999999999999</c:v>
                </c:pt>
                <c:pt idx="148">
                  <c:v>30.542000000000002</c:v>
                </c:pt>
                <c:pt idx="149">
                  <c:v>30.542000000000002</c:v>
                </c:pt>
                <c:pt idx="150">
                  <c:v>30.562999999999999</c:v>
                </c:pt>
                <c:pt idx="151">
                  <c:v>30.562999999999999</c:v>
                </c:pt>
                <c:pt idx="152">
                  <c:v>30.581</c:v>
                </c:pt>
                <c:pt idx="153">
                  <c:v>30.579000000000001</c:v>
                </c:pt>
                <c:pt idx="154">
                  <c:v>30.562000000000001</c:v>
                </c:pt>
                <c:pt idx="155">
                  <c:v>30.62</c:v>
                </c:pt>
                <c:pt idx="156">
                  <c:v>30.602</c:v>
                </c:pt>
                <c:pt idx="157">
                  <c:v>30.62</c:v>
                </c:pt>
                <c:pt idx="158">
                  <c:v>30.619</c:v>
                </c:pt>
                <c:pt idx="159">
                  <c:v>30.600999999999999</c:v>
                </c:pt>
                <c:pt idx="160">
                  <c:v>30.64</c:v>
                </c:pt>
                <c:pt idx="161">
                  <c:v>30.658000000000001</c:v>
                </c:pt>
                <c:pt idx="162">
                  <c:v>30.658000000000001</c:v>
                </c:pt>
                <c:pt idx="163">
                  <c:v>30.658999999999999</c:v>
                </c:pt>
                <c:pt idx="164">
                  <c:v>30.698</c:v>
                </c:pt>
                <c:pt idx="165">
                  <c:v>30.658999999999999</c:v>
                </c:pt>
                <c:pt idx="166">
                  <c:v>30.696999999999999</c:v>
                </c:pt>
                <c:pt idx="167">
                  <c:v>30.658000000000001</c:v>
                </c:pt>
                <c:pt idx="168">
                  <c:v>30.715</c:v>
                </c:pt>
                <c:pt idx="169">
                  <c:v>30.68</c:v>
                </c:pt>
                <c:pt idx="170">
                  <c:v>30.736000000000001</c:v>
                </c:pt>
                <c:pt idx="171">
                  <c:v>30.736000000000001</c:v>
                </c:pt>
                <c:pt idx="172">
                  <c:v>30.734999999999999</c:v>
                </c:pt>
                <c:pt idx="173">
                  <c:v>30.718</c:v>
                </c:pt>
                <c:pt idx="174">
                  <c:v>30.734000000000002</c:v>
                </c:pt>
                <c:pt idx="175">
                  <c:v>30.774000000000001</c:v>
                </c:pt>
                <c:pt idx="176">
                  <c:v>30.774999999999999</c:v>
                </c:pt>
                <c:pt idx="177">
                  <c:v>30.757999999999999</c:v>
                </c:pt>
                <c:pt idx="178">
                  <c:v>30.776</c:v>
                </c:pt>
                <c:pt idx="179">
                  <c:v>30.776</c:v>
                </c:pt>
                <c:pt idx="180">
                  <c:v>30.815000000000001</c:v>
                </c:pt>
                <c:pt idx="181">
                  <c:v>30.795000000000002</c:v>
                </c:pt>
                <c:pt idx="182">
                  <c:v>30.797000000000001</c:v>
                </c:pt>
                <c:pt idx="183">
                  <c:v>30.814</c:v>
                </c:pt>
                <c:pt idx="184">
                  <c:v>30.814</c:v>
                </c:pt>
                <c:pt idx="185">
                  <c:v>30.837</c:v>
                </c:pt>
                <c:pt idx="186">
                  <c:v>30.853999999999999</c:v>
                </c:pt>
                <c:pt idx="187">
                  <c:v>30.853999999999999</c:v>
                </c:pt>
                <c:pt idx="188">
                  <c:v>30.835999999999999</c:v>
                </c:pt>
                <c:pt idx="189">
                  <c:v>30.853000000000002</c:v>
                </c:pt>
                <c:pt idx="190">
                  <c:v>30.893000000000001</c:v>
                </c:pt>
                <c:pt idx="191">
                  <c:v>30.911000000000001</c:v>
                </c:pt>
                <c:pt idx="192">
                  <c:v>30.891999999999999</c:v>
                </c:pt>
                <c:pt idx="193">
                  <c:v>30.893000000000001</c:v>
                </c:pt>
                <c:pt idx="194">
                  <c:v>30.893000000000001</c:v>
                </c:pt>
                <c:pt idx="195">
                  <c:v>30.914000000000001</c:v>
                </c:pt>
                <c:pt idx="196">
                  <c:v>30.914000000000001</c:v>
                </c:pt>
                <c:pt idx="197">
                  <c:v>30.911999999999999</c:v>
                </c:pt>
                <c:pt idx="198">
                  <c:v>30.931000000000001</c:v>
                </c:pt>
                <c:pt idx="199">
                  <c:v>30.952000000000002</c:v>
                </c:pt>
                <c:pt idx="200">
                  <c:v>30.952000000000002</c:v>
                </c:pt>
                <c:pt idx="201">
                  <c:v>30.952000000000002</c:v>
                </c:pt>
                <c:pt idx="202">
                  <c:v>30.969000000000001</c:v>
                </c:pt>
                <c:pt idx="203">
                  <c:v>30.97</c:v>
                </c:pt>
                <c:pt idx="204">
                  <c:v>30.99</c:v>
                </c:pt>
                <c:pt idx="205">
                  <c:v>31.007999999999999</c:v>
                </c:pt>
                <c:pt idx="206">
                  <c:v>31.009</c:v>
                </c:pt>
                <c:pt idx="207">
                  <c:v>31.007999999999999</c:v>
                </c:pt>
                <c:pt idx="208">
                  <c:v>31.007999999999999</c:v>
                </c:pt>
                <c:pt idx="209">
                  <c:v>31.029</c:v>
                </c:pt>
                <c:pt idx="210">
                  <c:v>31.029</c:v>
                </c:pt>
                <c:pt idx="211">
                  <c:v>31.045999999999999</c:v>
                </c:pt>
                <c:pt idx="212">
                  <c:v>31.027999999999999</c:v>
                </c:pt>
                <c:pt idx="213">
                  <c:v>31.027999999999999</c:v>
                </c:pt>
                <c:pt idx="214">
                  <c:v>31.085000000000001</c:v>
                </c:pt>
                <c:pt idx="215">
                  <c:v>31.087</c:v>
                </c:pt>
                <c:pt idx="216">
                  <c:v>31.085000000000001</c:v>
                </c:pt>
                <c:pt idx="217">
                  <c:v>31.123999999999999</c:v>
                </c:pt>
                <c:pt idx="218">
                  <c:v>31.123999999999999</c:v>
                </c:pt>
                <c:pt idx="219">
                  <c:v>31.085999999999999</c:v>
                </c:pt>
                <c:pt idx="220">
                  <c:v>31.125</c:v>
                </c:pt>
                <c:pt idx="221">
                  <c:v>31.106000000000002</c:v>
                </c:pt>
                <c:pt idx="222">
                  <c:v>31.164000000000001</c:v>
                </c:pt>
                <c:pt idx="223">
                  <c:v>31.164999999999999</c:v>
                </c:pt>
                <c:pt idx="224">
                  <c:v>31.126999999999999</c:v>
                </c:pt>
                <c:pt idx="225">
                  <c:v>31.164000000000001</c:v>
                </c:pt>
                <c:pt idx="226">
                  <c:v>31.146000000000001</c:v>
                </c:pt>
                <c:pt idx="227">
                  <c:v>31.184999999999999</c:v>
                </c:pt>
                <c:pt idx="228">
                  <c:v>31.202999999999999</c:v>
                </c:pt>
                <c:pt idx="229">
                  <c:v>31.184999999999999</c:v>
                </c:pt>
                <c:pt idx="230">
                  <c:v>31.186</c:v>
                </c:pt>
                <c:pt idx="231">
                  <c:v>31.184999999999999</c:v>
                </c:pt>
                <c:pt idx="232">
                  <c:v>31.242000000000001</c:v>
                </c:pt>
                <c:pt idx="233">
                  <c:v>31.225000000000001</c:v>
                </c:pt>
                <c:pt idx="234">
                  <c:v>31.244</c:v>
                </c:pt>
                <c:pt idx="235">
                  <c:v>31.28</c:v>
                </c:pt>
                <c:pt idx="236">
                  <c:v>31.260999999999999</c:v>
                </c:pt>
                <c:pt idx="237">
                  <c:v>31.260999999999999</c:v>
                </c:pt>
                <c:pt idx="238">
                  <c:v>31.28</c:v>
                </c:pt>
                <c:pt idx="239">
                  <c:v>31.318000000000001</c:v>
                </c:pt>
                <c:pt idx="240">
                  <c:v>31.300999999999998</c:v>
                </c:pt>
                <c:pt idx="241">
                  <c:v>31.318000000000001</c:v>
                </c:pt>
                <c:pt idx="242">
                  <c:v>31.318999999999999</c:v>
                </c:pt>
                <c:pt idx="243">
                  <c:v>31.32</c:v>
                </c:pt>
                <c:pt idx="244">
                  <c:v>31.358000000000001</c:v>
                </c:pt>
                <c:pt idx="245">
                  <c:v>31.302</c:v>
                </c:pt>
                <c:pt idx="246">
                  <c:v>31.359000000000002</c:v>
                </c:pt>
                <c:pt idx="247">
                  <c:v>31.358000000000001</c:v>
                </c:pt>
                <c:pt idx="248">
                  <c:v>31.358000000000001</c:v>
                </c:pt>
                <c:pt idx="249">
                  <c:v>31.396999999999998</c:v>
                </c:pt>
                <c:pt idx="250">
                  <c:v>31.38</c:v>
                </c:pt>
                <c:pt idx="251">
                  <c:v>31.396999999999998</c:v>
                </c:pt>
                <c:pt idx="252">
                  <c:v>31.396999999999998</c:v>
                </c:pt>
                <c:pt idx="253">
                  <c:v>31.379000000000001</c:v>
                </c:pt>
                <c:pt idx="254">
                  <c:v>31.417999999999999</c:v>
                </c:pt>
                <c:pt idx="255">
                  <c:v>31.436</c:v>
                </c:pt>
                <c:pt idx="256">
                  <c:v>31.437000000000001</c:v>
                </c:pt>
                <c:pt idx="257">
                  <c:v>31.436</c:v>
                </c:pt>
                <c:pt idx="258">
                  <c:v>31.475000000000001</c:v>
                </c:pt>
                <c:pt idx="259">
                  <c:v>31.474</c:v>
                </c:pt>
                <c:pt idx="260">
                  <c:v>31.475999999999999</c:v>
                </c:pt>
                <c:pt idx="261">
                  <c:v>31.475999999999999</c:v>
                </c:pt>
                <c:pt idx="262">
                  <c:v>31.494</c:v>
                </c:pt>
                <c:pt idx="263">
                  <c:v>31.513000000000002</c:v>
                </c:pt>
                <c:pt idx="264">
                  <c:v>31.513999999999999</c:v>
                </c:pt>
                <c:pt idx="265">
                  <c:v>31.495999999999999</c:v>
                </c:pt>
                <c:pt idx="266">
                  <c:v>31.513000000000002</c:v>
                </c:pt>
                <c:pt idx="267">
                  <c:v>31.513999999999999</c:v>
                </c:pt>
                <c:pt idx="268">
                  <c:v>31.533999999999999</c:v>
                </c:pt>
                <c:pt idx="269">
                  <c:v>31.495000000000001</c:v>
                </c:pt>
                <c:pt idx="270">
                  <c:v>31.552</c:v>
                </c:pt>
                <c:pt idx="271">
                  <c:v>31.552</c:v>
                </c:pt>
                <c:pt idx="272">
                  <c:v>31.550999999999998</c:v>
                </c:pt>
                <c:pt idx="273">
                  <c:v>31.573</c:v>
                </c:pt>
                <c:pt idx="274">
                  <c:v>31.608000000000001</c:v>
                </c:pt>
                <c:pt idx="275">
                  <c:v>31.59</c:v>
                </c:pt>
                <c:pt idx="276">
                  <c:v>31.59</c:v>
                </c:pt>
                <c:pt idx="277">
                  <c:v>31.573</c:v>
                </c:pt>
                <c:pt idx="278">
                  <c:v>31.63</c:v>
                </c:pt>
                <c:pt idx="279">
                  <c:v>31.63</c:v>
                </c:pt>
                <c:pt idx="280">
                  <c:v>31.629000000000001</c:v>
                </c:pt>
                <c:pt idx="281">
                  <c:v>31.629000000000001</c:v>
                </c:pt>
                <c:pt idx="282">
                  <c:v>31.667999999999999</c:v>
                </c:pt>
                <c:pt idx="283">
                  <c:v>31.667999999999999</c:v>
                </c:pt>
                <c:pt idx="284">
                  <c:v>31.667999999999999</c:v>
                </c:pt>
                <c:pt idx="285">
                  <c:v>31.65</c:v>
                </c:pt>
                <c:pt idx="286">
                  <c:v>31.669</c:v>
                </c:pt>
                <c:pt idx="287">
                  <c:v>31.690999999999999</c:v>
                </c:pt>
                <c:pt idx="288">
                  <c:v>31.69</c:v>
                </c:pt>
                <c:pt idx="289">
                  <c:v>31.707999999999998</c:v>
                </c:pt>
                <c:pt idx="290">
                  <c:v>31.707999999999998</c:v>
                </c:pt>
                <c:pt idx="291">
                  <c:v>31.745999999999999</c:v>
                </c:pt>
                <c:pt idx="292">
                  <c:v>31.73</c:v>
                </c:pt>
                <c:pt idx="293">
                  <c:v>31.748000000000001</c:v>
                </c:pt>
                <c:pt idx="294">
                  <c:v>31.786999999999999</c:v>
                </c:pt>
                <c:pt idx="295">
                  <c:v>31.747</c:v>
                </c:pt>
                <c:pt idx="296">
                  <c:v>31.786000000000001</c:v>
                </c:pt>
                <c:pt idx="297">
                  <c:v>31.786000000000001</c:v>
                </c:pt>
                <c:pt idx="298">
                  <c:v>31.786000000000001</c:v>
                </c:pt>
                <c:pt idx="299">
                  <c:v>31.766999999999999</c:v>
                </c:pt>
                <c:pt idx="300">
                  <c:v>31.843</c:v>
                </c:pt>
                <c:pt idx="301">
                  <c:v>31.824999999999999</c:v>
                </c:pt>
                <c:pt idx="302">
                  <c:v>31.806000000000001</c:v>
                </c:pt>
                <c:pt idx="303">
                  <c:v>31.824999999999999</c:v>
                </c:pt>
                <c:pt idx="304">
                  <c:v>31.864000000000001</c:v>
                </c:pt>
                <c:pt idx="305">
                  <c:v>31.864999999999998</c:v>
                </c:pt>
                <c:pt idx="306">
                  <c:v>31.864000000000001</c:v>
                </c:pt>
                <c:pt idx="307">
                  <c:v>31.88</c:v>
                </c:pt>
                <c:pt idx="308">
                  <c:v>31.864000000000001</c:v>
                </c:pt>
                <c:pt idx="309">
                  <c:v>31.902000000000001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31.940999999999999</c:v>
                </c:pt>
                <c:pt idx="314">
                  <c:v>31.94</c:v>
                </c:pt>
                <c:pt idx="315">
                  <c:v>31.902000000000001</c:v>
                </c:pt>
                <c:pt idx="316">
                  <c:v>31.94</c:v>
                </c:pt>
                <c:pt idx="317">
                  <c:v>31.962</c:v>
                </c:pt>
                <c:pt idx="318">
                  <c:v>31.960999999999999</c:v>
                </c:pt>
                <c:pt idx="319">
                  <c:v>31.962</c:v>
                </c:pt>
                <c:pt idx="320">
                  <c:v>31.962</c:v>
                </c:pt>
                <c:pt idx="321">
                  <c:v>32.000999999999998</c:v>
                </c:pt>
                <c:pt idx="322">
                  <c:v>31.98</c:v>
                </c:pt>
                <c:pt idx="323">
                  <c:v>32.018000000000001</c:v>
                </c:pt>
                <c:pt idx="324">
                  <c:v>32.000999999999998</c:v>
                </c:pt>
                <c:pt idx="325">
                  <c:v>32</c:v>
                </c:pt>
                <c:pt idx="326">
                  <c:v>32.057000000000002</c:v>
                </c:pt>
                <c:pt idx="327">
                  <c:v>32.058</c:v>
                </c:pt>
                <c:pt idx="328">
                  <c:v>32.04</c:v>
                </c:pt>
                <c:pt idx="329">
                  <c:v>32.04</c:v>
                </c:pt>
                <c:pt idx="330">
                  <c:v>32.04</c:v>
                </c:pt>
                <c:pt idx="331">
                  <c:v>32.195</c:v>
                </c:pt>
                <c:pt idx="332">
                  <c:v>32.192999999999998</c:v>
                </c:pt>
                <c:pt idx="333">
                  <c:v>32.194000000000003</c:v>
                </c:pt>
                <c:pt idx="334">
                  <c:v>32.195</c:v>
                </c:pt>
                <c:pt idx="335">
                  <c:v>32.195</c:v>
                </c:pt>
                <c:pt idx="336">
                  <c:v>32.234000000000002</c:v>
                </c:pt>
                <c:pt idx="337">
                  <c:v>32.232999999999997</c:v>
                </c:pt>
                <c:pt idx="338">
                  <c:v>32.215000000000003</c:v>
                </c:pt>
                <c:pt idx="339">
                  <c:v>32.232999999999997</c:v>
                </c:pt>
                <c:pt idx="340">
                  <c:v>32.234000000000002</c:v>
                </c:pt>
                <c:pt idx="341">
                  <c:v>32.234000000000002</c:v>
                </c:pt>
                <c:pt idx="342">
                  <c:v>32.232999999999997</c:v>
                </c:pt>
                <c:pt idx="343">
                  <c:v>32.215000000000003</c:v>
                </c:pt>
                <c:pt idx="344">
                  <c:v>32.253999999999998</c:v>
                </c:pt>
                <c:pt idx="345">
                  <c:v>32.271000000000001</c:v>
                </c:pt>
                <c:pt idx="346">
                  <c:v>32.289000000000001</c:v>
                </c:pt>
                <c:pt idx="347">
                  <c:v>32.271999999999998</c:v>
                </c:pt>
                <c:pt idx="348">
                  <c:v>32.311999999999998</c:v>
                </c:pt>
                <c:pt idx="349">
                  <c:v>32.293999999999997</c:v>
                </c:pt>
                <c:pt idx="350">
                  <c:v>32.311999999999998</c:v>
                </c:pt>
                <c:pt idx="351">
                  <c:v>32.329000000000001</c:v>
                </c:pt>
                <c:pt idx="352">
                  <c:v>32.311999999999998</c:v>
                </c:pt>
                <c:pt idx="353">
                  <c:v>32.350999999999999</c:v>
                </c:pt>
                <c:pt idx="354">
                  <c:v>32.332999999999998</c:v>
                </c:pt>
                <c:pt idx="355">
                  <c:v>32.35</c:v>
                </c:pt>
                <c:pt idx="356">
                  <c:v>32.372999999999998</c:v>
                </c:pt>
                <c:pt idx="357">
                  <c:v>32.335000000000001</c:v>
                </c:pt>
                <c:pt idx="358">
                  <c:v>32.389000000000003</c:v>
                </c:pt>
                <c:pt idx="359">
                  <c:v>32.389000000000003</c:v>
                </c:pt>
                <c:pt idx="360">
                  <c:v>32.372</c:v>
                </c:pt>
                <c:pt idx="361">
                  <c:v>32.372</c:v>
                </c:pt>
                <c:pt idx="362">
                  <c:v>32.429000000000002</c:v>
                </c:pt>
                <c:pt idx="363">
                  <c:v>32.429000000000002</c:v>
                </c:pt>
                <c:pt idx="364">
                  <c:v>32.429000000000002</c:v>
                </c:pt>
                <c:pt idx="365">
                  <c:v>32.484999999999999</c:v>
                </c:pt>
                <c:pt idx="366">
                  <c:v>32.445</c:v>
                </c:pt>
                <c:pt idx="367">
                  <c:v>32.427</c:v>
                </c:pt>
                <c:pt idx="368">
                  <c:v>32.466999999999999</c:v>
                </c:pt>
                <c:pt idx="369">
                  <c:v>32.466999999999999</c:v>
                </c:pt>
                <c:pt idx="370">
                  <c:v>32.466999999999999</c:v>
                </c:pt>
                <c:pt idx="371">
                  <c:v>32.506</c:v>
                </c:pt>
                <c:pt idx="372">
                  <c:v>32.506999999999998</c:v>
                </c:pt>
                <c:pt idx="373">
                  <c:v>32.524999999999999</c:v>
                </c:pt>
                <c:pt idx="374">
                  <c:v>32.488</c:v>
                </c:pt>
                <c:pt idx="375">
                  <c:v>32.545000000000002</c:v>
                </c:pt>
                <c:pt idx="376">
                  <c:v>32.527000000000001</c:v>
                </c:pt>
                <c:pt idx="377">
                  <c:v>32.543999999999997</c:v>
                </c:pt>
                <c:pt idx="378">
                  <c:v>32.543999999999997</c:v>
                </c:pt>
                <c:pt idx="379">
                  <c:v>32.526000000000003</c:v>
                </c:pt>
                <c:pt idx="380">
                  <c:v>32.582999999999998</c:v>
                </c:pt>
                <c:pt idx="381">
                  <c:v>32.582999999999998</c:v>
                </c:pt>
                <c:pt idx="382">
                  <c:v>32.622</c:v>
                </c:pt>
                <c:pt idx="383">
                  <c:v>32.582999999999998</c:v>
                </c:pt>
                <c:pt idx="384">
                  <c:v>32.622999999999998</c:v>
                </c:pt>
                <c:pt idx="385">
                  <c:v>32.622</c:v>
                </c:pt>
                <c:pt idx="386">
                  <c:v>32.622</c:v>
                </c:pt>
                <c:pt idx="387">
                  <c:v>32.64</c:v>
                </c:pt>
                <c:pt idx="388">
                  <c:v>32.622</c:v>
                </c:pt>
                <c:pt idx="389">
                  <c:v>32.622999999999998</c:v>
                </c:pt>
                <c:pt idx="390">
                  <c:v>32.661000000000001</c:v>
                </c:pt>
                <c:pt idx="391">
                  <c:v>32.659999999999997</c:v>
                </c:pt>
                <c:pt idx="392">
                  <c:v>32.661000000000001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32.718000000000004</c:v>
                </c:pt>
                <c:pt idx="397">
                  <c:v>32.720999999999997</c:v>
                </c:pt>
                <c:pt idx="398">
                  <c:v>32.741</c:v>
                </c:pt>
                <c:pt idx="399">
                  <c:v>32.74</c:v>
                </c:pt>
                <c:pt idx="400">
                  <c:v>32.738999999999997</c:v>
                </c:pt>
                <c:pt idx="401">
                  <c:v>32.74</c:v>
                </c:pt>
                <c:pt idx="402">
                  <c:v>32.779000000000003</c:v>
                </c:pt>
                <c:pt idx="403">
                  <c:v>32.779000000000003</c:v>
                </c:pt>
                <c:pt idx="404">
                  <c:v>32.761000000000003</c:v>
                </c:pt>
                <c:pt idx="405">
                  <c:v>32.779000000000003</c:v>
                </c:pt>
                <c:pt idx="406">
                  <c:v>32.798999999999999</c:v>
                </c:pt>
                <c:pt idx="407">
                  <c:v>32.817999999999998</c:v>
                </c:pt>
                <c:pt idx="408">
                  <c:v>32.817</c:v>
                </c:pt>
                <c:pt idx="409">
                  <c:v>32.817999999999998</c:v>
                </c:pt>
                <c:pt idx="410">
                  <c:v>32.838000000000001</c:v>
                </c:pt>
                <c:pt idx="411">
                  <c:v>32.856000000000002</c:v>
                </c:pt>
                <c:pt idx="412">
                  <c:v>32.856000000000002</c:v>
                </c:pt>
                <c:pt idx="413">
                  <c:v>32.856000000000002</c:v>
                </c:pt>
                <c:pt idx="414">
                  <c:v>32.854999999999997</c:v>
                </c:pt>
                <c:pt idx="415">
                  <c:v>32.875999999999998</c:v>
                </c:pt>
                <c:pt idx="416">
                  <c:v>32.895000000000003</c:v>
                </c:pt>
                <c:pt idx="417">
                  <c:v>32.911999999999999</c:v>
                </c:pt>
                <c:pt idx="418">
                  <c:v>32.893999999999998</c:v>
                </c:pt>
                <c:pt idx="419">
                  <c:v>32.895000000000003</c:v>
                </c:pt>
                <c:pt idx="420">
                  <c:v>32.933</c:v>
                </c:pt>
                <c:pt idx="421">
                  <c:v>32.933</c:v>
                </c:pt>
                <c:pt idx="422">
                  <c:v>32.933</c:v>
                </c:pt>
                <c:pt idx="423">
                  <c:v>32.933</c:v>
                </c:pt>
                <c:pt idx="424">
                  <c:v>32.972000000000001</c:v>
                </c:pt>
                <c:pt idx="425">
                  <c:v>32.972000000000001</c:v>
                </c:pt>
                <c:pt idx="426">
                  <c:v>32.972999999999999</c:v>
                </c:pt>
                <c:pt idx="427">
                  <c:v>33.012</c:v>
                </c:pt>
                <c:pt idx="428">
                  <c:v>33.011000000000003</c:v>
                </c:pt>
                <c:pt idx="429">
                  <c:v>33.012</c:v>
                </c:pt>
                <c:pt idx="430">
                  <c:v>32.994</c:v>
                </c:pt>
                <c:pt idx="431">
                  <c:v>33.051000000000002</c:v>
                </c:pt>
                <c:pt idx="432">
                  <c:v>33.051000000000002</c:v>
                </c:pt>
                <c:pt idx="433">
                  <c:v>33.031999999999996</c:v>
                </c:pt>
                <c:pt idx="434">
                  <c:v>33.048999999999999</c:v>
                </c:pt>
                <c:pt idx="435">
                  <c:v>33.048999999999999</c:v>
                </c:pt>
                <c:pt idx="436">
                  <c:v>33.088000000000001</c:v>
                </c:pt>
                <c:pt idx="437">
                  <c:v>33.088000000000001</c:v>
                </c:pt>
                <c:pt idx="438">
                  <c:v>33.088000000000001</c:v>
                </c:pt>
                <c:pt idx="439">
                  <c:v>33.07</c:v>
                </c:pt>
                <c:pt idx="440">
                  <c:v>33.072000000000003</c:v>
                </c:pt>
                <c:pt idx="441">
                  <c:v>33.128999999999998</c:v>
                </c:pt>
                <c:pt idx="442">
                  <c:v>33.128999999999998</c:v>
                </c:pt>
                <c:pt idx="443">
                  <c:v>33.128999999999998</c:v>
                </c:pt>
                <c:pt idx="444">
                  <c:v>33.110999999999997</c:v>
                </c:pt>
                <c:pt idx="445">
                  <c:v>33.110999999999997</c:v>
                </c:pt>
                <c:pt idx="446">
                  <c:v>33.128999999999998</c:v>
                </c:pt>
                <c:pt idx="447">
                  <c:v>33.167000000000002</c:v>
                </c:pt>
                <c:pt idx="448">
                  <c:v>33.148000000000003</c:v>
                </c:pt>
                <c:pt idx="449">
                  <c:v>33.165999999999997</c:v>
                </c:pt>
                <c:pt idx="450">
                  <c:v>33.149000000000001</c:v>
                </c:pt>
                <c:pt idx="451">
                  <c:v>33.207000000000001</c:v>
                </c:pt>
                <c:pt idx="452">
                  <c:v>33.267000000000003</c:v>
                </c:pt>
                <c:pt idx="453">
                  <c:v>33.244</c:v>
                </c:pt>
                <c:pt idx="454">
                  <c:v>33.267000000000003</c:v>
                </c:pt>
                <c:pt idx="455">
                  <c:v>33.284999999999997</c:v>
                </c:pt>
                <c:pt idx="456">
                  <c:v>33.283999999999999</c:v>
                </c:pt>
                <c:pt idx="457">
                  <c:v>33.265999999999998</c:v>
                </c:pt>
                <c:pt idx="458">
                  <c:v>33.322000000000003</c:v>
                </c:pt>
                <c:pt idx="459">
                  <c:v>33.322000000000003</c:v>
                </c:pt>
                <c:pt idx="460">
                  <c:v>33.36</c:v>
                </c:pt>
                <c:pt idx="461">
                  <c:v>33.360999999999997</c:v>
                </c:pt>
                <c:pt idx="462">
                  <c:v>33.360999999999997</c:v>
                </c:pt>
                <c:pt idx="463">
                  <c:v>33.343000000000004</c:v>
                </c:pt>
                <c:pt idx="464">
                  <c:v>33.4</c:v>
                </c:pt>
                <c:pt idx="465">
                  <c:v>33.4</c:v>
                </c:pt>
                <c:pt idx="466">
                  <c:v>33.383000000000003</c:v>
                </c:pt>
                <c:pt idx="467">
                  <c:v>33.383000000000003</c:v>
                </c:pt>
                <c:pt idx="468">
                  <c:v>33.4</c:v>
                </c:pt>
                <c:pt idx="469">
                  <c:v>33.42</c:v>
                </c:pt>
                <c:pt idx="470">
                  <c:v>33.42</c:v>
                </c:pt>
                <c:pt idx="471">
                  <c:v>33.438000000000002</c:v>
                </c:pt>
                <c:pt idx="472">
                  <c:v>33.439</c:v>
                </c:pt>
                <c:pt idx="473">
                  <c:v>33.439</c:v>
                </c:pt>
                <c:pt idx="474">
                  <c:v>33.476999999999997</c:v>
                </c:pt>
                <c:pt idx="475">
                  <c:v>33.46</c:v>
                </c:pt>
                <c:pt idx="476">
                  <c:v>33.476999999999997</c:v>
                </c:pt>
                <c:pt idx="477">
                  <c:v>33.517000000000003</c:v>
                </c:pt>
                <c:pt idx="478">
                  <c:v>33.499000000000002</c:v>
                </c:pt>
                <c:pt idx="479">
                  <c:v>33.46</c:v>
                </c:pt>
                <c:pt idx="480">
                  <c:v>33.515999999999998</c:v>
                </c:pt>
                <c:pt idx="481">
                  <c:v>33.499000000000002</c:v>
                </c:pt>
                <c:pt idx="482">
                  <c:v>33.536999999999999</c:v>
                </c:pt>
                <c:pt idx="483">
                  <c:v>33.555999999999997</c:v>
                </c:pt>
                <c:pt idx="484">
                  <c:v>33.499000000000002</c:v>
                </c:pt>
                <c:pt idx="485">
                  <c:v>33.537999999999997</c:v>
                </c:pt>
                <c:pt idx="486">
                  <c:v>33.537999999999997</c:v>
                </c:pt>
                <c:pt idx="487">
                  <c:v>33.555</c:v>
                </c:pt>
                <c:pt idx="488">
                  <c:v>33.594999999999999</c:v>
                </c:pt>
                <c:pt idx="489">
                  <c:v>33.594000000000001</c:v>
                </c:pt>
                <c:pt idx="490">
                  <c:v>33.631999999999998</c:v>
                </c:pt>
                <c:pt idx="491">
                  <c:v>33.613999999999997</c:v>
                </c:pt>
                <c:pt idx="492">
                  <c:v>33.615000000000002</c:v>
                </c:pt>
                <c:pt idx="493">
                  <c:v>33.613999999999997</c:v>
                </c:pt>
                <c:pt idx="494">
                  <c:v>33.613999999999997</c:v>
                </c:pt>
                <c:pt idx="495">
                  <c:v>33.613999999999997</c:v>
                </c:pt>
                <c:pt idx="496">
                  <c:v>33.61</c:v>
                </c:pt>
                <c:pt idx="497">
                  <c:v>33.61</c:v>
                </c:pt>
                <c:pt idx="498">
                  <c:v>33.670999999999999</c:v>
                </c:pt>
                <c:pt idx="499">
                  <c:v>33.631999999999998</c:v>
                </c:pt>
                <c:pt idx="500">
                  <c:v>33.619999999999997</c:v>
                </c:pt>
                <c:pt idx="501">
                  <c:v>33.6</c:v>
                </c:pt>
                <c:pt idx="502">
                  <c:v>33.61</c:v>
                </c:pt>
                <c:pt idx="503">
                  <c:v>33.64</c:v>
                </c:pt>
                <c:pt idx="504">
                  <c:v>33.631999999999998</c:v>
                </c:pt>
                <c:pt idx="505">
                  <c:v>33.633000000000003</c:v>
                </c:pt>
                <c:pt idx="506">
                  <c:v>33.651000000000003</c:v>
                </c:pt>
                <c:pt idx="507">
                  <c:v>33.593000000000004</c:v>
                </c:pt>
                <c:pt idx="508">
                  <c:v>33.631999999999998</c:v>
                </c:pt>
                <c:pt idx="509">
                  <c:v>33.633000000000003</c:v>
                </c:pt>
                <c:pt idx="510">
                  <c:v>33.633000000000003</c:v>
                </c:pt>
                <c:pt idx="511">
                  <c:v>33.633000000000003</c:v>
                </c:pt>
                <c:pt idx="512">
                  <c:v>33.555708143849429</c:v>
                </c:pt>
                <c:pt idx="513">
                  <c:v>33.590379019756767</c:v>
                </c:pt>
                <c:pt idx="514">
                  <c:v>33.62232401745959</c:v>
                </c:pt>
                <c:pt idx="515">
                  <c:v>33.583316150218337</c:v>
                </c:pt>
                <c:pt idx="516">
                  <c:v>33.616468247632127</c:v>
                </c:pt>
                <c:pt idx="517">
                  <c:v>33.574544118379762</c:v>
                </c:pt>
                <c:pt idx="518">
                  <c:v>33.591608452065309</c:v>
                </c:pt>
                <c:pt idx="519">
                  <c:v>33.617297008831443</c:v>
                </c:pt>
                <c:pt idx="520">
                  <c:v>33.628519672861813</c:v>
                </c:pt>
                <c:pt idx="521">
                  <c:v>33.572507612235583</c:v>
                </c:pt>
                <c:pt idx="522">
                  <c:v>33.566398476177589</c:v>
                </c:pt>
                <c:pt idx="523">
                  <c:v>33.56902814693386</c:v>
                </c:pt>
                <c:pt idx="524">
                  <c:v>33.597831458647072</c:v>
                </c:pt>
                <c:pt idx="525">
                  <c:v>33.589045697070489</c:v>
                </c:pt>
                <c:pt idx="526">
                  <c:v>33.650632736686113</c:v>
                </c:pt>
                <c:pt idx="527">
                  <c:v>33.601822363593179</c:v>
                </c:pt>
                <c:pt idx="528">
                  <c:v>33.642692400420948</c:v>
                </c:pt>
                <c:pt idx="529">
                  <c:v>33.633999019141463</c:v>
                </c:pt>
                <c:pt idx="530">
                  <c:v>33.559342707317363</c:v>
                </c:pt>
                <c:pt idx="531">
                  <c:v>33.608770055468582</c:v>
                </c:pt>
                <c:pt idx="532">
                  <c:v>33.571409664269723</c:v>
                </c:pt>
                <c:pt idx="533">
                  <c:v>33.633217947550357</c:v>
                </c:pt>
                <c:pt idx="534">
                  <c:v>33.597212278371593</c:v>
                </c:pt>
                <c:pt idx="535">
                  <c:v>33.584369416208453</c:v>
                </c:pt>
                <c:pt idx="536">
                  <c:v>33.63675084784969</c:v>
                </c:pt>
                <c:pt idx="537">
                  <c:v>33.580093914084181</c:v>
                </c:pt>
                <c:pt idx="538">
                  <c:v>33.562465223524612</c:v>
                </c:pt>
                <c:pt idx="539">
                  <c:v>33.607344400694153</c:v>
                </c:pt>
                <c:pt idx="540">
                  <c:v>33.568344876367469</c:v>
                </c:pt>
                <c:pt idx="541">
                  <c:v>33.56106481932963</c:v>
                </c:pt>
                <c:pt idx="542">
                  <c:v>33.536323379428403</c:v>
                </c:pt>
                <c:pt idx="543">
                  <c:v>33.609422138146783</c:v>
                </c:pt>
                <c:pt idx="544">
                  <c:v>33.579984469827558</c:v>
                </c:pt>
                <c:pt idx="545">
                  <c:v>33.56304038420047</c:v>
                </c:pt>
                <c:pt idx="546">
                  <c:v>33.568360558707212</c:v>
                </c:pt>
                <c:pt idx="547">
                  <c:v>33.58792717781423</c:v>
                </c:pt>
                <c:pt idx="548">
                  <c:v>33.635784940787957</c:v>
                </c:pt>
                <c:pt idx="549">
                  <c:v>33.627497817048187</c:v>
                </c:pt>
                <c:pt idx="550">
                  <c:v>33.550108710700982</c:v>
                </c:pt>
                <c:pt idx="551">
                  <c:v>33.635156894228693</c:v>
                </c:pt>
                <c:pt idx="552">
                  <c:v>33.614521348413597</c:v>
                </c:pt>
                <c:pt idx="553">
                  <c:v>33.646717967313407</c:v>
                </c:pt>
                <c:pt idx="554">
                  <c:v>33.596167556758267</c:v>
                </c:pt>
                <c:pt idx="555">
                  <c:v>33.648058179303668</c:v>
                </c:pt>
                <c:pt idx="556">
                  <c:v>33.591072516622212</c:v>
                </c:pt>
                <c:pt idx="557">
                  <c:v>33.580513692941928</c:v>
                </c:pt>
                <c:pt idx="558">
                  <c:v>33.593721601035448</c:v>
                </c:pt>
                <c:pt idx="559">
                  <c:v>33.547817970026223</c:v>
                </c:pt>
                <c:pt idx="560">
                  <c:v>33.577097353642039</c:v>
                </c:pt>
                <c:pt idx="561">
                  <c:v>33.602531347189618</c:v>
                </c:pt>
                <c:pt idx="562">
                  <c:v>33.571892737431618</c:v>
                </c:pt>
                <c:pt idx="563">
                  <c:v>33.604433410958691</c:v>
                </c:pt>
                <c:pt idx="564">
                  <c:v>33.566453177604842</c:v>
                </c:pt>
                <c:pt idx="565">
                  <c:v>33.60263380015806</c:v>
                </c:pt>
                <c:pt idx="566">
                  <c:v>33.591564218733239</c:v>
                </c:pt>
                <c:pt idx="567">
                  <c:v>33.581859309041263</c:v>
                </c:pt>
                <c:pt idx="568">
                  <c:v>33.617925661185481</c:v>
                </c:pt>
                <c:pt idx="569">
                  <c:v>33.603767667468219</c:v>
                </c:pt>
                <c:pt idx="570">
                  <c:v>33.578817476901051</c:v>
                </c:pt>
                <c:pt idx="571">
                  <c:v>33.561456518783899</c:v>
                </c:pt>
                <c:pt idx="572">
                  <c:v>33.605390429505967</c:v>
                </c:pt>
                <c:pt idx="573">
                  <c:v>33.550474834485293</c:v>
                </c:pt>
                <c:pt idx="574">
                  <c:v>33.565606948802539</c:v>
                </c:pt>
                <c:pt idx="575">
                  <c:v>33.576469433918447</c:v>
                </c:pt>
                <c:pt idx="576">
                  <c:v>33.607299491866733</c:v>
                </c:pt>
                <c:pt idx="577">
                  <c:v>33.63317179380369</c:v>
                </c:pt>
                <c:pt idx="578">
                  <c:v>33.639976034026922</c:v>
                </c:pt>
                <c:pt idx="579">
                  <c:v>33.628012404526586</c:v>
                </c:pt>
                <c:pt idx="580">
                  <c:v>33.648062526938169</c:v>
                </c:pt>
                <c:pt idx="581">
                  <c:v>33.559132993841132</c:v>
                </c:pt>
                <c:pt idx="582">
                  <c:v>33.619924068259422</c:v>
                </c:pt>
                <c:pt idx="583">
                  <c:v>33.638577248609913</c:v>
                </c:pt>
                <c:pt idx="584">
                  <c:v>33.577776876937861</c:v>
                </c:pt>
                <c:pt idx="585">
                  <c:v>33.637097049650677</c:v>
                </c:pt>
                <c:pt idx="586">
                  <c:v>33.612839333344517</c:v>
                </c:pt>
                <c:pt idx="587">
                  <c:v>33.552283326698799</c:v>
                </c:pt>
                <c:pt idx="588">
                  <c:v>33.588312296057588</c:v>
                </c:pt>
                <c:pt idx="589">
                  <c:v>33.564828881899302</c:v>
                </c:pt>
                <c:pt idx="590">
                  <c:v>33.627341332417757</c:v>
                </c:pt>
                <c:pt idx="591">
                  <c:v>33.566974663121833</c:v>
                </c:pt>
                <c:pt idx="592">
                  <c:v>33.55056711508945</c:v>
                </c:pt>
                <c:pt idx="593">
                  <c:v>33.620359921776199</c:v>
                </c:pt>
                <c:pt idx="594">
                  <c:v>33.648062526938169</c:v>
                </c:pt>
                <c:pt idx="595">
                  <c:v>33.559132993841132</c:v>
                </c:pt>
                <c:pt idx="596">
                  <c:v>33.619924068259422</c:v>
                </c:pt>
                <c:pt idx="597">
                  <c:v>33.638577248609913</c:v>
                </c:pt>
                <c:pt idx="598">
                  <c:v>33.577776876937861</c:v>
                </c:pt>
                <c:pt idx="599">
                  <c:v>33.637097049650677</c:v>
                </c:pt>
                <c:pt idx="600">
                  <c:v>33.612839333344517</c:v>
                </c:pt>
                <c:pt idx="601">
                  <c:v>33.627341332417757</c:v>
                </c:pt>
                <c:pt idx="602">
                  <c:v>33.566974663121833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9-4481-80FF-2FBF065A6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'Charing Profile'!$M$13:$M$615</c:f>
              <c:numCache>
                <c:formatCode>0.00</c:formatCode>
                <c:ptCount val="603"/>
                <c:pt idx="0">
                  <c:v>0</c:v>
                </c:pt>
                <c:pt idx="1">
                  <c:v>1.25</c:v>
                </c:pt>
                <c:pt idx="2">
                  <c:v>1.4000000000000001</c:v>
                </c:pt>
                <c:pt idx="3">
                  <c:v>1.61</c:v>
                </c:pt>
                <c:pt idx="4">
                  <c:v>1.9100000000000001</c:v>
                </c:pt>
                <c:pt idx="5">
                  <c:v>1.9600000000000002</c:v>
                </c:pt>
                <c:pt idx="6">
                  <c:v>1.9500000000000002</c:v>
                </c:pt>
                <c:pt idx="7">
                  <c:v>1.9500000000000002</c:v>
                </c:pt>
                <c:pt idx="8">
                  <c:v>1.9500000000000002</c:v>
                </c:pt>
                <c:pt idx="9">
                  <c:v>1.9600000000000002</c:v>
                </c:pt>
                <c:pt idx="10">
                  <c:v>1.9400000000000002</c:v>
                </c:pt>
                <c:pt idx="11">
                  <c:v>1.9500000000000002</c:v>
                </c:pt>
                <c:pt idx="12">
                  <c:v>1.9100000000000001</c:v>
                </c:pt>
                <c:pt idx="13">
                  <c:v>1.9500000000000002</c:v>
                </c:pt>
                <c:pt idx="14">
                  <c:v>1.9500000000000002</c:v>
                </c:pt>
                <c:pt idx="15">
                  <c:v>1.9300000000000002</c:v>
                </c:pt>
                <c:pt idx="16">
                  <c:v>1.9500000000000002</c:v>
                </c:pt>
                <c:pt idx="17">
                  <c:v>1.9400000000000002</c:v>
                </c:pt>
                <c:pt idx="18">
                  <c:v>1.9500000000000002</c:v>
                </c:pt>
                <c:pt idx="19">
                  <c:v>1.9600000000000002</c:v>
                </c:pt>
                <c:pt idx="20">
                  <c:v>1.9700000000000002</c:v>
                </c:pt>
                <c:pt idx="21">
                  <c:v>1.99</c:v>
                </c:pt>
                <c:pt idx="22">
                  <c:v>1.9600000000000002</c:v>
                </c:pt>
                <c:pt idx="23">
                  <c:v>1.99</c:v>
                </c:pt>
                <c:pt idx="24">
                  <c:v>1.98</c:v>
                </c:pt>
                <c:pt idx="25">
                  <c:v>1.98</c:v>
                </c:pt>
                <c:pt idx="26">
                  <c:v>1.9700000000000002</c:v>
                </c:pt>
                <c:pt idx="27">
                  <c:v>1.98</c:v>
                </c:pt>
                <c:pt idx="28">
                  <c:v>1.9700000000000002</c:v>
                </c:pt>
                <c:pt idx="29">
                  <c:v>1.9600000000000002</c:v>
                </c:pt>
                <c:pt idx="30">
                  <c:v>1.9600000000000002</c:v>
                </c:pt>
                <c:pt idx="31">
                  <c:v>1.99</c:v>
                </c:pt>
                <c:pt idx="32">
                  <c:v>1.99</c:v>
                </c:pt>
                <c:pt idx="33">
                  <c:v>1.9700000000000002</c:v>
                </c:pt>
                <c:pt idx="34">
                  <c:v>1.98</c:v>
                </c:pt>
                <c:pt idx="35">
                  <c:v>1.9700000000000002</c:v>
                </c:pt>
                <c:pt idx="36">
                  <c:v>1.9700000000000002</c:v>
                </c:pt>
                <c:pt idx="37">
                  <c:v>1.9700000000000002</c:v>
                </c:pt>
                <c:pt idx="38">
                  <c:v>2</c:v>
                </c:pt>
                <c:pt idx="39">
                  <c:v>1.98</c:v>
                </c:pt>
                <c:pt idx="40">
                  <c:v>2</c:v>
                </c:pt>
                <c:pt idx="41">
                  <c:v>1.98</c:v>
                </c:pt>
                <c:pt idx="42">
                  <c:v>1.9700000000000002</c:v>
                </c:pt>
                <c:pt idx="43">
                  <c:v>1.98</c:v>
                </c:pt>
                <c:pt idx="44">
                  <c:v>1.98</c:v>
                </c:pt>
                <c:pt idx="45">
                  <c:v>1.98</c:v>
                </c:pt>
                <c:pt idx="46">
                  <c:v>1.9600000000000002</c:v>
                </c:pt>
                <c:pt idx="47">
                  <c:v>1.9600000000000002</c:v>
                </c:pt>
                <c:pt idx="48">
                  <c:v>1.9600000000000002</c:v>
                </c:pt>
                <c:pt idx="49">
                  <c:v>1.99</c:v>
                </c:pt>
                <c:pt idx="50">
                  <c:v>1.99</c:v>
                </c:pt>
                <c:pt idx="51">
                  <c:v>2</c:v>
                </c:pt>
                <c:pt idx="52">
                  <c:v>1.9700000000000002</c:v>
                </c:pt>
                <c:pt idx="53">
                  <c:v>1.9600000000000002</c:v>
                </c:pt>
                <c:pt idx="54">
                  <c:v>1.9700000000000002</c:v>
                </c:pt>
                <c:pt idx="55">
                  <c:v>2</c:v>
                </c:pt>
                <c:pt idx="56">
                  <c:v>1.9700000000000002</c:v>
                </c:pt>
                <c:pt idx="57">
                  <c:v>1.98</c:v>
                </c:pt>
                <c:pt idx="58">
                  <c:v>1.9700000000000002</c:v>
                </c:pt>
                <c:pt idx="59">
                  <c:v>1.98</c:v>
                </c:pt>
                <c:pt idx="60">
                  <c:v>1.9700000000000002</c:v>
                </c:pt>
                <c:pt idx="61">
                  <c:v>1.99</c:v>
                </c:pt>
                <c:pt idx="62">
                  <c:v>1.9600000000000002</c:v>
                </c:pt>
                <c:pt idx="63">
                  <c:v>1.9700000000000002</c:v>
                </c:pt>
                <c:pt idx="64">
                  <c:v>2.0099999999999998</c:v>
                </c:pt>
                <c:pt idx="65">
                  <c:v>1.9700000000000002</c:v>
                </c:pt>
                <c:pt idx="66">
                  <c:v>1.9700000000000002</c:v>
                </c:pt>
                <c:pt idx="67">
                  <c:v>2</c:v>
                </c:pt>
                <c:pt idx="68">
                  <c:v>1.98</c:v>
                </c:pt>
                <c:pt idx="69">
                  <c:v>1.99</c:v>
                </c:pt>
                <c:pt idx="70">
                  <c:v>1.98</c:v>
                </c:pt>
                <c:pt idx="71">
                  <c:v>1.99</c:v>
                </c:pt>
                <c:pt idx="72">
                  <c:v>1.9600000000000002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1.9600000000000002</c:v>
                </c:pt>
                <c:pt idx="78">
                  <c:v>1.9700000000000002</c:v>
                </c:pt>
                <c:pt idx="79">
                  <c:v>1.98</c:v>
                </c:pt>
                <c:pt idx="80">
                  <c:v>1.98</c:v>
                </c:pt>
                <c:pt idx="81">
                  <c:v>1.98</c:v>
                </c:pt>
                <c:pt idx="82">
                  <c:v>2</c:v>
                </c:pt>
                <c:pt idx="83">
                  <c:v>2</c:v>
                </c:pt>
                <c:pt idx="84">
                  <c:v>1.9700000000000002</c:v>
                </c:pt>
                <c:pt idx="85">
                  <c:v>1.99</c:v>
                </c:pt>
                <c:pt idx="86">
                  <c:v>2.0699999999999998</c:v>
                </c:pt>
                <c:pt idx="87">
                  <c:v>1.99</c:v>
                </c:pt>
                <c:pt idx="88">
                  <c:v>1.99</c:v>
                </c:pt>
                <c:pt idx="89">
                  <c:v>2.0099999999999998</c:v>
                </c:pt>
                <c:pt idx="90">
                  <c:v>1.9700000000000002</c:v>
                </c:pt>
                <c:pt idx="91">
                  <c:v>1.99</c:v>
                </c:pt>
                <c:pt idx="92">
                  <c:v>1.9700000000000002</c:v>
                </c:pt>
                <c:pt idx="93">
                  <c:v>1.98</c:v>
                </c:pt>
                <c:pt idx="94">
                  <c:v>1.9700000000000002</c:v>
                </c:pt>
                <c:pt idx="95">
                  <c:v>1.98</c:v>
                </c:pt>
                <c:pt idx="96">
                  <c:v>1.9500000000000002</c:v>
                </c:pt>
                <c:pt idx="97">
                  <c:v>1.98</c:v>
                </c:pt>
                <c:pt idx="98">
                  <c:v>1.9600000000000002</c:v>
                </c:pt>
                <c:pt idx="99">
                  <c:v>1.9700000000000002</c:v>
                </c:pt>
                <c:pt idx="100">
                  <c:v>1.9600000000000002</c:v>
                </c:pt>
                <c:pt idx="101">
                  <c:v>1.9600000000000002</c:v>
                </c:pt>
                <c:pt idx="102">
                  <c:v>1.9600000000000002</c:v>
                </c:pt>
                <c:pt idx="103">
                  <c:v>1.98</c:v>
                </c:pt>
                <c:pt idx="104">
                  <c:v>1.98</c:v>
                </c:pt>
                <c:pt idx="105">
                  <c:v>1.9400000000000002</c:v>
                </c:pt>
                <c:pt idx="106">
                  <c:v>1.98</c:v>
                </c:pt>
                <c:pt idx="107">
                  <c:v>1.99</c:v>
                </c:pt>
                <c:pt idx="108">
                  <c:v>1.99</c:v>
                </c:pt>
                <c:pt idx="109">
                  <c:v>1.98</c:v>
                </c:pt>
                <c:pt idx="110">
                  <c:v>1.98</c:v>
                </c:pt>
                <c:pt idx="111">
                  <c:v>1.99</c:v>
                </c:pt>
                <c:pt idx="112">
                  <c:v>1.98</c:v>
                </c:pt>
                <c:pt idx="113">
                  <c:v>1.99</c:v>
                </c:pt>
                <c:pt idx="114">
                  <c:v>2.0099999999999998</c:v>
                </c:pt>
                <c:pt idx="115">
                  <c:v>1.99</c:v>
                </c:pt>
                <c:pt idx="116">
                  <c:v>1.9700000000000002</c:v>
                </c:pt>
                <c:pt idx="117">
                  <c:v>1.99</c:v>
                </c:pt>
                <c:pt idx="118">
                  <c:v>1.99</c:v>
                </c:pt>
                <c:pt idx="119">
                  <c:v>1.9400000000000002</c:v>
                </c:pt>
                <c:pt idx="120">
                  <c:v>2</c:v>
                </c:pt>
                <c:pt idx="121">
                  <c:v>1.99</c:v>
                </c:pt>
                <c:pt idx="122">
                  <c:v>1.9700000000000002</c:v>
                </c:pt>
                <c:pt idx="123">
                  <c:v>1.98</c:v>
                </c:pt>
                <c:pt idx="124">
                  <c:v>1.98</c:v>
                </c:pt>
                <c:pt idx="125">
                  <c:v>1.98</c:v>
                </c:pt>
                <c:pt idx="126">
                  <c:v>1.98</c:v>
                </c:pt>
                <c:pt idx="127">
                  <c:v>1.98</c:v>
                </c:pt>
                <c:pt idx="128">
                  <c:v>1.99</c:v>
                </c:pt>
                <c:pt idx="129">
                  <c:v>1.99</c:v>
                </c:pt>
                <c:pt idx="130">
                  <c:v>1.99</c:v>
                </c:pt>
                <c:pt idx="131">
                  <c:v>1.98</c:v>
                </c:pt>
                <c:pt idx="132">
                  <c:v>1.98</c:v>
                </c:pt>
                <c:pt idx="133">
                  <c:v>1.99</c:v>
                </c:pt>
                <c:pt idx="134">
                  <c:v>2.0099999999999998</c:v>
                </c:pt>
                <c:pt idx="135">
                  <c:v>1.9700000000000002</c:v>
                </c:pt>
                <c:pt idx="136">
                  <c:v>2.0099999999999998</c:v>
                </c:pt>
                <c:pt idx="137">
                  <c:v>1.99</c:v>
                </c:pt>
                <c:pt idx="138">
                  <c:v>1.98</c:v>
                </c:pt>
                <c:pt idx="139">
                  <c:v>1.9700000000000002</c:v>
                </c:pt>
                <c:pt idx="140">
                  <c:v>1.98</c:v>
                </c:pt>
                <c:pt idx="141">
                  <c:v>1.98</c:v>
                </c:pt>
                <c:pt idx="142">
                  <c:v>2</c:v>
                </c:pt>
                <c:pt idx="143">
                  <c:v>1.99</c:v>
                </c:pt>
                <c:pt idx="144">
                  <c:v>2</c:v>
                </c:pt>
                <c:pt idx="145">
                  <c:v>1.99</c:v>
                </c:pt>
                <c:pt idx="146">
                  <c:v>1.98</c:v>
                </c:pt>
                <c:pt idx="147">
                  <c:v>2</c:v>
                </c:pt>
                <c:pt idx="148">
                  <c:v>1.9600000000000002</c:v>
                </c:pt>
                <c:pt idx="149">
                  <c:v>1.99</c:v>
                </c:pt>
                <c:pt idx="150">
                  <c:v>2</c:v>
                </c:pt>
                <c:pt idx="151">
                  <c:v>1.98</c:v>
                </c:pt>
                <c:pt idx="152">
                  <c:v>2</c:v>
                </c:pt>
                <c:pt idx="153">
                  <c:v>1.98</c:v>
                </c:pt>
                <c:pt idx="154">
                  <c:v>2</c:v>
                </c:pt>
                <c:pt idx="155">
                  <c:v>1.98</c:v>
                </c:pt>
                <c:pt idx="156">
                  <c:v>1.99</c:v>
                </c:pt>
                <c:pt idx="157">
                  <c:v>1.99</c:v>
                </c:pt>
                <c:pt idx="158">
                  <c:v>1.99</c:v>
                </c:pt>
                <c:pt idx="159">
                  <c:v>1.98</c:v>
                </c:pt>
                <c:pt idx="160">
                  <c:v>1.9700000000000002</c:v>
                </c:pt>
                <c:pt idx="161">
                  <c:v>2</c:v>
                </c:pt>
                <c:pt idx="162">
                  <c:v>1.99</c:v>
                </c:pt>
                <c:pt idx="163">
                  <c:v>2.02</c:v>
                </c:pt>
                <c:pt idx="164">
                  <c:v>1.98</c:v>
                </c:pt>
                <c:pt idx="165">
                  <c:v>1.99</c:v>
                </c:pt>
                <c:pt idx="166">
                  <c:v>2.0099999999999998</c:v>
                </c:pt>
                <c:pt idx="167">
                  <c:v>1.99</c:v>
                </c:pt>
                <c:pt idx="168">
                  <c:v>2</c:v>
                </c:pt>
                <c:pt idx="169">
                  <c:v>2.0099999999999998</c:v>
                </c:pt>
                <c:pt idx="170">
                  <c:v>1.99</c:v>
                </c:pt>
                <c:pt idx="171">
                  <c:v>1.98</c:v>
                </c:pt>
                <c:pt idx="172">
                  <c:v>1.99</c:v>
                </c:pt>
                <c:pt idx="173">
                  <c:v>1.99</c:v>
                </c:pt>
                <c:pt idx="174">
                  <c:v>1.99</c:v>
                </c:pt>
                <c:pt idx="175">
                  <c:v>2</c:v>
                </c:pt>
                <c:pt idx="176">
                  <c:v>1.99</c:v>
                </c:pt>
                <c:pt idx="177">
                  <c:v>2</c:v>
                </c:pt>
                <c:pt idx="178">
                  <c:v>1.99</c:v>
                </c:pt>
                <c:pt idx="179">
                  <c:v>2</c:v>
                </c:pt>
                <c:pt idx="180">
                  <c:v>2.02</c:v>
                </c:pt>
                <c:pt idx="181">
                  <c:v>1.99</c:v>
                </c:pt>
                <c:pt idx="182">
                  <c:v>2</c:v>
                </c:pt>
                <c:pt idx="183">
                  <c:v>2</c:v>
                </c:pt>
                <c:pt idx="184">
                  <c:v>1.98</c:v>
                </c:pt>
                <c:pt idx="185">
                  <c:v>2.0099999999999998</c:v>
                </c:pt>
                <c:pt idx="186">
                  <c:v>1.99</c:v>
                </c:pt>
                <c:pt idx="187">
                  <c:v>1.99</c:v>
                </c:pt>
                <c:pt idx="188">
                  <c:v>2.0099999999999998</c:v>
                </c:pt>
                <c:pt idx="189">
                  <c:v>2</c:v>
                </c:pt>
                <c:pt idx="190">
                  <c:v>2</c:v>
                </c:pt>
                <c:pt idx="191">
                  <c:v>1.98</c:v>
                </c:pt>
                <c:pt idx="192">
                  <c:v>1.98</c:v>
                </c:pt>
                <c:pt idx="193">
                  <c:v>2</c:v>
                </c:pt>
                <c:pt idx="194">
                  <c:v>2</c:v>
                </c:pt>
                <c:pt idx="195">
                  <c:v>2.0099999999999998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1.99</c:v>
                </c:pt>
                <c:pt idx="200">
                  <c:v>2.0099999999999998</c:v>
                </c:pt>
                <c:pt idx="201">
                  <c:v>2</c:v>
                </c:pt>
                <c:pt idx="202">
                  <c:v>2</c:v>
                </c:pt>
                <c:pt idx="203">
                  <c:v>1.98</c:v>
                </c:pt>
                <c:pt idx="204">
                  <c:v>1.9600000000000002</c:v>
                </c:pt>
                <c:pt idx="205">
                  <c:v>2</c:v>
                </c:pt>
                <c:pt idx="206">
                  <c:v>2</c:v>
                </c:pt>
                <c:pt idx="207">
                  <c:v>2.0099999999999998</c:v>
                </c:pt>
                <c:pt idx="208">
                  <c:v>2</c:v>
                </c:pt>
                <c:pt idx="209">
                  <c:v>2</c:v>
                </c:pt>
                <c:pt idx="210">
                  <c:v>1.99</c:v>
                </c:pt>
                <c:pt idx="211">
                  <c:v>1.99</c:v>
                </c:pt>
                <c:pt idx="212">
                  <c:v>1.9700000000000002</c:v>
                </c:pt>
                <c:pt idx="213">
                  <c:v>1.98</c:v>
                </c:pt>
                <c:pt idx="214">
                  <c:v>1.99</c:v>
                </c:pt>
                <c:pt idx="215">
                  <c:v>1.98</c:v>
                </c:pt>
                <c:pt idx="216">
                  <c:v>1.99</c:v>
                </c:pt>
                <c:pt idx="217">
                  <c:v>1.9700000000000002</c:v>
                </c:pt>
                <c:pt idx="218">
                  <c:v>2</c:v>
                </c:pt>
                <c:pt idx="219">
                  <c:v>1.9700000000000002</c:v>
                </c:pt>
                <c:pt idx="220">
                  <c:v>1.98</c:v>
                </c:pt>
                <c:pt idx="221">
                  <c:v>2</c:v>
                </c:pt>
                <c:pt idx="222">
                  <c:v>1.99</c:v>
                </c:pt>
                <c:pt idx="223">
                  <c:v>1.98</c:v>
                </c:pt>
                <c:pt idx="224">
                  <c:v>1.99</c:v>
                </c:pt>
                <c:pt idx="225">
                  <c:v>2.0099999999999998</c:v>
                </c:pt>
                <c:pt idx="226">
                  <c:v>1.9600000000000002</c:v>
                </c:pt>
                <c:pt idx="227">
                  <c:v>1.99</c:v>
                </c:pt>
                <c:pt idx="228">
                  <c:v>1.99</c:v>
                </c:pt>
                <c:pt idx="229">
                  <c:v>1.98</c:v>
                </c:pt>
                <c:pt idx="230">
                  <c:v>1.9600000000000002</c:v>
                </c:pt>
                <c:pt idx="231">
                  <c:v>1.99</c:v>
                </c:pt>
                <c:pt idx="232">
                  <c:v>1.99</c:v>
                </c:pt>
                <c:pt idx="233">
                  <c:v>2.02</c:v>
                </c:pt>
                <c:pt idx="234">
                  <c:v>1.9700000000000002</c:v>
                </c:pt>
                <c:pt idx="235">
                  <c:v>2</c:v>
                </c:pt>
                <c:pt idx="236">
                  <c:v>1.9700000000000002</c:v>
                </c:pt>
                <c:pt idx="237">
                  <c:v>1.98</c:v>
                </c:pt>
                <c:pt idx="238">
                  <c:v>1.9600000000000002</c:v>
                </c:pt>
                <c:pt idx="239">
                  <c:v>1.9700000000000002</c:v>
                </c:pt>
                <c:pt idx="240">
                  <c:v>1.9700000000000002</c:v>
                </c:pt>
                <c:pt idx="241">
                  <c:v>1.99</c:v>
                </c:pt>
                <c:pt idx="242">
                  <c:v>1.98</c:v>
                </c:pt>
                <c:pt idx="243">
                  <c:v>1.9600000000000002</c:v>
                </c:pt>
                <c:pt idx="244">
                  <c:v>1.99</c:v>
                </c:pt>
                <c:pt idx="245">
                  <c:v>1.9700000000000002</c:v>
                </c:pt>
                <c:pt idx="246">
                  <c:v>1.9700000000000002</c:v>
                </c:pt>
                <c:pt idx="247">
                  <c:v>2</c:v>
                </c:pt>
                <c:pt idx="248">
                  <c:v>1.98</c:v>
                </c:pt>
                <c:pt idx="249">
                  <c:v>1.9700000000000002</c:v>
                </c:pt>
                <c:pt idx="250">
                  <c:v>1.98</c:v>
                </c:pt>
                <c:pt idx="251">
                  <c:v>1.9700000000000002</c:v>
                </c:pt>
                <c:pt idx="252">
                  <c:v>1.9700000000000002</c:v>
                </c:pt>
                <c:pt idx="253">
                  <c:v>2.0099999999999998</c:v>
                </c:pt>
                <c:pt idx="254">
                  <c:v>1.9700000000000002</c:v>
                </c:pt>
                <c:pt idx="255">
                  <c:v>1.98</c:v>
                </c:pt>
                <c:pt idx="256">
                  <c:v>1.99</c:v>
                </c:pt>
                <c:pt idx="257">
                  <c:v>1.99</c:v>
                </c:pt>
                <c:pt idx="258">
                  <c:v>1.9600000000000002</c:v>
                </c:pt>
                <c:pt idx="259">
                  <c:v>1.98</c:v>
                </c:pt>
                <c:pt idx="260">
                  <c:v>1.98</c:v>
                </c:pt>
                <c:pt idx="261">
                  <c:v>2</c:v>
                </c:pt>
                <c:pt idx="262">
                  <c:v>1.98</c:v>
                </c:pt>
                <c:pt idx="263">
                  <c:v>1.9700000000000002</c:v>
                </c:pt>
                <c:pt idx="264">
                  <c:v>1.9700000000000002</c:v>
                </c:pt>
                <c:pt idx="265">
                  <c:v>1.9600000000000002</c:v>
                </c:pt>
                <c:pt idx="266">
                  <c:v>1.98</c:v>
                </c:pt>
                <c:pt idx="267">
                  <c:v>1.99</c:v>
                </c:pt>
                <c:pt idx="268">
                  <c:v>2</c:v>
                </c:pt>
                <c:pt idx="269">
                  <c:v>1.9700000000000002</c:v>
                </c:pt>
                <c:pt idx="270">
                  <c:v>2</c:v>
                </c:pt>
                <c:pt idx="271">
                  <c:v>2</c:v>
                </c:pt>
                <c:pt idx="272">
                  <c:v>1.98</c:v>
                </c:pt>
                <c:pt idx="273">
                  <c:v>1.9700000000000002</c:v>
                </c:pt>
                <c:pt idx="274">
                  <c:v>1.99</c:v>
                </c:pt>
                <c:pt idx="275">
                  <c:v>1.98</c:v>
                </c:pt>
                <c:pt idx="276">
                  <c:v>1.98</c:v>
                </c:pt>
                <c:pt idx="277">
                  <c:v>1.9700000000000002</c:v>
                </c:pt>
                <c:pt idx="278">
                  <c:v>1.9700000000000002</c:v>
                </c:pt>
                <c:pt idx="279">
                  <c:v>1.98</c:v>
                </c:pt>
                <c:pt idx="280">
                  <c:v>1.9500000000000002</c:v>
                </c:pt>
                <c:pt idx="281">
                  <c:v>1.99</c:v>
                </c:pt>
                <c:pt idx="282">
                  <c:v>1.99</c:v>
                </c:pt>
                <c:pt idx="283">
                  <c:v>1.99</c:v>
                </c:pt>
                <c:pt idx="284">
                  <c:v>2.0099999999999998</c:v>
                </c:pt>
                <c:pt idx="285">
                  <c:v>1.9700000000000002</c:v>
                </c:pt>
                <c:pt idx="286">
                  <c:v>1.99</c:v>
                </c:pt>
                <c:pt idx="287">
                  <c:v>1.99</c:v>
                </c:pt>
                <c:pt idx="288">
                  <c:v>1.9700000000000002</c:v>
                </c:pt>
                <c:pt idx="289">
                  <c:v>1.99</c:v>
                </c:pt>
                <c:pt idx="290">
                  <c:v>1.98</c:v>
                </c:pt>
                <c:pt idx="291">
                  <c:v>1.98</c:v>
                </c:pt>
                <c:pt idx="292">
                  <c:v>1.9700000000000002</c:v>
                </c:pt>
                <c:pt idx="293">
                  <c:v>1.99</c:v>
                </c:pt>
                <c:pt idx="294">
                  <c:v>2</c:v>
                </c:pt>
                <c:pt idx="295">
                  <c:v>2.02</c:v>
                </c:pt>
                <c:pt idx="296">
                  <c:v>1.98</c:v>
                </c:pt>
                <c:pt idx="297">
                  <c:v>1.99</c:v>
                </c:pt>
                <c:pt idx="298">
                  <c:v>1.98</c:v>
                </c:pt>
                <c:pt idx="299">
                  <c:v>1.9700000000000002</c:v>
                </c:pt>
                <c:pt idx="300">
                  <c:v>1.99</c:v>
                </c:pt>
                <c:pt idx="301">
                  <c:v>2</c:v>
                </c:pt>
                <c:pt idx="302">
                  <c:v>1.98</c:v>
                </c:pt>
                <c:pt idx="303">
                  <c:v>1.99</c:v>
                </c:pt>
                <c:pt idx="304">
                  <c:v>1.99</c:v>
                </c:pt>
                <c:pt idx="305">
                  <c:v>1.98</c:v>
                </c:pt>
                <c:pt idx="306">
                  <c:v>2.0099999999999998</c:v>
                </c:pt>
                <c:pt idx="307">
                  <c:v>2</c:v>
                </c:pt>
                <c:pt idx="308">
                  <c:v>1.99</c:v>
                </c:pt>
                <c:pt idx="309">
                  <c:v>1.98</c:v>
                </c:pt>
                <c:pt idx="310">
                  <c:v>2.0099999999999998</c:v>
                </c:pt>
                <c:pt idx="311">
                  <c:v>1.99</c:v>
                </c:pt>
                <c:pt idx="312">
                  <c:v>1.98</c:v>
                </c:pt>
                <c:pt idx="313">
                  <c:v>1.99</c:v>
                </c:pt>
                <c:pt idx="314">
                  <c:v>1.98</c:v>
                </c:pt>
                <c:pt idx="315">
                  <c:v>1.99</c:v>
                </c:pt>
                <c:pt idx="316">
                  <c:v>2</c:v>
                </c:pt>
                <c:pt idx="317">
                  <c:v>2.0099999999999998</c:v>
                </c:pt>
                <c:pt idx="318">
                  <c:v>2</c:v>
                </c:pt>
                <c:pt idx="319">
                  <c:v>2.0099999999999998</c:v>
                </c:pt>
                <c:pt idx="320">
                  <c:v>1.99</c:v>
                </c:pt>
                <c:pt idx="321">
                  <c:v>1.98</c:v>
                </c:pt>
                <c:pt idx="322">
                  <c:v>1.98</c:v>
                </c:pt>
                <c:pt idx="323">
                  <c:v>1.99</c:v>
                </c:pt>
                <c:pt idx="324">
                  <c:v>1.99</c:v>
                </c:pt>
                <c:pt idx="325">
                  <c:v>2.0099999999999998</c:v>
                </c:pt>
                <c:pt idx="326">
                  <c:v>1.98</c:v>
                </c:pt>
                <c:pt idx="327">
                  <c:v>2</c:v>
                </c:pt>
                <c:pt idx="328">
                  <c:v>1.98</c:v>
                </c:pt>
                <c:pt idx="329">
                  <c:v>1.9600000000000002</c:v>
                </c:pt>
                <c:pt idx="330">
                  <c:v>1.98</c:v>
                </c:pt>
                <c:pt idx="331">
                  <c:v>2.0099999999999998</c:v>
                </c:pt>
                <c:pt idx="332">
                  <c:v>2</c:v>
                </c:pt>
                <c:pt idx="333">
                  <c:v>1.9700000000000002</c:v>
                </c:pt>
                <c:pt idx="334">
                  <c:v>1.99</c:v>
                </c:pt>
                <c:pt idx="335">
                  <c:v>1.99</c:v>
                </c:pt>
                <c:pt idx="336">
                  <c:v>1.99</c:v>
                </c:pt>
                <c:pt idx="337">
                  <c:v>1.99</c:v>
                </c:pt>
                <c:pt idx="338">
                  <c:v>2</c:v>
                </c:pt>
                <c:pt idx="339">
                  <c:v>2</c:v>
                </c:pt>
                <c:pt idx="340">
                  <c:v>1.99</c:v>
                </c:pt>
                <c:pt idx="341">
                  <c:v>1.99</c:v>
                </c:pt>
                <c:pt idx="342">
                  <c:v>1.99</c:v>
                </c:pt>
                <c:pt idx="343">
                  <c:v>2</c:v>
                </c:pt>
                <c:pt idx="344">
                  <c:v>1.99</c:v>
                </c:pt>
                <c:pt idx="345">
                  <c:v>1.98</c:v>
                </c:pt>
                <c:pt idx="346">
                  <c:v>2</c:v>
                </c:pt>
                <c:pt idx="347">
                  <c:v>1.98</c:v>
                </c:pt>
                <c:pt idx="348">
                  <c:v>2.0299999999999998</c:v>
                </c:pt>
                <c:pt idx="349">
                  <c:v>1.98</c:v>
                </c:pt>
                <c:pt idx="350">
                  <c:v>1.99</c:v>
                </c:pt>
                <c:pt idx="351">
                  <c:v>1.98</c:v>
                </c:pt>
                <c:pt idx="352">
                  <c:v>2.0099999999999998</c:v>
                </c:pt>
                <c:pt idx="353">
                  <c:v>1.99</c:v>
                </c:pt>
                <c:pt idx="354">
                  <c:v>1.99</c:v>
                </c:pt>
                <c:pt idx="355">
                  <c:v>1.98</c:v>
                </c:pt>
                <c:pt idx="356">
                  <c:v>1.98</c:v>
                </c:pt>
                <c:pt idx="357">
                  <c:v>1.99</c:v>
                </c:pt>
                <c:pt idx="358">
                  <c:v>2</c:v>
                </c:pt>
                <c:pt idx="359">
                  <c:v>1.9700000000000002</c:v>
                </c:pt>
                <c:pt idx="360">
                  <c:v>1.9700000000000002</c:v>
                </c:pt>
                <c:pt idx="361">
                  <c:v>2</c:v>
                </c:pt>
                <c:pt idx="362">
                  <c:v>1.99</c:v>
                </c:pt>
                <c:pt idx="363">
                  <c:v>1.99</c:v>
                </c:pt>
                <c:pt idx="364">
                  <c:v>1.9700000000000002</c:v>
                </c:pt>
                <c:pt idx="365">
                  <c:v>1.9600000000000002</c:v>
                </c:pt>
                <c:pt idx="366">
                  <c:v>2</c:v>
                </c:pt>
                <c:pt idx="367">
                  <c:v>1.99</c:v>
                </c:pt>
                <c:pt idx="368">
                  <c:v>1.98</c:v>
                </c:pt>
                <c:pt idx="369">
                  <c:v>2.0099999999999998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1.99</c:v>
                </c:pt>
                <c:pt idx="373">
                  <c:v>1.9700000000000002</c:v>
                </c:pt>
                <c:pt idx="374">
                  <c:v>2.0099999999999998</c:v>
                </c:pt>
                <c:pt idx="375">
                  <c:v>2.0099999999999998</c:v>
                </c:pt>
                <c:pt idx="376">
                  <c:v>2</c:v>
                </c:pt>
                <c:pt idx="377">
                  <c:v>2.0099999999999998</c:v>
                </c:pt>
                <c:pt idx="378">
                  <c:v>2</c:v>
                </c:pt>
                <c:pt idx="379">
                  <c:v>1.98</c:v>
                </c:pt>
                <c:pt idx="380">
                  <c:v>1.98</c:v>
                </c:pt>
                <c:pt idx="381">
                  <c:v>2</c:v>
                </c:pt>
                <c:pt idx="382">
                  <c:v>1.9600000000000002</c:v>
                </c:pt>
                <c:pt idx="383">
                  <c:v>1.98</c:v>
                </c:pt>
                <c:pt idx="384">
                  <c:v>2</c:v>
                </c:pt>
                <c:pt idx="385">
                  <c:v>2</c:v>
                </c:pt>
                <c:pt idx="386">
                  <c:v>1.99</c:v>
                </c:pt>
                <c:pt idx="387">
                  <c:v>1.99</c:v>
                </c:pt>
                <c:pt idx="388">
                  <c:v>1.99</c:v>
                </c:pt>
                <c:pt idx="389">
                  <c:v>2</c:v>
                </c:pt>
                <c:pt idx="390">
                  <c:v>1.98</c:v>
                </c:pt>
                <c:pt idx="391">
                  <c:v>1.99</c:v>
                </c:pt>
                <c:pt idx="392">
                  <c:v>1.98</c:v>
                </c:pt>
                <c:pt idx="393">
                  <c:v>1.99</c:v>
                </c:pt>
                <c:pt idx="394">
                  <c:v>2</c:v>
                </c:pt>
                <c:pt idx="395">
                  <c:v>2.02</c:v>
                </c:pt>
                <c:pt idx="396">
                  <c:v>1.99</c:v>
                </c:pt>
                <c:pt idx="397">
                  <c:v>2</c:v>
                </c:pt>
                <c:pt idx="398">
                  <c:v>1.98</c:v>
                </c:pt>
                <c:pt idx="399">
                  <c:v>1.99</c:v>
                </c:pt>
                <c:pt idx="400">
                  <c:v>1.9700000000000002</c:v>
                </c:pt>
                <c:pt idx="401">
                  <c:v>1.98</c:v>
                </c:pt>
                <c:pt idx="402">
                  <c:v>2.0099999999999998</c:v>
                </c:pt>
                <c:pt idx="403">
                  <c:v>1.98</c:v>
                </c:pt>
                <c:pt idx="404">
                  <c:v>2</c:v>
                </c:pt>
                <c:pt idx="405">
                  <c:v>2.0099999999999998</c:v>
                </c:pt>
                <c:pt idx="406">
                  <c:v>1.99</c:v>
                </c:pt>
                <c:pt idx="407">
                  <c:v>1.98</c:v>
                </c:pt>
                <c:pt idx="408">
                  <c:v>1.99</c:v>
                </c:pt>
                <c:pt idx="409">
                  <c:v>2</c:v>
                </c:pt>
                <c:pt idx="410">
                  <c:v>1.98</c:v>
                </c:pt>
                <c:pt idx="411">
                  <c:v>2</c:v>
                </c:pt>
                <c:pt idx="412">
                  <c:v>1.99</c:v>
                </c:pt>
                <c:pt idx="413">
                  <c:v>1.9700000000000002</c:v>
                </c:pt>
                <c:pt idx="414">
                  <c:v>1.99</c:v>
                </c:pt>
                <c:pt idx="415">
                  <c:v>1.9700000000000002</c:v>
                </c:pt>
                <c:pt idx="416">
                  <c:v>1.9700000000000002</c:v>
                </c:pt>
                <c:pt idx="417">
                  <c:v>1.9500000000000002</c:v>
                </c:pt>
                <c:pt idx="418">
                  <c:v>1.9500000000000002</c:v>
                </c:pt>
                <c:pt idx="419">
                  <c:v>1.99</c:v>
                </c:pt>
                <c:pt idx="420">
                  <c:v>1.99</c:v>
                </c:pt>
                <c:pt idx="421">
                  <c:v>1.9600000000000002</c:v>
                </c:pt>
                <c:pt idx="422">
                  <c:v>1.98</c:v>
                </c:pt>
                <c:pt idx="423">
                  <c:v>1.99</c:v>
                </c:pt>
                <c:pt idx="424">
                  <c:v>2.0099999999999998</c:v>
                </c:pt>
                <c:pt idx="425">
                  <c:v>1.98</c:v>
                </c:pt>
                <c:pt idx="426">
                  <c:v>1.99</c:v>
                </c:pt>
                <c:pt idx="427">
                  <c:v>1.98</c:v>
                </c:pt>
                <c:pt idx="428">
                  <c:v>1.9700000000000002</c:v>
                </c:pt>
                <c:pt idx="429">
                  <c:v>1.9700000000000002</c:v>
                </c:pt>
                <c:pt idx="430">
                  <c:v>1.99</c:v>
                </c:pt>
                <c:pt idx="431">
                  <c:v>2.0099999999999998</c:v>
                </c:pt>
                <c:pt idx="432">
                  <c:v>1.99</c:v>
                </c:pt>
                <c:pt idx="433">
                  <c:v>1.98</c:v>
                </c:pt>
                <c:pt idx="434">
                  <c:v>1.9700000000000002</c:v>
                </c:pt>
                <c:pt idx="435">
                  <c:v>2</c:v>
                </c:pt>
                <c:pt idx="436">
                  <c:v>1.99</c:v>
                </c:pt>
                <c:pt idx="437">
                  <c:v>1.98</c:v>
                </c:pt>
                <c:pt idx="438">
                  <c:v>1.99</c:v>
                </c:pt>
                <c:pt idx="439">
                  <c:v>2</c:v>
                </c:pt>
                <c:pt idx="440">
                  <c:v>1.9600000000000002</c:v>
                </c:pt>
                <c:pt idx="441">
                  <c:v>2</c:v>
                </c:pt>
                <c:pt idx="442">
                  <c:v>2</c:v>
                </c:pt>
                <c:pt idx="443">
                  <c:v>1.98</c:v>
                </c:pt>
                <c:pt idx="444">
                  <c:v>1.99</c:v>
                </c:pt>
                <c:pt idx="445">
                  <c:v>1.98</c:v>
                </c:pt>
                <c:pt idx="446">
                  <c:v>1.98</c:v>
                </c:pt>
                <c:pt idx="447">
                  <c:v>1.98</c:v>
                </c:pt>
                <c:pt idx="448">
                  <c:v>1.9700000000000002</c:v>
                </c:pt>
                <c:pt idx="449">
                  <c:v>2.0299999999999998</c:v>
                </c:pt>
                <c:pt idx="450">
                  <c:v>1.99</c:v>
                </c:pt>
                <c:pt idx="451">
                  <c:v>2</c:v>
                </c:pt>
                <c:pt idx="452">
                  <c:v>1.9700000000000002</c:v>
                </c:pt>
                <c:pt idx="453">
                  <c:v>1.99</c:v>
                </c:pt>
                <c:pt idx="454">
                  <c:v>1.99</c:v>
                </c:pt>
                <c:pt idx="455">
                  <c:v>1.9700000000000002</c:v>
                </c:pt>
                <c:pt idx="456">
                  <c:v>1.99</c:v>
                </c:pt>
                <c:pt idx="457">
                  <c:v>1.98</c:v>
                </c:pt>
                <c:pt idx="458">
                  <c:v>1.98</c:v>
                </c:pt>
                <c:pt idx="459">
                  <c:v>2.02</c:v>
                </c:pt>
                <c:pt idx="460">
                  <c:v>1.98</c:v>
                </c:pt>
                <c:pt idx="461">
                  <c:v>1.9700000000000002</c:v>
                </c:pt>
                <c:pt idx="462">
                  <c:v>2.0099999999999998</c:v>
                </c:pt>
                <c:pt idx="463">
                  <c:v>1.98</c:v>
                </c:pt>
                <c:pt idx="464">
                  <c:v>1.99</c:v>
                </c:pt>
                <c:pt idx="465">
                  <c:v>1.99</c:v>
                </c:pt>
                <c:pt idx="466">
                  <c:v>1.9400000000000002</c:v>
                </c:pt>
                <c:pt idx="467">
                  <c:v>1.99</c:v>
                </c:pt>
                <c:pt idx="468">
                  <c:v>1.98</c:v>
                </c:pt>
                <c:pt idx="469">
                  <c:v>1.98</c:v>
                </c:pt>
                <c:pt idx="470">
                  <c:v>1.9600000000000002</c:v>
                </c:pt>
                <c:pt idx="471">
                  <c:v>1.9700000000000002</c:v>
                </c:pt>
                <c:pt idx="472">
                  <c:v>1.9700000000000002</c:v>
                </c:pt>
                <c:pt idx="473">
                  <c:v>1.98</c:v>
                </c:pt>
                <c:pt idx="474">
                  <c:v>1.9700000000000002</c:v>
                </c:pt>
                <c:pt idx="475">
                  <c:v>1.98</c:v>
                </c:pt>
                <c:pt idx="476">
                  <c:v>1.99</c:v>
                </c:pt>
                <c:pt idx="477">
                  <c:v>2</c:v>
                </c:pt>
                <c:pt idx="478">
                  <c:v>1.98</c:v>
                </c:pt>
                <c:pt idx="479">
                  <c:v>1.99</c:v>
                </c:pt>
                <c:pt idx="480">
                  <c:v>1.98</c:v>
                </c:pt>
                <c:pt idx="481">
                  <c:v>2</c:v>
                </c:pt>
                <c:pt idx="482">
                  <c:v>1.98</c:v>
                </c:pt>
                <c:pt idx="483">
                  <c:v>1.9700000000000002</c:v>
                </c:pt>
                <c:pt idx="484">
                  <c:v>1.99</c:v>
                </c:pt>
                <c:pt idx="485">
                  <c:v>1.98</c:v>
                </c:pt>
                <c:pt idx="486">
                  <c:v>1.99</c:v>
                </c:pt>
                <c:pt idx="487">
                  <c:v>1.99</c:v>
                </c:pt>
                <c:pt idx="488">
                  <c:v>1.98</c:v>
                </c:pt>
                <c:pt idx="489">
                  <c:v>2.0099999999999998</c:v>
                </c:pt>
                <c:pt idx="490">
                  <c:v>1.98</c:v>
                </c:pt>
                <c:pt idx="491">
                  <c:v>1.99</c:v>
                </c:pt>
                <c:pt idx="492">
                  <c:v>1.99</c:v>
                </c:pt>
                <c:pt idx="493">
                  <c:v>1.9700000000000002</c:v>
                </c:pt>
                <c:pt idx="494">
                  <c:v>2</c:v>
                </c:pt>
                <c:pt idx="495">
                  <c:v>1.98</c:v>
                </c:pt>
                <c:pt idx="496">
                  <c:v>2.0099999999999998</c:v>
                </c:pt>
                <c:pt idx="497">
                  <c:v>1.9500000000000002</c:v>
                </c:pt>
                <c:pt idx="498">
                  <c:v>1.9600000000000002</c:v>
                </c:pt>
                <c:pt idx="499">
                  <c:v>1.9300000000000002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1.8800000000000001</c:v>
                </c:pt>
                <c:pt idx="503">
                  <c:v>1.84</c:v>
                </c:pt>
                <c:pt idx="504">
                  <c:v>1.86</c:v>
                </c:pt>
                <c:pt idx="505">
                  <c:v>1.82</c:v>
                </c:pt>
                <c:pt idx="506">
                  <c:v>1.84</c:v>
                </c:pt>
                <c:pt idx="507">
                  <c:v>1.82</c:v>
                </c:pt>
                <c:pt idx="508">
                  <c:v>1.78</c:v>
                </c:pt>
                <c:pt idx="509">
                  <c:v>1.8</c:v>
                </c:pt>
                <c:pt idx="510">
                  <c:v>1.7200000000000002</c:v>
                </c:pt>
                <c:pt idx="511">
                  <c:v>1.73</c:v>
                </c:pt>
                <c:pt idx="512">
                  <c:v>1.7213688789409001</c:v>
                </c:pt>
                <c:pt idx="513">
                  <c:v>1.686129483259966</c:v>
                </c:pt>
                <c:pt idx="514">
                  <c:v>1.6452957948301139</c:v>
                </c:pt>
                <c:pt idx="515">
                  <c:v>1.6201861542138161</c:v>
                </c:pt>
                <c:pt idx="516">
                  <c:v>1.59279138876002</c:v>
                </c:pt>
                <c:pt idx="517">
                  <c:v>1.575710577701817</c:v>
                </c:pt>
                <c:pt idx="518">
                  <c:v>1.5501798457695051</c:v>
                </c:pt>
                <c:pt idx="519">
                  <c:v>1.524693208111354</c:v>
                </c:pt>
                <c:pt idx="520">
                  <c:v>1.519298978399414</c:v>
                </c:pt>
                <c:pt idx="521">
                  <c:v>1.4987904488883079</c:v>
                </c:pt>
                <c:pt idx="522">
                  <c:v>1.4875591278519651</c:v>
                </c:pt>
                <c:pt idx="523">
                  <c:v>1.455160007090823</c:v>
                </c:pt>
                <c:pt idx="524">
                  <c:v>1.4221500288119431</c:v>
                </c:pt>
                <c:pt idx="525">
                  <c:v>1.417417809806798</c:v>
                </c:pt>
                <c:pt idx="526">
                  <c:v>1.392923133031879</c:v>
                </c:pt>
                <c:pt idx="527">
                  <c:v>1.372023731614862</c:v>
                </c:pt>
                <c:pt idx="528">
                  <c:v>1.3569036739280651</c:v>
                </c:pt>
                <c:pt idx="529">
                  <c:v>1.3393652795617239</c:v>
                </c:pt>
                <c:pt idx="530">
                  <c:v>1.3084012219998089</c:v>
                </c:pt>
                <c:pt idx="531">
                  <c:v>1.287219873302869</c:v>
                </c:pt>
                <c:pt idx="532">
                  <c:v>1.262317368569289</c:v>
                </c:pt>
                <c:pt idx="533">
                  <c:v>1.251607304421184</c:v>
                </c:pt>
                <c:pt idx="534">
                  <c:v>1.2347557798208439</c:v>
                </c:pt>
                <c:pt idx="535">
                  <c:v>1.210283381187532</c:v>
                </c:pt>
                <c:pt idx="536">
                  <c:v>1.1912228014084849</c:v>
                </c:pt>
                <c:pt idx="537">
                  <c:v>1.1811687052572371</c:v>
                </c:pt>
                <c:pt idx="538">
                  <c:v>1.161146705747115</c:v>
                </c:pt>
                <c:pt idx="539">
                  <c:v>1.146975872246905</c:v>
                </c:pt>
                <c:pt idx="540">
                  <c:v>1.1329743094529989</c:v>
                </c:pt>
                <c:pt idx="541">
                  <c:v>1.114942092983954</c:v>
                </c:pt>
                <c:pt idx="542">
                  <c:v>1.0916754744322219</c:v>
                </c:pt>
                <c:pt idx="543">
                  <c:v>1.081915343012926</c:v>
                </c:pt>
                <c:pt idx="544">
                  <c:v>1.0593733932276279</c:v>
                </c:pt>
                <c:pt idx="545">
                  <c:v>1.0571298952760211</c:v>
                </c:pt>
                <c:pt idx="546">
                  <c:v>1.029293302990963</c:v>
                </c:pt>
                <c:pt idx="547">
                  <c:v>1.0279836987555999</c:v>
                </c:pt>
                <c:pt idx="548">
                  <c:v>0.99754679661008394</c:v>
                </c:pt>
                <c:pt idx="549">
                  <c:v>0.98850008043487092</c:v>
                </c:pt>
                <c:pt idx="550">
                  <c:v>0.97592211865162015</c:v>
                </c:pt>
                <c:pt idx="551">
                  <c:v>0.95261852271026037</c:v>
                </c:pt>
                <c:pt idx="552">
                  <c:v>0.94092961226205463</c:v>
                </c:pt>
                <c:pt idx="553">
                  <c:v>0.92748462422964451</c:v>
                </c:pt>
                <c:pt idx="554">
                  <c:v>0.91796227718817935</c:v>
                </c:pt>
                <c:pt idx="555">
                  <c:v>0.90004875328162759</c:v>
                </c:pt>
                <c:pt idx="556">
                  <c:v>0.88695294044023054</c:v>
                </c:pt>
                <c:pt idx="557">
                  <c:v>0.87190962757758084</c:v>
                </c:pt>
                <c:pt idx="558">
                  <c:v>0.86223751656251835</c:v>
                </c:pt>
                <c:pt idx="559">
                  <c:v>0.85074276889886735</c:v>
                </c:pt>
                <c:pt idx="560">
                  <c:v>0.84730859185180285</c:v>
                </c:pt>
                <c:pt idx="561">
                  <c:v>0.82533744423575184</c:v>
                </c:pt>
                <c:pt idx="562">
                  <c:v>0.80723439063712465</c:v>
                </c:pt>
                <c:pt idx="563">
                  <c:v>0.79988070356133378</c:v>
                </c:pt>
                <c:pt idx="564">
                  <c:v>0.79880441049431949</c:v>
                </c:pt>
                <c:pt idx="565">
                  <c:v>0.78035491675427404</c:v>
                </c:pt>
                <c:pt idx="566">
                  <c:v>0.75914692496473024</c:v>
                </c:pt>
                <c:pt idx="567">
                  <c:v>0.75852193013707903</c:v>
                </c:pt>
                <c:pt idx="568">
                  <c:v>0.73210842496276285</c:v>
                </c:pt>
                <c:pt idx="569">
                  <c:v>0.73314901950860112</c:v>
                </c:pt>
                <c:pt idx="570">
                  <c:v>0.71476258232159473</c:v>
                </c:pt>
                <c:pt idx="571">
                  <c:v>0.71425086451775255</c:v>
                </c:pt>
                <c:pt idx="572">
                  <c:v>0.69771240548881319</c:v>
                </c:pt>
                <c:pt idx="573">
                  <c:v>0.69591447293908104</c:v>
                </c:pt>
                <c:pt idx="574">
                  <c:v>0.67127456538349017</c:v>
                </c:pt>
                <c:pt idx="575">
                  <c:v>0.66100999672158067</c:v>
                </c:pt>
                <c:pt idx="576">
                  <c:v>0.66633877082997639</c:v>
                </c:pt>
                <c:pt idx="577">
                  <c:v>0.64321602869434802</c:v>
                </c:pt>
                <c:pt idx="578">
                  <c:v>0.64598393545039812</c:v>
                </c:pt>
                <c:pt idx="579">
                  <c:v>0.63343570726009413</c:v>
                </c:pt>
                <c:pt idx="580">
                  <c:v>0.61294999910752335</c:v>
                </c:pt>
                <c:pt idx="581">
                  <c:v>0.6178812184357545</c:v>
                </c:pt>
                <c:pt idx="582">
                  <c:v>0.60504837770100517</c:v>
                </c:pt>
                <c:pt idx="583">
                  <c:v>0.59235811117641268</c:v>
                </c:pt>
                <c:pt idx="584">
                  <c:v>0.5735545956138548</c:v>
                </c:pt>
                <c:pt idx="585">
                  <c:v>0.57701198123474018</c:v>
                </c:pt>
                <c:pt idx="586">
                  <c:v>0.57434906107296424</c:v>
                </c:pt>
                <c:pt idx="587">
                  <c:v>0.56376825261303187</c:v>
                </c:pt>
                <c:pt idx="588">
                  <c:v>0.5425861409505367</c:v>
                </c:pt>
                <c:pt idx="589">
                  <c:v>0.54745830410084118</c:v>
                </c:pt>
                <c:pt idx="590">
                  <c:v>0.53376904793468727</c:v>
                </c:pt>
                <c:pt idx="591">
                  <c:v>0.51443719609391481</c:v>
                </c:pt>
                <c:pt idx="592">
                  <c:v>0.50597264544919829</c:v>
                </c:pt>
                <c:pt idx="593">
                  <c:v>0.50823908093538328</c:v>
                </c:pt>
                <c:pt idx="594">
                  <c:v>0.49149780276654098</c:v>
                </c:pt>
                <c:pt idx="595">
                  <c:v>0.50598774196929774</c:v>
                </c:pt>
                <c:pt idx="596">
                  <c:v>0.49307187369836858</c:v>
                </c:pt>
                <c:pt idx="597">
                  <c:v>0.48317256596725061</c:v>
                </c:pt>
                <c:pt idx="598">
                  <c:v>0.49707929022935532</c:v>
                </c:pt>
                <c:pt idx="599">
                  <c:v>0.47665850474840982</c:v>
                </c:pt>
                <c:pt idx="600">
                  <c:v>0.47069086544738142</c:v>
                </c:pt>
                <c:pt idx="601">
                  <c:v>0.4697071367076161</c:v>
                </c:pt>
                <c:pt idx="602">
                  <c:v>0.47225765280849991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EF-4F66-AC8C-2B91A8515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'Charing Profile'!$J$13:$J$615</c:f>
              <c:numCache>
                <c:formatCode>0.000</c:formatCode>
                <c:ptCount val="603"/>
                <c:pt idx="0">
                  <c:v>0.09</c:v>
                </c:pt>
                <c:pt idx="1">
                  <c:v>9.0986615930999493E-2</c:v>
                </c:pt>
                <c:pt idx="2">
                  <c:v>9.2102599780145442E-2</c:v>
                </c:pt>
                <c:pt idx="3">
                  <c:v>9.3385896118721459E-2</c:v>
                </c:pt>
                <c:pt idx="4">
                  <c:v>9.4908215055809236E-2</c:v>
                </c:pt>
                <c:pt idx="5">
                  <c:v>9.6469556591408753E-2</c:v>
                </c:pt>
                <c:pt idx="6">
                  <c:v>9.8022725985117548E-2</c:v>
                </c:pt>
                <c:pt idx="7">
                  <c:v>9.9577235117537632E-2</c:v>
                </c:pt>
                <c:pt idx="8">
                  <c:v>0.10113019839759851</c:v>
                </c:pt>
                <c:pt idx="9">
                  <c:v>0.1026927829570438</c:v>
                </c:pt>
                <c:pt idx="10">
                  <c:v>0.10423901266277694</c:v>
                </c:pt>
                <c:pt idx="11">
                  <c:v>0.10579321262472517</c:v>
                </c:pt>
                <c:pt idx="12">
                  <c:v>0.10731563250465076</c:v>
                </c:pt>
                <c:pt idx="13">
                  <c:v>0.108869832466599</c:v>
                </c:pt>
                <c:pt idx="14">
                  <c:v>0.11042413548537119</c:v>
                </c:pt>
                <c:pt idx="15">
                  <c:v>0.11196117093691862</c:v>
                </c:pt>
                <c:pt idx="16">
                  <c:v>0.11351568006933874</c:v>
                </c:pt>
                <c:pt idx="17">
                  <c:v>0.11506190977507186</c:v>
                </c:pt>
                <c:pt idx="18">
                  <c:v>0.11661610973702011</c:v>
                </c:pt>
                <c:pt idx="19">
                  <c:v>0.11817703693133771</c:v>
                </c:pt>
                <c:pt idx="20">
                  <c:v>0.11974655272281412</c:v>
                </c:pt>
                <c:pt idx="21">
                  <c:v>0.12133294922205309</c:v>
                </c:pt>
                <c:pt idx="22">
                  <c:v>0.12289522302553693</c:v>
                </c:pt>
                <c:pt idx="23">
                  <c:v>0.12448130401234567</c:v>
                </c:pt>
                <c:pt idx="24">
                  <c:v>0.12605847296211736</c:v>
                </c:pt>
                <c:pt idx="25">
                  <c:v>0.12763689761965161</c:v>
                </c:pt>
                <c:pt idx="26">
                  <c:v>0.12920703809403009</c:v>
                </c:pt>
                <c:pt idx="27">
                  <c:v>0.13078514882462369</c:v>
                </c:pt>
                <c:pt idx="28">
                  <c:v>0.13235528929900217</c:v>
                </c:pt>
                <c:pt idx="29">
                  <c:v>0.13391745951716552</c:v>
                </c:pt>
                <c:pt idx="30">
                  <c:v>0.1354796297353289</c:v>
                </c:pt>
                <c:pt idx="31">
                  <c:v>0.13706571072213761</c:v>
                </c:pt>
                <c:pt idx="32">
                  <c:v>0.13865179170894634</c:v>
                </c:pt>
                <c:pt idx="33">
                  <c:v>0.14022193218332482</c:v>
                </c:pt>
                <c:pt idx="34">
                  <c:v>0.14180004291391843</c:v>
                </c:pt>
                <c:pt idx="35">
                  <c:v>0.14337028750211395</c:v>
                </c:pt>
                <c:pt idx="36">
                  <c:v>0.14494042797649243</c:v>
                </c:pt>
                <c:pt idx="37">
                  <c:v>0.14651056845087093</c:v>
                </c:pt>
                <c:pt idx="38">
                  <c:v>0.1481046196938948</c:v>
                </c:pt>
                <c:pt idx="39">
                  <c:v>0.1496827304244884</c:v>
                </c:pt>
                <c:pt idx="40">
                  <c:v>0.15127678166751224</c:v>
                </c:pt>
                <c:pt idx="41">
                  <c:v>0.15285499704041941</c:v>
                </c:pt>
                <c:pt idx="42">
                  <c:v>0.1544252416286149</c:v>
                </c:pt>
                <c:pt idx="43">
                  <c:v>0.15600345700152207</c:v>
                </c:pt>
                <c:pt idx="44">
                  <c:v>0.15758156773211565</c:v>
                </c:pt>
                <c:pt idx="45">
                  <c:v>0.15915978310502282</c:v>
                </c:pt>
                <c:pt idx="46">
                  <c:v>0.16072195332318617</c:v>
                </c:pt>
                <c:pt idx="47">
                  <c:v>0.16228288051750378</c:v>
                </c:pt>
                <c:pt idx="48">
                  <c:v>0.16384670810079482</c:v>
                </c:pt>
                <c:pt idx="49">
                  <c:v>0.16543289425841365</c:v>
                </c:pt>
                <c:pt idx="50">
                  <c:v>0.16701792353712158</c:v>
                </c:pt>
                <c:pt idx="51">
                  <c:v>0.16861250327667848</c:v>
                </c:pt>
                <c:pt idx="52">
                  <c:v>0.1701823314096059</c:v>
                </c:pt>
                <c:pt idx="53">
                  <c:v>0.17174419087180781</c:v>
                </c:pt>
                <c:pt idx="54">
                  <c:v>0.17331339432183321</c:v>
                </c:pt>
                <c:pt idx="55">
                  <c:v>0.17490881965584301</c:v>
                </c:pt>
                <c:pt idx="56">
                  <c:v>0.17647885601640448</c:v>
                </c:pt>
                <c:pt idx="57">
                  <c:v>0.17805581568154907</c:v>
                </c:pt>
                <c:pt idx="58">
                  <c:v>0.1796269972940977</c:v>
                </c:pt>
                <c:pt idx="59">
                  <c:v>0.18120510802469131</c:v>
                </c:pt>
                <c:pt idx="60">
                  <c:v>0.18277524849906981</c:v>
                </c:pt>
                <c:pt idx="61">
                  <c:v>0.18436038294858781</c:v>
                </c:pt>
                <c:pt idx="62">
                  <c:v>0.18592151731354636</c:v>
                </c:pt>
                <c:pt idx="63">
                  <c:v>0.18749072076357176</c:v>
                </c:pt>
                <c:pt idx="64">
                  <c:v>0.18908445649416536</c:v>
                </c:pt>
                <c:pt idx="65">
                  <c:v>0.19064772545662095</c:v>
                </c:pt>
                <c:pt idx="66">
                  <c:v>0.19221786593099946</c:v>
                </c:pt>
                <c:pt idx="67">
                  <c:v>0.19381202287332991</c:v>
                </c:pt>
                <c:pt idx="68">
                  <c:v>0.19539013360392354</c:v>
                </c:pt>
                <c:pt idx="69">
                  <c:v>0.19697610941992216</c:v>
                </c:pt>
                <c:pt idx="70">
                  <c:v>0.19855432479282933</c:v>
                </c:pt>
                <c:pt idx="71">
                  <c:v>0.20014040577963807</c:v>
                </c:pt>
                <c:pt idx="72">
                  <c:v>0.20170247241248096</c:v>
                </c:pt>
                <c:pt idx="73">
                  <c:v>0.20329525526382547</c:v>
                </c:pt>
                <c:pt idx="74">
                  <c:v>0.20488835521308982</c:v>
                </c:pt>
                <c:pt idx="75">
                  <c:v>0.20648272355403349</c:v>
                </c:pt>
                <c:pt idx="76">
                  <c:v>0.20807592920260445</c:v>
                </c:pt>
                <c:pt idx="77">
                  <c:v>0.20963841017672924</c:v>
                </c:pt>
                <c:pt idx="78">
                  <c:v>0.21120855065110775</c:v>
                </c:pt>
                <c:pt idx="79">
                  <c:v>0.2127866613817013</c:v>
                </c:pt>
                <c:pt idx="80">
                  <c:v>0.21436477211229493</c:v>
                </c:pt>
                <c:pt idx="81">
                  <c:v>0.21594173177743956</c:v>
                </c:pt>
                <c:pt idx="82">
                  <c:v>0.2175361001183832</c:v>
                </c:pt>
                <c:pt idx="83">
                  <c:v>0.21913015136140707</c:v>
                </c:pt>
                <c:pt idx="84">
                  <c:v>0.22069904246998137</c:v>
                </c:pt>
                <c:pt idx="85">
                  <c:v>0.22228417691949942</c:v>
                </c:pt>
                <c:pt idx="86">
                  <c:v>0.22393401995602905</c:v>
                </c:pt>
                <c:pt idx="87">
                  <c:v>0.22551978543040752</c:v>
                </c:pt>
                <c:pt idx="88">
                  <c:v>0.22710586641721628</c:v>
                </c:pt>
                <c:pt idx="89">
                  <c:v>0.22870756923304583</c:v>
                </c:pt>
                <c:pt idx="90">
                  <c:v>0.23027729325215632</c:v>
                </c:pt>
                <c:pt idx="91">
                  <c:v>0.23186316389734485</c:v>
                </c:pt>
                <c:pt idx="92">
                  <c:v>0.23343288791645533</c:v>
                </c:pt>
                <c:pt idx="93">
                  <c:v>0.23501173114324375</c:v>
                </c:pt>
                <c:pt idx="94">
                  <c:v>0.23658260041434134</c:v>
                </c:pt>
                <c:pt idx="95">
                  <c:v>0.23816029257568075</c:v>
                </c:pt>
                <c:pt idx="96">
                  <c:v>0.23971428642398113</c:v>
                </c:pt>
                <c:pt idx="97">
                  <c:v>0.24129239715457473</c:v>
                </c:pt>
                <c:pt idx="98">
                  <c:v>0.24285404944613573</c:v>
                </c:pt>
                <c:pt idx="99">
                  <c:v>0.24442377346524613</c:v>
                </c:pt>
                <c:pt idx="100">
                  <c:v>0.24598573651276853</c:v>
                </c:pt>
                <c:pt idx="101">
                  <c:v>0.24754863182817527</c:v>
                </c:pt>
                <c:pt idx="102">
                  <c:v>0.2491099733637748</c:v>
                </c:pt>
                <c:pt idx="103">
                  <c:v>0.25068797945205484</c:v>
                </c:pt>
                <c:pt idx="104">
                  <c:v>0.25226682267884326</c:v>
                </c:pt>
                <c:pt idx="105">
                  <c:v>0.25381284732792153</c:v>
                </c:pt>
                <c:pt idx="106">
                  <c:v>0.25539169055471</c:v>
                </c:pt>
                <c:pt idx="107">
                  <c:v>0.2569774560290885</c:v>
                </c:pt>
                <c:pt idx="108">
                  <c:v>0.25856427321156777</c:v>
                </c:pt>
                <c:pt idx="109">
                  <c:v>0.26014311643835619</c:v>
                </c:pt>
                <c:pt idx="110">
                  <c:v>0.26172091324200919</c:v>
                </c:pt>
                <c:pt idx="111">
                  <c:v>0.26330667871638763</c:v>
                </c:pt>
                <c:pt idx="112">
                  <c:v>0.26488552194317611</c:v>
                </c:pt>
                <c:pt idx="113">
                  <c:v>0.26647128741755455</c:v>
                </c:pt>
                <c:pt idx="114">
                  <c:v>0.26807415873921869</c:v>
                </c:pt>
                <c:pt idx="115">
                  <c:v>0.26965992421359714</c:v>
                </c:pt>
                <c:pt idx="116">
                  <c:v>0.27122975234652458</c:v>
                </c:pt>
                <c:pt idx="117">
                  <c:v>0.27281551782090308</c:v>
                </c:pt>
                <c:pt idx="118">
                  <c:v>0.27440128329528152</c:v>
                </c:pt>
                <c:pt idx="119">
                  <c:v>0.27594823069930657</c:v>
                </c:pt>
                <c:pt idx="120">
                  <c:v>0.27754196484441057</c:v>
                </c:pt>
                <c:pt idx="121">
                  <c:v>0.27912867685607973</c:v>
                </c:pt>
                <c:pt idx="122">
                  <c:v>0.28069860910282418</c:v>
                </c:pt>
                <c:pt idx="123">
                  <c:v>0.28227745232961265</c:v>
                </c:pt>
                <c:pt idx="124">
                  <c:v>0.28385671412565527</c:v>
                </c:pt>
                <c:pt idx="125">
                  <c:v>0.28543461557162175</c:v>
                </c:pt>
                <c:pt idx="126">
                  <c:v>0.28701220309064762</c:v>
                </c:pt>
                <c:pt idx="127">
                  <c:v>0.28858999989430056</c:v>
                </c:pt>
                <c:pt idx="128">
                  <c:v>0.29017681707677989</c:v>
                </c:pt>
                <c:pt idx="129">
                  <c:v>0.2917618463554878</c:v>
                </c:pt>
                <c:pt idx="130">
                  <c:v>0.29334771700067641</c:v>
                </c:pt>
                <c:pt idx="131">
                  <c:v>0.29492551380432935</c:v>
                </c:pt>
                <c:pt idx="132">
                  <c:v>0.29650467095805838</c:v>
                </c:pt>
                <c:pt idx="133">
                  <c:v>0.29809022609081676</c:v>
                </c:pt>
                <c:pt idx="134">
                  <c:v>0.29969299118467774</c:v>
                </c:pt>
                <c:pt idx="135">
                  <c:v>0.30126281931760518</c:v>
                </c:pt>
                <c:pt idx="136">
                  <c:v>0.30286452213343473</c:v>
                </c:pt>
                <c:pt idx="137">
                  <c:v>0.30445028760781317</c:v>
                </c:pt>
                <c:pt idx="138">
                  <c:v>0.30602808441146617</c:v>
                </c:pt>
                <c:pt idx="139">
                  <c:v>0.30759895368256368</c:v>
                </c:pt>
                <c:pt idx="140">
                  <c:v>0.30917779690935215</c:v>
                </c:pt>
                <c:pt idx="141">
                  <c:v>0.3107555937130051</c:v>
                </c:pt>
                <c:pt idx="142">
                  <c:v>0.31235038485117528</c:v>
                </c:pt>
                <c:pt idx="143">
                  <c:v>0.31393615032555372</c:v>
                </c:pt>
                <c:pt idx="144">
                  <c:v>0.31552988447065772</c:v>
                </c:pt>
                <c:pt idx="145">
                  <c:v>0.31711564994503616</c:v>
                </c:pt>
                <c:pt idx="146">
                  <c:v>0.3186934467486891</c:v>
                </c:pt>
                <c:pt idx="147">
                  <c:v>0.32028823788685923</c:v>
                </c:pt>
                <c:pt idx="148">
                  <c:v>0.32185009734906117</c:v>
                </c:pt>
                <c:pt idx="149">
                  <c:v>0.32343691453154044</c:v>
                </c:pt>
                <c:pt idx="150">
                  <c:v>0.32503064867664444</c:v>
                </c:pt>
                <c:pt idx="151">
                  <c:v>0.32660949190343291</c:v>
                </c:pt>
                <c:pt idx="152">
                  <c:v>0.32820322604853691</c:v>
                </c:pt>
                <c:pt idx="153">
                  <c:v>0.32978217391763887</c:v>
                </c:pt>
                <c:pt idx="154">
                  <c:v>0.33137590806274281</c:v>
                </c:pt>
                <c:pt idx="155">
                  <c:v>0.33295475128953128</c:v>
                </c:pt>
                <c:pt idx="156">
                  <c:v>0.33454051676390978</c:v>
                </c:pt>
                <c:pt idx="157">
                  <c:v>0.33612628223828822</c:v>
                </c:pt>
                <c:pt idx="158">
                  <c:v>0.33771309942076749</c:v>
                </c:pt>
                <c:pt idx="159">
                  <c:v>0.33929089622442044</c:v>
                </c:pt>
                <c:pt idx="160">
                  <c:v>0.34086072435734788</c:v>
                </c:pt>
                <c:pt idx="161">
                  <c:v>0.34245551549551806</c:v>
                </c:pt>
                <c:pt idx="162">
                  <c:v>0.34404233267799733</c:v>
                </c:pt>
                <c:pt idx="163">
                  <c:v>0.34565349875274787</c:v>
                </c:pt>
                <c:pt idx="164">
                  <c:v>0.34723119091408733</c:v>
                </c:pt>
                <c:pt idx="165">
                  <c:v>0.34881737707170613</c:v>
                </c:pt>
                <c:pt idx="166">
                  <c:v>0.35042024839337022</c:v>
                </c:pt>
                <c:pt idx="167">
                  <c:v>0.35200569835531853</c:v>
                </c:pt>
                <c:pt idx="168">
                  <c:v>0.3536004894934886</c:v>
                </c:pt>
                <c:pt idx="169">
                  <c:v>0.35520219230931815</c:v>
                </c:pt>
                <c:pt idx="170">
                  <c:v>0.35678795778369665</c:v>
                </c:pt>
                <c:pt idx="171">
                  <c:v>0.35836680101048507</c:v>
                </c:pt>
                <c:pt idx="172">
                  <c:v>0.35995256648486357</c:v>
                </c:pt>
                <c:pt idx="173">
                  <c:v>0.36153938366734284</c:v>
                </c:pt>
                <c:pt idx="174">
                  <c:v>0.36312630602063223</c:v>
                </c:pt>
                <c:pt idx="175">
                  <c:v>0.3647210971588023</c:v>
                </c:pt>
                <c:pt idx="176">
                  <c:v>0.3663068626331808</c:v>
                </c:pt>
                <c:pt idx="177">
                  <c:v>0.36790175947065756</c:v>
                </c:pt>
                <c:pt idx="178">
                  <c:v>0.36948752494503601</c:v>
                </c:pt>
                <c:pt idx="179">
                  <c:v>0.37108125909014</c:v>
                </c:pt>
                <c:pt idx="180">
                  <c:v>0.37269093057669506</c:v>
                </c:pt>
                <c:pt idx="181">
                  <c:v>0.37427669605107361</c:v>
                </c:pt>
                <c:pt idx="182">
                  <c:v>0.37587148718924368</c:v>
                </c:pt>
                <c:pt idx="183">
                  <c:v>0.37746522133434768</c:v>
                </c:pt>
                <c:pt idx="184">
                  <c:v>0.3790440645611361</c:v>
                </c:pt>
                <c:pt idx="185">
                  <c:v>0.38064502378234361</c:v>
                </c:pt>
                <c:pt idx="186">
                  <c:v>0.38223089442753222</c:v>
                </c:pt>
                <c:pt idx="187">
                  <c:v>0.38381771161001149</c:v>
                </c:pt>
                <c:pt idx="188">
                  <c:v>0.38542047670387247</c:v>
                </c:pt>
                <c:pt idx="189">
                  <c:v>0.38701421084897647</c:v>
                </c:pt>
                <c:pt idx="190">
                  <c:v>0.38860900198714654</c:v>
                </c:pt>
                <c:pt idx="191">
                  <c:v>0.39018784521393501</c:v>
                </c:pt>
                <c:pt idx="192">
                  <c:v>0.39176564201758796</c:v>
                </c:pt>
                <c:pt idx="193">
                  <c:v>0.39335937616269195</c:v>
                </c:pt>
                <c:pt idx="194">
                  <c:v>0.39495311030779595</c:v>
                </c:pt>
                <c:pt idx="195">
                  <c:v>0.39655587540165693</c:v>
                </c:pt>
                <c:pt idx="196">
                  <c:v>0.39815066653982706</c:v>
                </c:pt>
                <c:pt idx="197">
                  <c:v>0.399744400684931</c:v>
                </c:pt>
                <c:pt idx="198">
                  <c:v>0.401338134830035</c:v>
                </c:pt>
                <c:pt idx="199">
                  <c:v>0.40292495201251427</c:v>
                </c:pt>
                <c:pt idx="200">
                  <c:v>0.40452665482834377</c:v>
                </c:pt>
                <c:pt idx="201">
                  <c:v>0.40612144596651395</c:v>
                </c:pt>
                <c:pt idx="202">
                  <c:v>0.40771623710468408</c:v>
                </c:pt>
                <c:pt idx="203">
                  <c:v>0.40929403390833702</c:v>
                </c:pt>
                <c:pt idx="204">
                  <c:v>0.41085692922374373</c:v>
                </c:pt>
                <c:pt idx="205">
                  <c:v>0.41245066336884773</c:v>
                </c:pt>
                <c:pt idx="206">
                  <c:v>0.41404450321325831</c:v>
                </c:pt>
                <c:pt idx="207">
                  <c:v>0.41564620602908781</c:v>
                </c:pt>
                <c:pt idx="208">
                  <c:v>0.41723994017419186</c:v>
                </c:pt>
                <c:pt idx="209">
                  <c:v>0.41883473131236199</c:v>
                </c:pt>
                <c:pt idx="210">
                  <c:v>0.42042049678674043</c:v>
                </c:pt>
                <c:pt idx="211">
                  <c:v>0.4220073139692197</c:v>
                </c:pt>
                <c:pt idx="212">
                  <c:v>0.42357714210214714</c:v>
                </c:pt>
                <c:pt idx="213">
                  <c:v>0.42515493890580008</c:v>
                </c:pt>
                <c:pt idx="214">
                  <c:v>0.42674070438017858</c:v>
                </c:pt>
                <c:pt idx="215">
                  <c:v>0.42831954760696694</c:v>
                </c:pt>
                <c:pt idx="216">
                  <c:v>0.42990636478944622</c:v>
                </c:pt>
                <c:pt idx="217">
                  <c:v>0.43147619292237366</c:v>
                </c:pt>
                <c:pt idx="218">
                  <c:v>0.43307098406054384</c:v>
                </c:pt>
                <c:pt idx="219">
                  <c:v>0.43464081219347128</c:v>
                </c:pt>
                <c:pt idx="220">
                  <c:v>0.43621860899712422</c:v>
                </c:pt>
                <c:pt idx="221">
                  <c:v>0.43781234314222822</c:v>
                </c:pt>
                <c:pt idx="222">
                  <c:v>0.43939810861660666</c:v>
                </c:pt>
                <c:pt idx="223">
                  <c:v>0.44097590542025966</c:v>
                </c:pt>
                <c:pt idx="224">
                  <c:v>0.44256272260273893</c:v>
                </c:pt>
                <c:pt idx="225">
                  <c:v>0.4441654876965998</c:v>
                </c:pt>
                <c:pt idx="226">
                  <c:v>0.44572734715880175</c:v>
                </c:pt>
                <c:pt idx="227">
                  <c:v>0.44731311263318024</c:v>
                </c:pt>
                <c:pt idx="228">
                  <c:v>0.44889992981565952</c:v>
                </c:pt>
                <c:pt idx="229">
                  <c:v>0.45047877304244788</c:v>
                </c:pt>
                <c:pt idx="230">
                  <c:v>0.45204063250464976</c:v>
                </c:pt>
                <c:pt idx="231">
                  <c:v>0.45362744968712904</c:v>
                </c:pt>
                <c:pt idx="232">
                  <c:v>0.45521426686960836</c:v>
                </c:pt>
                <c:pt idx="233">
                  <c:v>0.45682500591916014</c:v>
                </c:pt>
                <c:pt idx="234">
                  <c:v>0.45839483405208759</c:v>
                </c:pt>
                <c:pt idx="235">
                  <c:v>0.45998856819719169</c:v>
                </c:pt>
                <c:pt idx="236">
                  <c:v>0.46155808398866804</c:v>
                </c:pt>
                <c:pt idx="237">
                  <c:v>0.46313535758075325</c:v>
                </c:pt>
                <c:pt idx="238">
                  <c:v>0.46469659553103232</c:v>
                </c:pt>
                <c:pt idx="239">
                  <c:v>0.46626819359884902</c:v>
                </c:pt>
                <c:pt idx="240">
                  <c:v>0.46783937521139768</c:v>
                </c:pt>
                <c:pt idx="241">
                  <c:v>0.4694253510273963</c:v>
                </c:pt>
                <c:pt idx="242">
                  <c:v>0.47100356640030344</c:v>
                </c:pt>
                <c:pt idx="243">
                  <c:v>0.47256573661846679</c:v>
                </c:pt>
                <c:pt idx="244">
                  <c:v>0.47415286931337636</c:v>
                </c:pt>
                <c:pt idx="245">
                  <c:v>0.47572280156012076</c:v>
                </c:pt>
                <c:pt idx="246">
                  <c:v>0.4772930461483163</c:v>
                </c:pt>
                <c:pt idx="247">
                  <c:v>0.47888709739134017</c:v>
                </c:pt>
                <c:pt idx="248">
                  <c:v>0.48046594061812853</c:v>
                </c:pt>
                <c:pt idx="249">
                  <c:v>0.48203608109250701</c:v>
                </c:pt>
                <c:pt idx="250">
                  <c:v>0.48361314539996514</c:v>
                </c:pt>
                <c:pt idx="251">
                  <c:v>0.48518234884999056</c:v>
                </c:pt>
                <c:pt idx="252">
                  <c:v>0.48675144818619892</c:v>
                </c:pt>
                <c:pt idx="253">
                  <c:v>0.48835474441907561</c:v>
                </c:pt>
                <c:pt idx="254">
                  <c:v>0.48992498900727116</c:v>
                </c:pt>
                <c:pt idx="255">
                  <c:v>0.49150320438017825</c:v>
                </c:pt>
                <c:pt idx="256">
                  <c:v>0.49308928536698698</c:v>
                </c:pt>
                <c:pt idx="257">
                  <c:v>0.49467536635379578</c:v>
                </c:pt>
                <c:pt idx="258">
                  <c:v>0.49623764015727961</c:v>
                </c:pt>
                <c:pt idx="259">
                  <c:v>0.49781575088787322</c:v>
                </c:pt>
                <c:pt idx="260">
                  <c:v>0.49939386161846677</c:v>
                </c:pt>
                <c:pt idx="261">
                  <c:v>0.50098896985455676</c:v>
                </c:pt>
                <c:pt idx="262">
                  <c:v>0.50256728986977739</c:v>
                </c:pt>
                <c:pt idx="263">
                  <c:v>0.50413743034415592</c:v>
                </c:pt>
                <c:pt idx="264">
                  <c:v>0.50570757081853435</c:v>
                </c:pt>
                <c:pt idx="265">
                  <c:v>0.50726974103669775</c:v>
                </c:pt>
                <c:pt idx="266">
                  <c:v>0.50884774712497771</c:v>
                </c:pt>
                <c:pt idx="267">
                  <c:v>0.51043403845340662</c:v>
                </c:pt>
                <c:pt idx="268">
                  <c:v>0.51202808969643043</c:v>
                </c:pt>
                <c:pt idx="269">
                  <c:v>0.51359937542279621</c:v>
                </c:pt>
                <c:pt idx="270">
                  <c:v>0.51519342666582013</c:v>
                </c:pt>
                <c:pt idx="271">
                  <c:v>0.51678747790884394</c:v>
                </c:pt>
                <c:pt idx="272">
                  <c:v>0.51836558863943749</c:v>
                </c:pt>
                <c:pt idx="273">
                  <c:v>0.51993572911381591</c:v>
                </c:pt>
                <c:pt idx="274">
                  <c:v>0.52152181010062471</c:v>
                </c:pt>
                <c:pt idx="275">
                  <c:v>0.52309992083121826</c:v>
                </c:pt>
                <c:pt idx="276">
                  <c:v>0.5246781362041254</c:v>
                </c:pt>
                <c:pt idx="277">
                  <c:v>0.52624827667850393</c:v>
                </c:pt>
                <c:pt idx="278">
                  <c:v>0.52781831303906535</c:v>
                </c:pt>
                <c:pt idx="279">
                  <c:v>0.52939757483510808</c:v>
                </c:pt>
                <c:pt idx="280">
                  <c:v>0.53095187785388021</c:v>
                </c:pt>
                <c:pt idx="281">
                  <c:v>0.53253806401149906</c:v>
                </c:pt>
                <c:pt idx="282">
                  <c:v>0.53412414499830785</c:v>
                </c:pt>
                <c:pt idx="283">
                  <c:v>0.53571022598511653</c:v>
                </c:pt>
                <c:pt idx="284">
                  <c:v>0.53731224748435547</c:v>
                </c:pt>
                <c:pt idx="285">
                  <c:v>0.5388824920725509</c:v>
                </c:pt>
                <c:pt idx="286">
                  <c:v>0.54046846788854952</c:v>
                </c:pt>
                <c:pt idx="287">
                  <c:v>0.54205465404616848</c:v>
                </c:pt>
                <c:pt idx="288">
                  <c:v>0.54362479452054691</c:v>
                </c:pt>
                <c:pt idx="289">
                  <c:v>0.54521066516573546</c:v>
                </c:pt>
                <c:pt idx="290">
                  <c:v>0.54678908982326968</c:v>
                </c:pt>
                <c:pt idx="291">
                  <c:v>0.54836740983849042</c:v>
                </c:pt>
                <c:pt idx="292">
                  <c:v>0.54993755031286895</c:v>
                </c:pt>
                <c:pt idx="293">
                  <c:v>0.55152321061643728</c:v>
                </c:pt>
                <c:pt idx="294">
                  <c:v>0.55311757895738101</c:v>
                </c:pt>
                <c:pt idx="295">
                  <c:v>0.55472757071283507</c:v>
                </c:pt>
                <c:pt idx="296">
                  <c:v>0.55630484430492033</c:v>
                </c:pt>
                <c:pt idx="297">
                  <c:v>0.55789197699982984</c:v>
                </c:pt>
                <c:pt idx="298">
                  <c:v>0.55947008773042339</c:v>
                </c:pt>
                <c:pt idx="299">
                  <c:v>0.56103929118044882</c:v>
                </c:pt>
                <c:pt idx="300">
                  <c:v>0.56262442562996684</c:v>
                </c:pt>
                <c:pt idx="301">
                  <c:v>0.56420991522915509</c:v>
                </c:pt>
                <c:pt idx="302">
                  <c:v>0.56578122420936827</c:v>
                </c:pt>
                <c:pt idx="303">
                  <c:v>0.56736741036698701</c:v>
                </c:pt>
                <c:pt idx="304">
                  <c:v>0.56895464823270669</c:v>
                </c:pt>
                <c:pt idx="305">
                  <c:v>0.57053286360561373</c:v>
                </c:pt>
                <c:pt idx="306">
                  <c:v>0.57213488510485266</c:v>
                </c:pt>
                <c:pt idx="307">
                  <c:v>0.57372861924995677</c:v>
                </c:pt>
                <c:pt idx="308">
                  <c:v>0.57531459506595539</c:v>
                </c:pt>
                <c:pt idx="309">
                  <c:v>0.57689291508117613</c:v>
                </c:pt>
                <c:pt idx="310">
                  <c:v>0.57849366184677742</c:v>
                </c:pt>
                <c:pt idx="311">
                  <c:v>0.5800802686876364</c:v>
                </c:pt>
                <c:pt idx="312">
                  <c:v>0.58165827477591658</c:v>
                </c:pt>
                <c:pt idx="313">
                  <c:v>0.58324446093353532</c:v>
                </c:pt>
                <c:pt idx="314">
                  <c:v>0.58482257166412888</c:v>
                </c:pt>
                <c:pt idx="315">
                  <c:v>0.58640886299255768</c:v>
                </c:pt>
                <c:pt idx="316">
                  <c:v>0.5880029142355816</c:v>
                </c:pt>
                <c:pt idx="317">
                  <c:v>0.58960493573482053</c:v>
                </c:pt>
                <c:pt idx="318">
                  <c:v>0.59119919837645762</c:v>
                </c:pt>
                <c:pt idx="319">
                  <c:v>0.59279994514205891</c:v>
                </c:pt>
                <c:pt idx="320">
                  <c:v>0.59438623647048783</c:v>
                </c:pt>
                <c:pt idx="321">
                  <c:v>0.59596434720108138</c:v>
                </c:pt>
                <c:pt idx="322">
                  <c:v>0.59754120222391249</c:v>
                </c:pt>
                <c:pt idx="323">
                  <c:v>0.5991263366734304</c:v>
                </c:pt>
                <c:pt idx="324">
                  <c:v>0.60071283834347955</c:v>
                </c:pt>
                <c:pt idx="325">
                  <c:v>0.6023149660705216</c:v>
                </c:pt>
                <c:pt idx="326">
                  <c:v>0.60389297215880156</c:v>
                </c:pt>
                <c:pt idx="327">
                  <c:v>0.60548712910113212</c:v>
                </c:pt>
                <c:pt idx="328">
                  <c:v>0.60706534447403926</c:v>
                </c:pt>
                <c:pt idx="329">
                  <c:v>0.6086276182775231</c:v>
                </c:pt>
                <c:pt idx="330">
                  <c:v>0.61020583365043024</c:v>
                </c:pt>
                <c:pt idx="331">
                  <c:v>0.61180774892186607</c:v>
                </c:pt>
                <c:pt idx="332">
                  <c:v>0.61340190586419652</c:v>
                </c:pt>
                <c:pt idx="333">
                  <c:v>0.61497215045239195</c:v>
                </c:pt>
                <c:pt idx="334">
                  <c:v>0.61655823143920074</c:v>
                </c:pt>
                <c:pt idx="335">
                  <c:v>0.61814305037628847</c:v>
                </c:pt>
                <c:pt idx="336">
                  <c:v>0.61972944687552745</c:v>
                </c:pt>
                <c:pt idx="337">
                  <c:v>0.62131563303314641</c:v>
                </c:pt>
                <c:pt idx="338">
                  <c:v>0.6229085215837975</c:v>
                </c:pt>
                <c:pt idx="339">
                  <c:v>0.62450288992474112</c:v>
                </c:pt>
                <c:pt idx="340">
                  <c:v>0.62608897091154991</c:v>
                </c:pt>
                <c:pt idx="341">
                  <c:v>0.62767515706916877</c:v>
                </c:pt>
                <c:pt idx="342">
                  <c:v>0.62926134322678751</c:v>
                </c:pt>
                <c:pt idx="343">
                  <c:v>0.63085550016911796</c:v>
                </c:pt>
                <c:pt idx="344">
                  <c:v>0.63244158115592675</c:v>
                </c:pt>
                <c:pt idx="345">
                  <c:v>0.63401979652883389</c:v>
                </c:pt>
                <c:pt idx="346">
                  <c:v>0.63561257938017834</c:v>
                </c:pt>
                <c:pt idx="347">
                  <c:v>0.63719100403771256</c:v>
                </c:pt>
                <c:pt idx="348">
                  <c:v>0.6388076786318273</c:v>
                </c:pt>
                <c:pt idx="349">
                  <c:v>0.64038631257398859</c:v>
                </c:pt>
                <c:pt idx="350">
                  <c:v>0.64197239356079738</c:v>
                </c:pt>
                <c:pt idx="351">
                  <c:v>0.64355050429139093</c:v>
                </c:pt>
                <c:pt idx="352">
                  <c:v>0.64515252579062987</c:v>
                </c:pt>
                <c:pt idx="353">
                  <c:v>0.6467393429731092</c:v>
                </c:pt>
                <c:pt idx="354">
                  <c:v>0.64832542395991799</c:v>
                </c:pt>
                <c:pt idx="355">
                  <c:v>0.64990353469051154</c:v>
                </c:pt>
                <c:pt idx="356">
                  <c:v>0.6514816454211052</c:v>
                </c:pt>
                <c:pt idx="357">
                  <c:v>0.65306772640791388</c:v>
                </c:pt>
                <c:pt idx="358">
                  <c:v>0.65466177765093769</c:v>
                </c:pt>
                <c:pt idx="359">
                  <c:v>0.65623264692203542</c:v>
                </c:pt>
                <c:pt idx="360">
                  <c:v>0.65780309973786488</c:v>
                </c:pt>
                <c:pt idx="361">
                  <c:v>0.6593971509808888</c:v>
                </c:pt>
                <c:pt idx="362">
                  <c:v>0.66098323196769759</c:v>
                </c:pt>
                <c:pt idx="363">
                  <c:v>0.66256941812531622</c:v>
                </c:pt>
                <c:pt idx="364">
                  <c:v>0.66413955859969476</c:v>
                </c:pt>
                <c:pt idx="365">
                  <c:v>0.66570172881785805</c:v>
                </c:pt>
                <c:pt idx="366">
                  <c:v>0.66729578006088197</c:v>
                </c:pt>
                <c:pt idx="367">
                  <c:v>0.66888196621850071</c:v>
                </c:pt>
                <c:pt idx="368">
                  <c:v>0.67045882124133183</c:v>
                </c:pt>
                <c:pt idx="369">
                  <c:v>0.6720611614239802</c:v>
                </c:pt>
                <c:pt idx="370">
                  <c:v>0.67363927215457375</c:v>
                </c:pt>
                <c:pt idx="371">
                  <c:v>0.6752095167427693</c:v>
                </c:pt>
                <c:pt idx="372">
                  <c:v>0.67679559772957809</c:v>
                </c:pt>
                <c:pt idx="373">
                  <c:v>0.67836573820395651</c:v>
                </c:pt>
                <c:pt idx="374">
                  <c:v>0.67996775970319545</c:v>
                </c:pt>
                <c:pt idx="375">
                  <c:v>0.68158507800608736</c:v>
                </c:pt>
                <c:pt idx="376">
                  <c:v>0.68317109610180871</c:v>
                </c:pt>
                <c:pt idx="377">
                  <c:v>0.68476525674361488</c:v>
                </c:pt>
                <c:pt idx="378">
                  <c:v>0.68635803959495945</c:v>
                </c:pt>
                <c:pt idx="379">
                  <c:v>0.68793510390241752</c:v>
                </c:pt>
                <c:pt idx="380">
                  <c:v>0.68951499355234136</c:v>
                </c:pt>
                <c:pt idx="381">
                  <c:v>0.69110904479536528</c:v>
                </c:pt>
                <c:pt idx="382">
                  <c:v>0.69267142218416955</c:v>
                </c:pt>
                <c:pt idx="383">
                  <c:v>0.6942496375570768</c:v>
                </c:pt>
                <c:pt idx="384">
                  <c:v>0.69584358310079397</c:v>
                </c:pt>
                <c:pt idx="385">
                  <c:v>0.6974379514417377</c:v>
                </c:pt>
                <c:pt idx="386">
                  <c:v>0.69902234969558508</c:v>
                </c:pt>
                <c:pt idx="387">
                  <c:v>0.70060895653644417</c:v>
                </c:pt>
                <c:pt idx="388">
                  <c:v>0.70219514269406302</c:v>
                </c:pt>
                <c:pt idx="389">
                  <c:v>0.70379035662945966</c:v>
                </c:pt>
                <c:pt idx="390">
                  <c:v>0.70536846736005321</c:v>
                </c:pt>
                <c:pt idx="391">
                  <c:v>0.706954548346862</c:v>
                </c:pt>
                <c:pt idx="392">
                  <c:v>0.70853381014290451</c:v>
                </c:pt>
                <c:pt idx="393">
                  <c:v>0.7101198911297133</c:v>
                </c:pt>
                <c:pt idx="394">
                  <c:v>0.71171394237273722</c:v>
                </c:pt>
                <c:pt idx="395">
                  <c:v>0.71332510844748775</c:v>
                </c:pt>
                <c:pt idx="396">
                  <c:v>0.71491118943429643</c:v>
                </c:pt>
                <c:pt idx="397">
                  <c:v>0.71650534637662688</c:v>
                </c:pt>
                <c:pt idx="398">
                  <c:v>0.71808460817266961</c:v>
                </c:pt>
                <c:pt idx="399">
                  <c:v>0.71967058398866823</c:v>
                </c:pt>
                <c:pt idx="400">
                  <c:v>0.72124072446304666</c:v>
                </c:pt>
                <c:pt idx="401">
                  <c:v>0.72281831198207258</c:v>
                </c:pt>
                <c:pt idx="402">
                  <c:v>0.7244209708481304</c:v>
                </c:pt>
                <c:pt idx="403">
                  <c:v>0.72600023264417302</c:v>
                </c:pt>
                <c:pt idx="404">
                  <c:v>0.72759438958650346</c:v>
                </c:pt>
                <c:pt idx="405">
                  <c:v>0.72919651731354551</c:v>
                </c:pt>
                <c:pt idx="406">
                  <c:v>0.73078154659225347</c:v>
                </c:pt>
                <c:pt idx="407">
                  <c:v>0.73236049446135543</c:v>
                </c:pt>
                <c:pt idx="408">
                  <c:v>0.73394552374006339</c:v>
                </c:pt>
                <c:pt idx="409">
                  <c:v>0.73553851799002112</c:v>
                </c:pt>
                <c:pt idx="410">
                  <c:v>0.73711568693979279</c:v>
                </c:pt>
                <c:pt idx="411">
                  <c:v>0.73870868118975053</c:v>
                </c:pt>
                <c:pt idx="412">
                  <c:v>0.74029381563926844</c:v>
                </c:pt>
                <c:pt idx="413">
                  <c:v>0.74186291497547685</c:v>
                </c:pt>
                <c:pt idx="414">
                  <c:v>0.74345025801200648</c:v>
                </c:pt>
                <c:pt idx="415">
                  <c:v>0.74502039848638502</c:v>
                </c:pt>
                <c:pt idx="416">
                  <c:v>0.74659053896076344</c:v>
                </c:pt>
                <c:pt idx="417">
                  <c:v>0.74814587254777509</c:v>
                </c:pt>
                <c:pt idx="418">
                  <c:v>0.74970007250972337</c:v>
                </c:pt>
                <c:pt idx="419">
                  <c:v>0.75128720520463288</c:v>
                </c:pt>
                <c:pt idx="420">
                  <c:v>0.75287454824116262</c:v>
                </c:pt>
                <c:pt idx="421">
                  <c:v>0.75443661487400548</c:v>
                </c:pt>
                <c:pt idx="422">
                  <c:v>0.75601472560459893</c:v>
                </c:pt>
                <c:pt idx="423">
                  <c:v>0.75760185829950855</c:v>
                </c:pt>
                <c:pt idx="424">
                  <c:v>0.75920387979874748</c:v>
                </c:pt>
                <c:pt idx="425">
                  <c:v>0.76078209517165463</c:v>
                </c:pt>
                <c:pt idx="426">
                  <c:v>0.76236807098765336</c:v>
                </c:pt>
                <c:pt idx="427">
                  <c:v>0.76394628636056039</c:v>
                </c:pt>
                <c:pt idx="428">
                  <c:v>0.76551642683493892</c:v>
                </c:pt>
                <c:pt idx="429">
                  <c:v>0.76708656730931746</c:v>
                </c:pt>
                <c:pt idx="430">
                  <c:v>0.76867391034584709</c:v>
                </c:pt>
                <c:pt idx="431">
                  <c:v>0.77027603807288914</c:v>
                </c:pt>
                <c:pt idx="432">
                  <c:v>0.77186211905969793</c:v>
                </c:pt>
                <c:pt idx="433">
                  <c:v>0.773440125147978</c:v>
                </c:pt>
                <c:pt idx="434">
                  <c:v>0.77501057796380746</c:v>
                </c:pt>
                <c:pt idx="435">
                  <c:v>0.77660452350752474</c:v>
                </c:pt>
                <c:pt idx="436">
                  <c:v>0.77819070966514359</c:v>
                </c:pt>
                <c:pt idx="437">
                  <c:v>0.77976882039573725</c:v>
                </c:pt>
                <c:pt idx="438">
                  <c:v>0.78135500655335599</c:v>
                </c:pt>
                <c:pt idx="439">
                  <c:v>0.78294905779637969</c:v>
                </c:pt>
                <c:pt idx="440">
                  <c:v>0.78451112442922255</c:v>
                </c:pt>
                <c:pt idx="441">
                  <c:v>0.78610633836461907</c:v>
                </c:pt>
                <c:pt idx="442">
                  <c:v>0.78770038960764288</c:v>
                </c:pt>
                <c:pt idx="443">
                  <c:v>0.78927860498055014</c:v>
                </c:pt>
                <c:pt idx="444">
                  <c:v>0.79086573767545965</c:v>
                </c:pt>
                <c:pt idx="445">
                  <c:v>0.7924438484060532</c:v>
                </c:pt>
                <c:pt idx="446">
                  <c:v>0.79402206377896034</c:v>
                </c:pt>
                <c:pt idx="447">
                  <c:v>0.7956002791518676</c:v>
                </c:pt>
                <c:pt idx="448">
                  <c:v>0.79717052374006292</c:v>
                </c:pt>
                <c:pt idx="449">
                  <c:v>0.79878848575173211</c:v>
                </c:pt>
                <c:pt idx="450">
                  <c:v>0.80037456673854079</c:v>
                </c:pt>
                <c:pt idx="451">
                  <c:v>0.80196745528919189</c:v>
                </c:pt>
                <c:pt idx="452">
                  <c:v>0.80353665873921731</c:v>
                </c:pt>
                <c:pt idx="453">
                  <c:v>0.80512168801792527</c:v>
                </c:pt>
                <c:pt idx="454">
                  <c:v>0.8067068224674433</c:v>
                </c:pt>
                <c:pt idx="455">
                  <c:v>0.80827602591746872</c:v>
                </c:pt>
                <c:pt idx="456">
                  <c:v>0.80986252758751764</c:v>
                </c:pt>
                <c:pt idx="457">
                  <c:v>0.81143969653728942</c:v>
                </c:pt>
                <c:pt idx="458">
                  <c:v>0.81301686548706109</c:v>
                </c:pt>
                <c:pt idx="459">
                  <c:v>0.81461853025114028</c:v>
                </c:pt>
                <c:pt idx="460">
                  <c:v>0.81618994387366695</c:v>
                </c:pt>
                <c:pt idx="461">
                  <c:v>0.81776008434804548</c:v>
                </c:pt>
                <c:pt idx="462">
                  <c:v>0.81936210584728442</c:v>
                </c:pt>
                <c:pt idx="463">
                  <c:v>0.82094021657787797</c:v>
                </c:pt>
                <c:pt idx="464">
                  <c:v>0.82252629756468665</c:v>
                </c:pt>
                <c:pt idx="465">
                  <c:v>0.82411237855149533</c:v>
                </c:pt>
                <c:pt idx="466">
                  <c:v>0.82565860825722825</c:v>
                </c:pt>
                <c:pt idx="467">
                  <c:v>0.82724479441484722</c:v>
                </c:pt>
                <c:pt idx="468">
                  <c:v>0.82882290514544088</c:v>
                </c:pt>
                <c:pt idx="469">
                  <c:v>0.83040091123372095</c:v>
                </c:pt>
                <c:pt idx="470">
                  <c:v>0.83196194201335905</c:v>
                </c:pt>
                <c:pt idx="471">
                  <c:v>0.83353249894300563</c:v>
                </c:pt>
                <c:pt idx="472">
                  <c:v>0.83510253530356704</c:v>
                </c:pt>
                <c:pt idx="473">
                  <c:v>0.83668064603416059</c:v>
                </c:pt>
                <c:pt idx="474">
                  <c:v>0.83825089062235614</c:v>
                </c:pt>
                <c:pt idx="475">
                  <c:v>0.83982795492981432</c:v>
                </c:pt>
                <c:pt idx="476">
                  <c:v>0.84141308937933235</c:v>
                </c:pt>
                <c:pt idx="477">
                  <c:v>0.84300745772027608</c:v>
                </c:pt>
                <c:pt idx="478">
                  <c:v>0.84458567309318322</c:v>
                </c:pt>
                <c:pt idx="479">
                  <c:v>0.84617185925080196</c:v>
                </c:pt>
                <c:pt idx="480">
                  <c:v>0.84774871427363296</c:v>
                </c:pt>
                <c:pt idx="481">
                  <c:v>0.84934181422289723</c:v>
                </c:pt>
                <c:pt idx="482">
                  <c:v>0.85092023888043145</c:v>
                </c:pt>
                <c:pt idx="483">
                  <c:v>0.85249027524099286</c:v>
                </c:pt>
                <c:pt idx="484">
                  <c:v>0.85407656656942177</c:v>
                </c:pt>
                <c:pt idx="485">
                  <c:v>0.85565467730001554</c:v>
                </c:pt>
                <c:pt idx="486">
                  <c:v>0.85724086345763439</c:v>
                </c:pt>
                <c:pt idx="487">
                  <c:v>0.85882694444444307</c:v>
                </c:pt>
                <c:pt idx="488">
                  <c:v>0.86040453196346889</c:v>
                </c:pt>
                <c:pt idx="489">
                  <c:v>0.86200687214611738</c:v>
                </c:pt>
                <c:pt idx="490">
                  <c:v>0.86358498287671093</c:v>
                </c:pt>
                <c:pt idx="491">
                  <c:v>0.8651722207424305</c:v>
                </c:pt>
                <c:pt idx="492">
                  <c:v>0.86675767070437881</c:v>
                </c:pt>
                <c:pt idx="493">
                  <c:v>0.86832801940639126</c:v>
                </c:pt>
                <c:pt idx="494">
                  <c:v>0.86992217634872171</c:v>
                </c:pt>
                <c:pt idx="495">
                  <c:v>0.87150039172162885</c:v>
                </c:pt>
                <c:pt idx="496">
                  <c:v>0.87310241322086779</c:v>
                </c:pt>
                <c:pt idx="497">
                  <c:v>0.87465671623964003</c:v>
                </c:pt>
                <c:pt idx="498">
                  <c:v>0.87621899004312387</c:v>
                </c:pt>
                <c:pt idx="499">
                  <c:v>0.87775602549467135</c:v>
                </c:pt>
                <c:pt idx="500">
                  <c:v>0.87925473173515845</c:v>
                </c:pt>
                <c:pt idx="501">
                  <c:v>0.88075323926094906</c:v>
                </c:pt>
                <c:pt idx="502">
                  <c:v>0.88225174678673968</c:v>
                </c:pt>
                <c:pt idx="503">
                  <c:v>0.88371710700997674</c:v>
                </c:pt>
                <c:pt idx="504">
                  <c:v>0.88519859166243753</c:v>
                </c:pt>
                <c:pt idx="505">
                  <c:v>0.88664840880263707</c:v>
                </c:pt>
                <c:pt idx="506">
                  <c:v>0.88811396351259808</c:v>
                </c:pt>
                <c:pt idx="507">
                  <c:v>0.88956358828005966</c:v>
                </c:pt>
                <c:pt idx="508">
                  <c:v>0.89098144723490502</c:v>
                </c:pt>
                <c:pt idx="509">
                  <c:v>0.89241647387113021</c:v>
                </c:pt>
                <c:pt idx="510">
                  <c:v>0.89378735794013076</c:v>
                </c:pt>
                <c:pt idx="511">
                  <c:v>0.89516621226534654</c:v>
                </c:pt>
                <c:pt idx="512">
                  <c:v>0.89653081849231009</c:v>
                </c:pt>
                <c:pt idx="513">
                  <c:v>0.89786748887160672</c:v>
                </c:pt>
                <c:pt idx="514">
                  <c:v>0.89917178855675228</c:v>
                </c:pt>
                <c:pt idx="515">
                  <c:v>0.9004561827048797</c:v>
                </c:pt>
                <c:pt idx="516">
                  <c:v>0.90171885979515753</c:v>
                </c:pt>
                <c:pt idx="517">
                  <c:v>0.90296799616129597</c:v>
                </c:pt>
                <c:pt idx="518">
                  <c:v>0.90419689317246532</c:v>
                </c:pt>
                <c:pt idx="519">
                  <c:v>0.90540558578417207</c:v>
                </c:pt>
                <c:pt idx="520">
                  <c:v>0.90661000214832688</c:v>
                </c:pt>
                <c:pt idx="521">
                  <c:v>0.9077981604823645</c:v>
                </c:pt>
                <c:pt idx="522">
                  <c:v>0.90897741524505782</c:v>
                </c:pt>
                <c:pt idx="523">
                  <c:v>0.91013098577325646</c:v>
                </c:pt>
                <c:pt idx="524">
                  <c:v>0.91125838781283963</c:v>
                </c:pt>
                <c:pt idx="525">
                  <c:v>0.91238203841041599</c:v>
                </c:pt>
                <c:pt idx="526">
                  <c:v>0.91348627098036139</c:v>
                </c:pt>
                <c:pt idx="527">
                  <c:v>0.91457393565851874</c:v>
                </c:pt>
                <c:pt idx="528">
                  <c:v>0.91564961398957545</c:v>
                </c:pt>
                <c:pt idx="529">
                  <c:v>0.91671138884970504</c:v>
                </c:pt>
                <c:pt idx="530">
                  <c:v>0.91774861711422795</c:v>
                </c:pt>
                <c:pt idx="531">
                  <c:v>0.91876905397472297</c:v>
                </c:pt>
                <c:pt idx="532">
                  <c:v>0.91976974950409351</c:v>
                </c:pt>
                <c:pt idx="533">
                  <c:v>0.92076195468580746</c:v>
                </c:pt>
                <c:pt idx="534">
                  <c:v>0.9217408009090291</c:v>
                </c:pt>
                <c:pt idx="535">
                  <c:v>0.92270024676550078</c:v>
                </c:pt>
                <c:pt idx="536">
                  <c:v>0.9236445824464754</c:v>
                </c:pt>
                <c:pt idx="537">
                  <c:v>0.92458094779501132</c:v>
                </c:pt>
                <c:pt idx="538">
                  <c:v>0.92550144080755814</c:v>
                </c:pt>
                <c:pt idx="539">
                  <c:v>0.92641069996554193</c:v>
                </c:pt>
                <c:pt idx="540">
                  <c:v>0.92730885945743446</c:v>
                </c:pt>
                <c:pt idx="541">
                  <c:v>0.92819272400349606</c:v>
                </c:pt>
                <c:pt idx="542">
                  <c:v>0.92905814405869658</c:v>
                </c:pt>
                <c:pt idx="543">
                  <c:v>0.92991582682047125</c:v>
                </c:pt>
                <c:pt idx="544">
                  <c:v>0.93075563956878082</c:v>
                </c:pt>
                <c:pt idx="545">
                  <c:v>0.93159367379575631</c:v>
                </c:pt>
                <c:pt idx="546">
                  <c:v>0.93240964070895949</c:v>
                </c:pt>
                <c:pt idx="547">
                  <c:v>0.93322456944021548</c:v>
                </c:pt>
                <c:pt idx="548">
                  <c:v>0.93401536947557984</c:v>
                </c:pt>
                <c:pt idx="549">
                  <c:v>0.93479899777374309</c:v>
                </c:pt>
                <c:pt idx="550">
                  <c:v>0.93557265495811304</c:v>
                </c:pt>
                <c:pt idx="551">
                  <c:v>0.93632783833798872</c:v>
                </c:pt>
                <c:pt idx="552">
                  <c:v>0.93707375539489357</c:v>
                </c:pt>
                <c:pt idx="553">
                  <c:v>0.93780901400745498</c:v>
                </c:pt>
                <c:pt idx="554">
                  <c:v>0.93853672382891951</c:v>
                </c:pt>
                <c:pt idx="555">
                  <c:v>0.93925023279746478</c:v>
                </c:pt>
                <c:pt idx="556">
                  <c:v>0.93995336012848352</c:v>
                </c:pt>
                <c:pt idx="557">
                  <c:v>0.94064456195146162</c:v>
                </c:pt>
                <c:pt idx="558">
                  <c:v>0.94132809625873148</c:v>
                </c:pt>
                <c:pt idx="559">
                  <c:v>0.94200251816456837</c:v>
                </c:pt>
                <c:pt idx="560">
                  <c:v>0.94267421764441039</c:v>
                </c:pt>
                <c:pt idx="561">
                  <c:v>0.94332849961123855</c:v>
                </c:pt>
                <c:pt idx="562">
                  <c:v>0.94396843047646961</c:v>
                </c:pt>
                <c:pt idx="563">
                  <c:v>0.94460253174451358</c:v>
                </c:pt>
                <c:pt idx="564">
                  <c:v>0.94523577978682582</c:v>
                </c:pt>
                <c:pt idx="565">
                  <c:v>0.94585440208892047</c:v>
                </c:pt>
                <c:pt idx="566">
                  <c:v>0.94645621186581419</c:v>
                </c:pt>
                <c:pt idx="567">
                  <c:v>0.94705752618130845</c:v>
                </c:pt>
                <c:pt idx="568">
                  <c:v>0.94763790132793679</c:v>
                </c:pt>
                <c:pt idx="569">
                  <c:v>0.94821910140047982</c:v>
                </c:pt>
                <c:pt idx="570">
                  <c:v>0.94878572572055975</c:v>
                </c:pt>
                <c:pt idx="571">
                  <c:v>0.94935194437901183</c:v>
                </c:pt>
                <c:pt idx="572">
                  <c:v>0.94990505226007538</c:v>
                </c:pt>
                <c:pt idx="573">
                  <c:v>0.95045673483946014</c:v>
                </c:pt>
                <c:pt idx="574">
                  <c:v>0.95098888426026762</c:v>
                </c:pt>
                <c:pt idx="575">
                  <c:v>0.95151289649764836</c:v>
                </c:pt>
                <c:pt idx="576">
                  <c:v>0.95204113309299165</c:v>
                </c:pt>
                <c:pt idx="577">
                  <c:v>0.95255103925475459</c:v>
                </c:pt>
                <c:pt idx="578">
                  <c:v>0.95306313966020428</c:v>
                </c:pt>
                <c:pt idx="579">
                  <c:v>0.95356529252301192</c:v>
                </c:pt>
                <c:pt idx="580">
                  <c:v>0.95405120544721567</c:v>
                </c:pt>
                <c:pt idx="581">
                  <c:v>0.95454102756989745</c:v>
                </c:pt>
                <c:pt idx="582">
                  <c:v>0.95502067652482281</c:v>
                </c:pt>
                <c:pt idx="583">
                  <c:v>0.95549026533695536</c:v>
                </c:pt>
                <c:pt idx="584">
                  <c:v>0.95594494775991168</c:v>
                </c:pt>
                <c:pt idx="585">
                  <c:v>0.95640237100733905</c:v>
                </c:pt>
                <c:pt idx="586">
                  <c:v>0.95685768323865628</c:v>
                </c:pt>
                <c:pt idx="587">
                  <c:v>0.95730460758909153</c:v>
                </c:pt>
                <c:pt idx="588">
                  <c:v>0.95773473993066194</c:v>
                </c:pt>
                <c:pt idx="589">
                  <c:v>0.95816873465423258</c:v>
                </c:pt>
                <c:pt idx="590">
                  <c:v>0.95859187729116702</c:v>
                </c:pt>
                <c:pt idx="591">
                  <c:v>0.95899969470308821</c:v>
                </c:pt>
                <c:pt idx="592">
                  <c:v>0.95940080188650501</c:v>
                </c:pt>
                <c:pt idx="593">
                  <c:v>0.95980370577486696</c:v>
                </c:pt>
                <c:pt idx="594">
                  <c:v>0.96019333810202212</c:v>
                </c:pt>
                <c:pt idx="595">
                  <c:v>0.96059445725312664</c:v>
                </c:pt>
                <c:pt idx="596">
                  <c:v>0.96098533741682723</c:v>
                </c:pt>
                <c:pt idx="597">
                  <c:v>0.96136836995580432</c:v>
                </c:pt>
                <c:pt idx="598">
                  <c:v>0.96176242697811953</c:v>
                </c:pt>
                <c:pt idx="599">
                  <c:v>0.96214029552894109</c:v>
                </c:pt>
                <c:pt idx="600">
                  <c:v>0.96251343326474093</c:v>
                </c:pt>
                <c:pt idx="601">
                  <c:v>0.96288579115469819</c:v>
                </c:pt>
                <c:pt idx="602">
                  <c:v>0.96326017095303051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B3-40DE-A6B6-B5897A54B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6191"/>
        <c:axId val="110835311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480704"/>
        <c:axId val="14481733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Cumulative Capacity (mAh)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'Charing Profile'!$I$13:$I$615</c15:sqref>
                        </c15:formulaRef>
                      </c:ext>
                    </c:extLst>
                    <c:strCache>
                      <c:ptCount val="603"/>
                      <c:pt idx="0">
                        <c:v>00:00</c:v>
                      </c:pt>
                      <c:pt idx="1">
                        <c:v>00:00</c:v>
                      </c:pt>
                      <c:pt idx="2">
                        <c:v>00:00</c:v>
                      </c:pt>
                      <c:pt idx="3">
                        <c:v>00:00</c:v>
                      </c:pt>
                      <c:pt idx="4">
                        <c:v>00:01</c:v>
                      </c:pt>
                      <c:pt idx="5">
                        <c:v>00:01</c:v>
                      </c:pt>
                      <c:pt idx="6">
                        <c:v>00:01</c:v>
                      </c:pt>
                      <c:pt idx="7">
                        <c:v>00:01</c:v>
                      </c:pt>
                      <c:pt idx="8">
                        <c:v>00:02</c:v>
                      </c:pt>
                      <c:pt idx="9">
                        <c:v>00:02</c:v>
                      </c:pt>
                      <c:pt idx="10">
                        <c:v>00:02</c:v>
                      </c:pt>
                      <c:pt idx="11">
                        <c:v>00:02</c:v>
                      </c:pt>
                      <c:pt idx="12">
                        <c:v>00:03</c:v>
                      </c:pt>
                      <c:pt idx="13">
                        <c:v>00:03</c:v>
                      </c:pt>
                      <c:pt idx="14">
                        <c:v>00:03</c:v>
                      </c:pt>
                      <c:pt idx="15">
                        <c:v>00:03</c:v>
                      </c:pt>
                      <c:pt idx="16">
                        <c:v>00:04</c:v>
                      </c:pt>
                      <c:pt idx="17">
                        <c:v>00:04</c:v>
                      </c:pt>
                      <c:pt idx="18">
                        <c:v>00:04</c:v>
                      </c:pt>
                      <c:pt idx="19">
                        <c:v>00:04</c:v>
                      </c:pt>
                      <c:pt idx="20">
                        <c:v>00:05</c:v>
                      </c:pt>
                      <c:pt idx="21">
                        <c:v>00:05</c:v>
                      </c:pt>
                      <c:pt idx="22">
                        <c:v>00:05</c:v>
                      </c:pt>
                      <c:pt idx="23">
                        <c:v>00:05</c:v>
                      </c:pt>
                      <c:pt idx="24">
                        <c:v>00:06</c:v>
                      </c:pt>
                      <c:pt idx="25">
                        <c:v>00:06</c:v>
                      </c:pt>
                      <c:pt idx="26">
                        <c:v>00:06</c:v>
                      </c:pt>
                      <c:pt idx="27">
                        <c:v>00:06</c:v>
                      </c:pt>
                      <c:pt idx="28">
                        <c:v>00:07</c:v>
                      </c:pt>
                      <c:pt idx="29">
                        <c:v>00:07</c:v>
                      </c:pt>
                      <c:pt idx="30">
                        <c:v>00:07</c:v>
                      </c:pt>
                      <c:pt idx="31">
                        <c:v>00:07</c:v>
                      </c:pt>
                      <c:pt idx="32">
                        <c:v>00:08</c:v>
                      </c:pt>
                      <c:pt idx="33">
                        <c:v>00:08</c:v>
                      </c:pt>
                      <c:pt idx="34">
                        <c:v>00:08</c:v>
                      </c:pt>
                      <c:pt idx="35">
                        <c:v>00:08</c:v>
                      </c:pt>
                      <c:pt idx="36">
                        <c:v>00:09</c:v>
                      </c:pt>
                      <c:pt idx="37">
                        <c:v>00:09</c:v>
                      </c:pt>
                      <c:pt idx="38">
                        <c:v>00:09</c:v>
                      </c:pt>
                      <c:pt idx="39">
                        <c:v>00:09</c:v>
                      </c:pt>
                      <c:pt idx="40">
                        <c:v>00:10</c:v>
                      </c:pt>
                      <c:pt idx="41">
                        <c:v>00:10</c:v>
                      </c:pt>
                      <c:pt idx="42">
                        <c:v>00:10</c:v>
                      </c:pt>
                      <c:pt idx="43">
                        <c:v>00:10</c:v>
                      </c:pt>
                      <c:pt idx="44">
                        <c:v>00:11</c:v>
                      </c:pt>
                      <c:pt idx="45">
                        <c:v>00:11</c:v>
                      </c:pt>
                      <c:pt idx="46">
                        <c:v>00:11</c:v>
                      </c:pt>
                      <c:pt idx="47">
                        <c:v>00:11</c:v>
                      </c:pt>
                      <c:pt idx="48">
                        <c:v>00:12</c:v>
                      </c:pt>
                      <c:pt idx="49">
                        <c:v>00:12</c:v>
                      </c:pt>
                      <c:pt idx="50">
                        <c:v>00:12</c:v>
                      </c:pt>
                      <c:pt idx="51">
                        <c:v>00:12</c:v>
                      </c:pt>
                      <c:pt idx="52">
                        <c:v>00:13</c:v>
                      </c:pt>
                      <c:pt idx="53">
                        <c:v>00:13</c:v>
                      </c:pt>
                      <c:pt idx="54">
                        <c:v>00:13</c:v>
                      </c:pt>
                      <c:pt idx="55">
                        <c:v>00:13</c:v>
                      </c:pt>
                      <c:pt idx="56">
                        <c:v>00:14</c:v>
                      </c:pt>
                      <c:pt idx="57">
                        <c:v>00:14</c:v>
                      </c:pt>
                      <c:pt idx="58">
                        <c:v>00:14</c:v>
                      </c:pt>
                      <c:pt idx="59">
                        <c:v>00:14</c:v>
                      </c:pt>
                      <c:pt idx="60">
                        <c:v>00:15</c:v>
                      </c:pt>
                      <c:pt idx="61">
                        <c:v>00:15</c:v>
                      </c:pt>
                      <c:pt idx="62">
                        <c:v>00:15</c:v>
                      </c:pt>
                      <c:pt idx="63">
                        <c:v>00:15</c:v>
                      </c:pt>
                      <c:pt idx="64">
                        <c:v>00:16</c:v>
                      </c:pt>
                      <c:pt idx="65">
                        <c:v>00:16</c:v>
                      </c:pt>
                      <c:pt idx="66">
                        <c:v>00:16</c:v>
                      </c:pt>
                      <c:pt idx="67">
                        <c:v>00:16</c:v>
                      </c:pt>
                      <c:pt idx="68">
                        <c:v>00:17</c:v>
                      </c:pt>
                      <c:pt idx="69">
                        <c:v>00:17</c:v>
                      </c:pt>
                      <c:pt idx="70">
                        <c:v>00:17</c:v>
                      </c:pt>
                      <c:pt idx="71">
                        <c:v>00:17</c:v>
                      </c:pt>
                      <c:pt idx="72">
                        <c:v>00:18</c:v>
                      </c:pt>
                      <c:pt idx="73">
                        <c:v>00:18</c:v>
                      </c:pt>
                      <c:pt idx="74">
                        <c:v>00:18</c:v>
                      </c:pt>
                      <c:pt idx="75">
                        <c:v>00:18</c:v>
                      </c:pt>
                      <c:pt idx="76">
                        <c:v>00:19</c:v>
                      </c:pt>
                      <c:pt idx="77">
                        <c:v>00:19</c:v>
                      </c:pt>
                      <c:pt idx="78">
                        <c:v>00:19</c:v>
                      </c:pt>
                      <c:pt idx="79">
                        <c:v>00:19</c:v>
                      </c:pt>
                      <c:pt idx="80">
                        <c:v>00:20</c:v>
                      </c:pt>
                      <c:pt idx="81">
                        <c:v>00:20</c:v>
                      </c:pt>
                      <c:pt idx="82">
                        <c:v>00:20</c:v>
                      </c:pt>
                      <c:pt idx="83">
                        <c:v>00:20</c:v>
                      </c:pt>
                      <c:pt idx="84">
                        <c:v>00:21</c:v>
                      </c:pt>
                      <c:pt idx="85">
                        <c:v>00:21</c:v>
                      </c:pt>
                      <c:pt idx="86">
                        <c:v>00:21</c:v>
                      </c:pt>
                      <c:pt idx="87">
                        <c:v>00:21</c:v>
                      </c:pt>
                      <c:pt idx="88">
                        <c:v>00:22</c:v>
                      </c:pt>
                      <c:pt idx="89">
                        <c:v>00:22</c:v>
                      </c:pt>
                      <c:pt idx="90">
                        <c:v>00:22</c:v>
                      </c:pt>
                      <c:pt idx="91">
                        <c:v>00:22</c:v>
                      </c:pt>
                      <c:pt idx="92">
                        <c:v>00:23</c:v>
                      </c:pt>
                      <c:pt idx="93">
                        <c:v>00:23</c:v>
                      </c:pt>
                      <c:pt idx="94">
                        <c:v>00:23</c:v>
                      </c:pt>
                      <c:pt idx="95">
                        <c:v>00:23</c:v>
                      </c:pt>
                      <c:pt idx="96">
                        <c:v>00:24</c:v>
                      </c:pt>
                      <c:pt idx="97">
                        <c:v>00:24</c:v>
                      </c:pt>
                      <c:pt idx="98">
                        <c:v>00:24</c:v>
                      </c:pt>
                      <c:pt idx="99">
                        <c:v>00:24</c:v>
                      </c:pt>
                      <c:pt idx="100">
                        <c:v>00:25</c:v>
                      </c:pt>
                      <c:pt idx="101">
                        <c:v>00:25</c:v>
                      </c:pt>
                      <c:pt idx="102">
                        <c:v>00:25</c:v>
                      </c:pt>
                      <c:pt idx="103">
                        <c:v>00:25</c:v>
                      </c:pt>
                      <c:pt idx="104">
                        <c:v>00:26</c:v>
                      </c:pt>
                      <c:pt idx="105">
                        <c:v>00:26</c:v>
                      </c:pt>
                      <c:pt idx="106">
                        <c:v>00:26</c:v>
                      </c:pt>
                      <c:pt idx="107">
                        <c:v>00:26</c:v>
                      </c:pt>
                      <c:pt idx="108">
                        <c:v>00:27</c:v>
                      </c:pt>
                      <c:pt idx="109">
                        <c:v>00:27</c:v>
                      </c:pt>
                      <c:pt idx="110">
                        <c:v>00:27</c:v>
                      </c:pt>
                      <c:pt idx="111">
                        <c:v>00:27</c:v>
                      </c:pt>
                      <c:pt idx="112">
                        <c:v>00:28</c:v>
                      </c:pt>
                      <c:pt idx="113">
                        <c:v>00:28</c:v>
                      </c:pt>
                      <c:pt idx="114">
                        <c:v>00:28</c:v>
                      </c:pt>
                      <c:pt idx="115">
                        <c:v>00:28</c:v>
                      </c:pt>
                      <c:pt idx="116">
                        <c:v>00:29</c:v>
                      </c:pt>
                      <c:pt idx="117">
                        <c:v>00:29</c:v>
                      </c:pt>
                      <c:pt idx="118">
                        <c:v>00:29</c:v>
                      </c:pt>
                      <c:pt idx="119">
                        <c:v>00:29</c:v>
                      </c:pt>
                      <c:pt idx="120">
                        <c:v>00:30</c:v>
                      </c:pt>
                      <c:pt idx="121">
                        <c:v>00:30</c:v>
                      </c:pt>
                      <c:pt idx="122">
                        <c:v>00:30</c:v>
                      </c:pt>
                      <c:pt idx="123">
                        <c:v>00:30</c:v>
                      </c:pt>
                      <c:pt idx="124">
                        <c:v>00:31</c:v>
                      </c:pt>
                      <c:pt idx="125">
                        <c:v>00:31</c:v>
                      </c:pt>
                      <c:pt idx="126">
                        <c:v>00:31</c:v>
                      </c:pt>
                      <c:pt idx="127">
                        <c:v>00:31</c:v>
                      </c:pt>
                      <c:pt idx="128">
                        <c:v>00:32</c:v>
                      </c:pt>
                      <c:pt idx="129">
                        <c:v>00:32</c:v>
                      </c:pt>
                      <c:pt idx="130">
                        <c:v>00:32</c:v>
                      </c:pt>
                      <c:pt idx="131">
                        <c:v>00:32</c:v>
                      </c:pt>
                      <c:pt idx="132">
                        <c:v>00:33</c:v>
                      </c:pt>
                      <c:pt idx="133">
                        <c:v>00:33</c:v>
                      </c:pt>
                      <c:pt idx="134">
                        <c:v>00:33</c:v>
                      </c:pt>
                      <c:pt idx="135">
                        <c:v>00:33</c:v>
                      </c:pt>
                      <c:pt idx="136">
                        <c:v>00:34</c:v>
                      </c:pt>
                      <c:pt idx="137">
                        <c:v>00:34</c:v>
                      </c:pt>
                      <c:pt idx="138">
                        <c:v>00:34</c:v>
                      </c:pt>
                      <c:pt idx="139">
                        <c:v>00:34</c:v>
                      </c:pt>
                      <c:pt idx="140">
                        <c:v>00:35</c:v>
                      </c:pt>
                      <c:pt idx="141">
                        <c:v>00:35</c:v>
                      </c:pt>
                      <c:pt idx="142">
                        <c:v>00:35</c:v>
                      </c:pt>
                      <c:pt idx="143">
                        <c:v>00:35</c:v>
                      </c:pt>
                      <c:pt idx="144">
                        <c:v>00:36</c:v>
                      </c:pt>
                      <c:pt idx="145">
                        <c:v>00:36</c:v>
                      </c:pt>
                      <c:pt idx="146">
                        <c:v>00:36</c:v>
                      </c:pt>
                      <c:pt idx="147">
                        <c:v>00:36</c:v>
                      </c:pt>
                      <c:pt idx="148">
                        <c:v>00:37</c:v>
                      </c:pt>
                      <c:pt idx="149">
                        <c:v>00:37</c:v>
                      </c:pt>
                      <c:pt idx="150">
                        <c:v>00:37</c:v>
                      </c:pt>
                      <c:pt idx="151">
                        <c:v>00:37</c:v>
                      </c:pt>
                      <c:pt idx="152">
                        <c:v>00:38</c:v>
                      </c:pt>
                      <c:pt idx="153">
                        <c:v>00:38</c:v>
                      </c:pt>
                      <c:pt idx="154">
                        <c:v>00:38</c:v>
                      </c:pt>
                      <c:pt idx="155">
                        <c:v>00:38</c:v>
                      </c:pt>
                      <c:pt idx="156">
                        <c:v>00:39</c:v>
                      </c:pt>
                      <c:pt idx="157">
                        <c:v>00:39</c:v>
                      </c:pt>
                      <c:pt idx="158">
                        <c:v>00:39</c:v>
                      </c:pt>
                      <c:pt idx="159">
                        <c:v>00:39</c:v>
                      </c:pt>
                      <c:pt idx="160">
                        <c:v>00:40</c:v>
                      </c:pt>
                      <c:pt idx="161">
                        <c:v>00:40</c:v>
                      </c:pt>
                      <c:pt idx="162">
                        <c:v>00:40</c:v>
                      </c:pt>
                      <c:pt idx="163">
                        <c:v>00:40</c:v>
                      </c:pt>
                      <c:pt idx="164">
                        <c:v>00:41</c:v>
                      </c:pt>
                      <c:pt idx="165">
                        <c:v>00:41</c:v>
                      </c:pt>
                      <c:pt idx="166">
                        <c:v>00:41</c:v>
                      </c:pt>
                      <c:pt idx="167">
                        <c:v>00:41</c:v>
                      </c:pt>
                      <c:pt idx="168">
                        <c:v>00:42</c:v>
                      </c:pt>
                      <c:pt idx="169">
                        <c:v>00:42</c:v>
                      </c:pt>
                      <c:pt idx="170">
                        <c:v>00:42</c:v>
                      </c:pt>
                      <c:pt idx="171">
                        <c:v>00:42</c:v>
                      </c:pt>
                      <c:pt idx="172">
                        <c:v>00:43</c:v>
                      </c:pt>
                      <c:pt idx="173">
                        <c:v>00:43</c:v>
                      </c:pt>
                      <c:pt idx="174">
                        <c:v>00:43</c:v>
                      </c:pt>
                      <c:pt idx="175">
                        <c:v>00:43</c:v>
                      </c:pt>
                      <c:pt idx="176">
                        <c:v>00:44</c:v>
                      </c:pt>
                      <c:pt idx="177">
                        <c:v>00:44</c:v>
                      </c:pt>
                      <c:pt idx="178">
                        <c:v>00:44</c:v>
                      </c:pt>
                      <c:pt idx="179">
                        <c:v>00:44</c:v>
                      </c:pt>
                      <c:pt idx="180">
                        <c:v>00:45</c:v>
                      </c:pt>
                      <c:pt idx="181">
                        <c:v>00:45</c:v>
                      </c:pt>
                      <c:pt idx="182">
                        <c:v>00:45</c:v>
                      </c:pt>
                      <c:pt idx="183">
                        <c:v>00:46</c:v>
                      </c:pt>
                      <c:pt idx="184">
                        <c:v>00:46</c:v>
                      </c:pt>
                      <c:pt idx="185">
                        <c:v>00:46</c:v>
                      </c:pt>
                      <c:pt idx="186">
                        <c:v>00:46</c:v>
                      </c:pt>
                      <c:pt idx="187">
                        <c:v>00:47</c:v>
                      </c:pt>
                      <c:pt idx="188">
                        <c:v>00:47</c:v>
                      </c:pt>
                      <c:pt idx="189">
                        <c:v>00:47</c:v>
                      </c:pt>
                      <c:pt idx="190">
                        <c:v>00:47</c:v>
                      </c:pt>
                      <c:pt idx="191">
                        <c:v>00:48</c:v>
                      </c:pt>
                      <c:pt idx="192">
                        <c:v>00:48</c:v>
                      </c:pt>
                      <c:pt idx="193">
                        <c:v>00:48</c:v>
                      </c:pt>
                      <c:pt idx="194">
                        <c:v>00:48</c:v>
                      </c:pt>
                      <c:pt idx="195">
                        <c:v>00:49</c:v>
                      </c:pt>
                      <c:pt idx="196">
                        <c:v>00:49</c:v>
                      </c:pt>
                      <c:pt idx="197">
                        <c:v>00:49</c:v>
                      </c:pt>
                      <c:pt idx="198">
                        <c:v>00:49</c:v>
                      </c:pt>
                      <c:pt idx="199">
                        <c:v>00:50</c:v>
                      </c:pt>
                      <c:pt idx="200">
                        <c:v>00:50</c:v>
                      </c:pt>
                      <c:pt idx="201">
                        <c:v>00:50</c:v>
                      </c:pt>
                      <c:pt idx="202">
                        <c:v>00:50</c:v>
                      </c:pt>
                      <c:pt idx="203">
                        <c:v>00:51</c:v>
                      </c:pt>
                      <c:pt idx="204">
                        <c:v>00:51</c:v>
                      </c:pt>
                      <c:pt idx="205">
                        <c:v>00:51</c:v>
                      </c:pt>
                      <c:pt idx="206">
                        <c:v>00:51</c:v>
                      </c:pt>
                      <c:pt idx="207">
                        <c:v>00:52</c:v>
                      </c:pt>
                      <c:pt idx="208">
                        <c:v>00:52</c:v>
                      </c:pt>
                      <c:pt idx="209">
                        <c:v>00:52</c:v>
                      </c:pt>
                      <c:pt idx="210">
                        <c:v>00:52</c:v>
                      </c:pt>
                      <c:pt idx="211">
                        <c:v>00:53</c:v>
                      </c:pt>
                      <c:pt idx="212">
                        <c:v>00:53</c:v>
                      </c:pt>
                      <c:pt idx="213">
                        <c:v>00:53</c:v>
                      </c:pt>
                      <c:pt idx="214">
                        <c:v>00:53</c:v>
                      </c:pt>
                      <c:pt idx="215">
                        <c:v>00:54</c:v>
                      </c:pt>
                      <c:pt idx="216">
                        <c:v>00:54</c:v>
                      </c:pt>
                      <c:pt idx="217">
                        <c:v>00:54</c:v>
                      </c:pt>
                      <c:pt idx="218">
                        <c:v>00:54</c:v>
                      </c:pt>
                      <c:pt idx="219">
                        <c:v>00:55</c:v>
                      </c:pt>
                      <c:pt idx="220">
                        <c:v>00:55</c:v>
                      </c:pt>
                      <c:pt idx="221">
                        <c:v>00:55</c:v>
                      </c:pt>
                      <c:pt idx="222">
                        <c:v>00:55</c:v>
                      </c:pt>
                      <c:pt idx="223">
                        <c:v>00:56</c:v>
                      </c:pt>
                      <c:pt idx="224">
                        <c:v>00:56</c:v>
                      </c:pt>
                      <c:pt idx="225">
                        <c:v>00:56</c:v>
                      </c:pt>
                      <c:pt idx="226">
                        <c:v>00:56</c:v>
                      </c:pt>
                      <c:pt idx="227">
                        <c:v>00:57</c:v>
                      </c:pt>
                      <c:pt idx="228">
                        <c:v>00:57</c:v>
                      </c:pt>
                      <c:pt idx="229">
                        <c:v>00:57</c:v>
                      </c:pt>
                      <c:pt idx="230">
                        <c:v>00:57</c:v>
                      </c:pt>
                      <c:pt idx="231">
                        <c:v>00:58</c:v>
                      </c:pt>
                      <c:pt idx="232">
                        <c:v>00:58</c:v>
                      </c:pt>
                      <c:pt idx="233">
                        <c:v>00:58</c:v>
                      </c:pt>
                      <c:pt idx="234">
                        <c:v>00:58</c:v>
                      </c:pt>
                      <c:pt idx="235">
                        <c:v>00:59</c:v>
                      </c:pt>
                      <c:pt idx="236">
                        <c:v>00:59</c:v>
                      </c:pt>
                      <c:pt idx="237">
                        <c:v>00:59</c:v>
                      </c:pt>
                      <c:pt idx="238">
                        <c:v>00:59</c:v>
                      </c:pt>
                      <c:pt idx="239">
                        <c:v>01:00</c:v>
                      </c:pt>
                      <c:pt idx="240">
                        <c:v>01:00</c:v>
                      </c:pt>
                      <c:pt idx="241">
                        <c:v>01:00</c:v>
                      </c:pt>
                      <c:pt idx="242">
                        <c:v>01:00</c:v>
                      </c:pt>
                      <c:pt idx="243">
                        <c:v>01:01</c:v>
                      </c:pt>
                      <c:pt idx="244">
                        <c:v>01:01</c:v>
                      </c:pt>
                      <c:pt idx="245">
                        <c:v>01:01</c:v>
                      </c:pt>
                      <c:pt idx="246">
                        <c:v>01:01</c:v>
                      </c:pt>
                      <c:pt idx="247">
                        <c:v>01:02</c:v>
                      </c:pt>
                      <c:pt idx="248">
                        <c:v>01:02</c:v>
                      </c:pt>
                      <c:pt idx="249">
                        <c:v>01:02</c:v>
                      </c:pt>
                      <c:pt idx="250">
                        <c:v>01:02</c:v>
                      </c:pt>
                      <c:pt idx="251">
                        <c:v>01:03</c:v>
                      </c:pt>
                      <c:pt idx="252">
                        <c:v>01:03</c:v>
                      </c:pt>
                      <c:pt idx="253">
                        <c:v>01:03</c:v>
                      </c:pt>
                      <c:pt idx="254">
                        <c:v>01:03</c:v>
                      </c:pt>
                      <c:pt idx="255">
                        <c:v>01:04</c:v>
                      </c:pt>
                      <c:pt idx="256">
                        <c:v>01:04</c:v>
                      </c:pt>
                      <c:pt idx="257">
                        <c:v>01:04</c:v>
                      </c:pt>
                      <c:pt idx="258">
                        <c:v>01:04</c:v>
                      </c:pt>
                      <c:pt idx="259">
                        <c:v>01:05</c:v>
                      </c:pt>
                      <c:pt idx="260">
                        <c:v>01:05</c:v>
                      </c:pt>
                      <c:pt idx="261">
                        <c:v>01:05</c:v>
                      </c:pt>
                      <c:pt idx="262">
                        <c:v>01:05</c:v>
                      </c:pt>
                      <c:pt idx="263">
                        <c:v>01:06</c:v>
                      </c:pt>
                      <c:pt idx="264">
                        <c:v>01:06</c:v>
                      </c:pt>
                      <c:pt idx="265">
                        <c:v>01:06</c:v>
                      </c:pt>
                      <c:pt idx="266">
                        <c:v>01:06</c:v>
                      </c:pt>
                      <c:pt idx="267">
                        <c:v>01:07</c:v>
                      </c:pt>
                      <c:pt idx="268">
                        <c:v>01:07</c:v>
                      </c:pt>
                      <c:pt idx="269">
                        <c:v>01:07</c:v>
                      </c:pt>
                      <c:pt idx="270">
                        <c:v>01:07</c:v>
                      </c:pt>
                      <c:pt idx="271">
                        <c:v>01:08</c:v>
                      </c:pt>
                      <c:pt idx="272">
                        <c:v>01:08</c:v>
                      </c:pt>
                      <c:pt idx="273">
                        <c:v>01:08</c:v>
                      </c:pt>
                      <c:pt idx="274">
                        <c:v>01:08</c:v>
                      </c:pt>
                      <c:pt idx="275">
                        <c:v>01:09</c:v>
                      </c:pt>
                      <c:pt idx="276">
                        <c:v>01:09</c:v>
                      </c:pt>
                      <c:pt idx="277">
                        <c:v>01:09</c:v>
                      </c:pt>
                      <c:pt idx="278">
                        <c:v>01:09</c:v>
                      </c:pt>
                      <c:pt idx="279">
                        <c:v>01:10</c:v>
                      </c:pt>
                      <c:pt idx="280">
                        <c:v>01:10</c:v>
                      </c:pt>
                      <c:pt idx="281">
                        <c:v>01:10</c:v>
                      </c:pt>
                      <c:pt idx="282">
                        <c:v>01:10</c:v>
                      </c:pt>
                      <c:pt idx="283">
                        <c:v>01:11</c:v>
                      </c:pt>
                      <c:pt idx="284">
                        <c:v>01:11</c:v>
                      </c:pt>
                      <c:pt idx="285">
                        <c:v>01:11</c:v>
                      </c:pt>
                      <c:pt idx="286">
                        <c:v>01:11</c:v>
                      </c:pt>
                      <c:pt idx="287">
                        <c:v>01:12</c:v>
                      </c:pt>
                      <c:pt idx="288">
                        <c:v>01:12</c:v>
                      </c:pt>
                      <c:pt idx="289">
                        <c:v>01:12</c:v>
                      </c:pt>
                      <c:pt idx="290">
                        <c:v>01:12</c:v>
                      </c:pt>
                      <c:pt idx="291">
                        <c:v>01:13</c:v>
                      </c:pt>
                      <c:pt idx="292">
                        <c:v>01:13</c:v>
                      </c:pt>
                      <c:pt idx="293">
                        <c:v>01:13</c:v>
                      </c:pt>
                      <c:pt idx="294">
                        <c:v>01:13</c:v>
                      </c:pt>
                      <c:pt idx="295">
                        <c:v>01:14</c:v>
                      </c:pt>
                      <c:pt idx="296">
                        <c:v>01:14</c:v>
                      </c:pt>
                      <c:pt idx="297">
                        <c:v>01:14</c:v>
                      </c:pt>
                      <c:pt idx="298">
                        <c:v>01:14</c:v>
                      </c:pt>
                      <c:pt idx="299">
                        <c:v>01:15</c:v>
                      </c:pt>
                      <c:pt idx="300">
                        <c:v>01:15</c:v>
                      </c:pt>
                      <c:pt idx="301">
                        <c:v>01:15</c:v>
                      </c:pt>
                      <c:pt idx="302">
                        <c:v>01:15</c:v>
                      </c:pt>
                      <c:pt idx="303">
                        <c:v>01:16</c:v>
                      </c:pt>
                      <c:pt idx="304">
                        <c:v>01:16</c:v>
                      </c:pt>
                      <c:pt idx="305">
                        <c:v>01:16</c:v>
                      </c:pt>
                      <c:pt idx="306">
                        <c:v>01:16</c:v>
                      </c:pt>
                      <c:pt idx="307">
                        <c:v>01:17</c:v>
                      </c:pt>
                      <c:pt idx="308">
                        <c:v>01:17</c:v>
                      </c:pt>
                      <c:pt idx="309">
                        <c:v>01:17</c:v>
                      </c:pt>
                      <c:pt idx="310">
                        <c:v>01:17</c:v>
                      </c:pt>
                      <c:pt idx="311">
                        <c:v>01:18</c:v>
                      </c:pt>
                      <c:pt idx="312">
                        <c:v>01:18</c:v>
                      </c:pt>
                      <c:pt idx="313">
                        <c:v>01:18</c:v>
                      </c:pt>
                      <c:pt idx="314">
                        <c:v>01:18</c:v>
                      </c:pt>
                      <c:pt idx="315">
                        <c:v>01:19</c:v>
                      </c:pt>
                      <c:pt idx="316">
                        <c:v>01:19</c:v>
                      </c:pt>
                      <c:pt idx="317">
                        <c:v>01:19</c:v>
                      </c:pt>
                      <c:pt idx="318">
                        <c:v>01:19</c:v>
                      </c:pt>
                      <c:pt idx="319">
                        <c:v>01:20</c:v>
                      </c:pt>
                      <c:pt idx="320">
                        <c:v>01:20</c:v>
                      </c:pt>
                      <c:pt idx="321">
                        <c:v>01:20</c:v>
                      </c:pt>
                      <c:pt idx="322">
                        <c:v>01:20</c:v>
                      </c:pt>
                      <c:pt idx="323">
                        <c:v>01:21</c:v>
                      </c:pt>
                      <c:pt idx="324">
                        <c:v>01:21</c:v>
                      </c:pt>
                      <c:pt idx="325">
                        <c:v>01:21</c:v>
                      </c:pt>
                      <c:pt idx="326">
                        <c:v>01:21</c:v>
                      </c:pt>
                      <c:pt idx="327">
                        <c:v>01:22</c:v>
                      </c:pt>
                      <c:pt idx="328">
                        <c:v>01:22</c:v>
                      </c:pt>
                      <c:pt idx="329">
                        <c:v>01:22</c:v>
                      </c:pt>
                      <c:pt idx="330">
                        <c:v>01:22</c:v>
                      </c:pt>
                      <c:pt idx="331">
                        <c:v>01:23</c:v>
                      </c:pt>
                      <c:pt idx="332">
                        <c:v>01:23</c:v>
                      </c:pt>
                      <c:pt idx="333">
                        <c:v>01:23</c:v>
                      </c:pt>
                      <c:pt idx="334">
                        <c:v>01:23</c:v>
                      </c:pt>
                      <c:pt idx="335">
                        <c:v>01:24</c:v>
                      </c:pt>
                      <c:pt idx="336">
                        <c:v>01:24</c:v>
                      </c:pt>
                      <c:pt idx="337">
                        <c:v>01:24</c:v>
                      </c:pt>
                      <c:pt idx="338">
                        <c:v>01:24</c:v>
                      </c:pt>
                      <c:pt idx="339">
                        <c:v>01:25</c:v>
                      </c:pt>
                      <c:pt idx="340">
                        <c:v>01:25</c:v>
                      </c:pt>
                      <c:pt idx="341">
                        <c:v>01:25</c:v>
                      </c:pt>
                      <c:pt idx="342">
                        <c:v>01:25</c:v>
                      </c:pt>
                      <c:pt idx="343">
                        <c:v>01:26</c:v>
                      </c:pt>
                      <c:pt idx="344">
                        <c:v>01:26</c:v>
                      </c:pt>
                      <c:pt idx="345">
                        <c:v>01:26</c:v>
                      </c:pt>
                      <c:pt idx="346">
                        <c:v>01:26</c:v>
                      </c:pt>
                      <c:pt idx="347">
                        <c:v>01:27</c:v>
                      </c:pt>
                      <c:pt idx="348">
                        <c:v>01:27</c:v>
                      </c:pt>
                      <c:pt idx="349">
                        <c:v>01:27</c:v>
                      </c:pt>
                      <c:pt idx="350">
                        <c:v>01:27</c:v>
                      </c:pt>
                      <c:pt idx="351">
                        <c:v>01:28</c:v>
                      </c:pt>
                      <c:pt idx="352">
                        <c:v>01:28</c:v>
                      </c:pt>
                      <c:pt idx="353">
                        <c:v>01:28</c:v>
                      </c:pt>
                      <c:pt idx="354">
                        <c:v>01:28</c:v>
                      </c:pt>
                      <c:pt idx="355">
                        <c:v>01:29</c:v>
                      </c:pt>
                      <c:pt idx="356">
                        <c:v>01:29</c:v>
                      </c:pt>
                      <c:pt idx="357">
                        <c:v>01:29</c:v>
                      </c:pt>
                      <c:pt idx="358">
                        <c:v>01:29</c:v>
                      </c:pt>
                      <c:pt idx="359">
                        <c:v>01:30</c:v>
                      </c:pt>
                      <c:pt idx="360">
                        <c:v>01:30</c:v>
                      </c:pt>
                      <c:pt idx="361">
                        <c:v>01:30</c:v>
                      </c:pt>
                      <c:pt idx="362">
                        <c:v>01:30</c:v>
                      </c:pt>
                      <c:pt idx="363">
                        <c:v>01:31</c:v>
                      </c:pt>
                      <c:pt idx="364">
                        <c:v>01:31</c:v>
                      </c:pt>
                      <c:pt idx="365">
                        <c:v>01:31</c:v>
                      </c:pt>
                      <c:pt idx="366">
                        <c:v>01:31</c:v>
                      </c:pt>
                      <c:pt idx="367">
                        <c:v>01:32</c:v>
                      </c:pt>
                      <c:pt idx="368">
                        <c:v>01:32</c:v>
                      </c:pt>
                      <c:pt idx="369">
                        <c:v>01:32</c:v>
                      </c:pt>
                      <c:pt idx="370">
                        <c:v>01:33</c:v>
                      </c:pt>
                      <c:pt idx="371">
                        <c:v>01:33</c:v>
                      </c:pt>
                      <c:pt idx="372">
                        <c:v>01:33</c:v>
                      </c:pt>
                      <c:pt idx="373">
                        <c:v>01:33</c:v>
                      </c:pt>
                      <c:pt idx="374">
                        <c:v>01:34</c:v>
                      </c:pt>
                      <c:pt idx="375">
                        <c:v>01:34</c:v>
                      </c:pt>
                      <c:pt idx="376">
                        <c:v>01:34</c:v>
                      </c:pt>
                      <c:pt idx="377">
                        <c:v>01:34</c:v>
                      </c:pt>
                      <c:pt idx="378">
                        <c:v>01:35</c:v>
                      </c:pt>
                      <c:pt idx="379">
                        <c:v>01:35</c:v>
                      </c:pt>
                      <c:pt idx="380">
                        <c:v>01:35</c:v>
                      </c:pt>
                      <c:pt idx="381">
                        <c:v>01:35</c:v>
                      </c:pt>
                      <c:pt idx="382">
                        <c:v>01:36</c:v>
                      </c:pt>
                      <c:pt idx="383">
                        <c:v>01:36</c:v>
                      </c:pt>
                      <c:pt idx="384">
                        <c:v>01:36</c:v>
                      </c:pt>
                      <c:pt idx="385">
                        <c:v>01:36</c:v>
                      </c:pt>
                      <c:pt idx="386">
                        <c:v>01:37</c:v>
                      </c:pt>
                      <c:pt idx="387">
                        <c:v>01:37</c:v>
                      </c:pt>
                      <c:pt idx="388">
                        <c:v>01:37</c:v>
                      </c:pt>
                      <c:pt idx="389">
                        <c:v>01:37</c:v>
                      </c:pt>
                      <c:pt idx="390">
                        <c:v>01:38</c:v>
                      </c:pt>
                      <c:pt idx="391">
                        <c:v>01:38</c:v>
                      </c:pt>
                      <c:pt idx="392">
                        <c:v>01:38</c:v>
                      </c:pt>
                      <c:pt idx="393">
                        <c:v>01:38</c:v>
                      </c:pt>
                      <c:pt idx="394">
                        <c:v>01:39</c:v>
                      </c:pt>
                      <c:pt idx="395">
                        <c:v>01:39</c:v>
                      </c:pt>
                      <c:pt idx="396">
                        <c:v>01:39</c:v>
                      </c:pt>
                      <c:pt idx="397">
                        <c:v>01:39</c:v>
                      </c:pt>
                      <c:pt idx="398">
                        <c:v>01:40</c:v>
                      </c:pt>
                      <c:pt idx="399">
                        <c:v>01:40</c:v>
                      </c:pt>
                      <c:pt idx="400">
                        <c:v>01:40</c:v>
                      </c:pt>
                      <c:pt idx="401">
                        <c:v>01:40</c:v>
                      </c:pt>
                      <c:pt idx="402">
                        <c:v>01:41</c:v>
                      </c:pt>
                      <c:pt idx="403">
                        <c:v>01:41</c:v>
                      </c:pt>
                      <c:pt idx="404">
                        <c:v>01:41</c:v>
                      </c:pt>
                      <c:pt idx="405">
                        <c:v>01:41</c:v>
                      </c:pt>
                      <c:pt idx="406">
                        <c:v>01:42</c:v>
                      </c:pt>
                      <c:pt idx="407">
                        <c:v>01:42</c:v>
                      </c:pt>
                      <c:pt idx="408">
                        <c:v>01:42</c:v>
                      </c:pt>
                      <c:pt idx="409">
                        <c:v>01:42</c:v>
                      </c:pt>
                      <c:pt idx="410">
                        <c:v>01:43</c:v>
                      </c:pt>
                      <c:pt idx="411">
                        <c:v>01:43</c:v>
                      </c:pt>
                      <c:pt idx="412">
                        <c:v>01:43</c:v>
                      </c:pt>
                      <c:pt idx="413">
                        <c:v>01:43</c:v>
                      </c:pt>
                      <c:pt idx="414">
                        <c:v>01:44</c:v>
                      </c:pt>
                      <c:pt idx="415">
                        <c:v>01:44</c:v>
                      </c:pt>
                      <c:pt idx="416">
                        <c:v>01:44</c:v>
                      </c:pt>
                      <c:pt idx="417">
                        <c:v>01:44</c:v>
                      </c:pt>
                      <c:pt idx="418">
                        <c:v>01:45</c:v>
                      </c:pt>
                      <c:pt idx="419">
                        <c:v>01:45</c:v>
                      </c:pt>
                      <c:pt idx="420">
                        <c:v>01:45</c:v>
                      </c:pt>
                      <c:pt idx="421">
                        <c:v>01:45</c:v>
                      </c:pt>
                      <c:pt idx="422">
                        <c:v>01:46</c:v>
                      </c:pt>
                      <c:pt idx="423">
                        <c:v>01:46</c:v>
                      </c:pt>
                      <c:pt idx="424">
                        <c:v>01:46</c:v>
                      </c:pt>
                      <c:pt idx="425">
                        <c:v>01:46</c:v>
                      </c:pt>
                      <c:pt idx="426">
                        <c:v>01:47</c:v>
                      </c:pt>
                      <c:pt idx="427">
                        <c:v>01:47</c:v>
                      </c:pt>
                      <c:pt idx="428">
                        <c:v>01:47</c:v>
                      </c:pt>
                      <c:pt idx="429">
                        <c:v>01:47</c:v>
                      </c:pt>
                      <c:pt idx="430">
                        <c:v>01:48</c:v>
                      </c:pt>
                      <c:pt idx="431">
                        <c:v>01:48</c:v>
                      </c:pt>
                      <c:pt idx="432">
                        <c:v>01:48</c:v>
                      </c:pt>
                      <c:pt idx="433">
                        <c:v>01:48</c:v>
                      </c:pt>
                      <c:pt idx="434">
                        <c:v>01:49</c:v>
                      </c:pt>
                      <c:pt idx="435">
                        <c:v>01:49</c:v>
                      </c:pt>
                      <c:pt idx="436">
                        <c:v>01:49</c:v>
                      </c:pt>
                      <c:pt idx="437">
                        <c:v>01:49</c:v>
                      </c:pt>
                      <c:pt idx="438">
                        <c:v>01:50</c:v>
                      </c:pt>
                      <c:pt idx="439">
                        <c:v>01:50</c:v>
                      </c:pt>
                      <c:pt idx="440">
                        <c:v>01:50</c:v>
                      </c:pt>
                      <c:pt idx="441">
                        <c:v>01:50</c:v>
                      </c:pt>
                      <c:pt idx="442">
                        <c:v>01:51</c:v>
                      </c:pt>
                      <c:pt idx="443">
                        <c:v>01:51</c:v>
                      </c:pt>
                      <c:pt idx="444">
                        <c:v>01:51</c:v>
                      </c:pt>
                      <c:pt idx="445">
                        <c:v>01:51</c:v>
                      </c:pt>
                      <c:pt idx="446">
                        <c:v>01:52</c:v>
                      </c:pt>
                      <c:pt idx="447">
                        <c:v>01:52</c:v>
                      </c:pt>
                      <c:pt idx="448">
                        <c:v>01:52</c:v>
                      </c:pt>
                      <c:pt idx="449">
                        <c:v>01:52</c:v>
                      </c:pt>
                      <c:pt idx="450">
                        <c:v>01:53</c:v>
                      </c:pt>
                      <c:pt idx="451">
                        <c:v>01:53</c:v>
                      </c:pt>
                      <c:pt idx="452">
                        <c:v>01:53</c:v>
                      </c:pt>
                      <c:pt idx="453">
                        <c:v>01:53</c:v>
                      </c:pt>
                      <c:pt idx="454">
                        <c:v>01:54</c:v>
                      </c:pt>
                      <c:pt idx="455">
                        <c:v>01:54</c:v>
                      </c:pt>
                      <c:pt idx="456">
                        <c:v>01:54</c:v>
                      </c:pt>
                      <c:pt idx="457">
                        <c:v>01:54</c:v>
                      </c:pt>
                      <c:pt idx="458">
                        <c:v>01:55</c:v>
                      </c:pt>
                      <c:pt idx="459">
                        <c:v>01:55</c:v>
                      </c:pt>
                      <c:pt idx="460">
                        <c:v>01:55</c:v>
                      </c:pt>
                      <c:pt idx="461">
                        <c:v>01:55</c:v>
                      </c:pt>
                      <c:pt idx="462">
                        <c:v>01:56</c:v>
                      </c:pt>
                      <c:pt idx="463">
                        <c:v>01:56</c:v>
                      </c:pt>
                      <c:pt idx="464">
                        <c:v>01:56</c:v>
                      </c:pt>
                      <c:pt idx="465">
                        <c:v>01:56</c:v>
                      </c:pt>
                      <c:pt idx="466">
                        <c:v>01:57</c:v>
                      </c:pt>
                      <c:pt idx="467">
                        <c:v>01:57</c:v>
                      </c:pt>
                      <c:pt idx="468">
                        <c:v>01:57</c:v>
                      </c:pt>
                      <c:pt idx="469">
                        <c:v>01:57</c:v>
                      </c:pt>
                      <c:pt idx="470">
                        <c:v>01:58</c:v>
                      </c:pt>
                      <c:pt idx="471">
                        <c:v>01:58</c:v>
                      </c:pt>
                      <c:pt idx="472">
                        <c:v>01:58</c:v>
                      </c:pt>
                      <c:pt idx="473">
                        <c:v>01:58</c:v>
                      </c:pt>
                      <c:pt idx="474">
                        <c:v>01:59</c:v>
                      </c:pt>
                      <c:pt idx="475">
                        <c:v>01:59</c:v>
                      </c:pt>
                      <c:pt idx="476">
                        <c:v>01:59</c:v>
                      </c:pt>
                      <c:pt idx="477">
                        <c:v>01:59</c:v>
                      </c:pt>
                      <c:pt idx="478">
                        <c:v>02:00</c:v>
                      </c:pt>
                      <c:pt idx="479">
                        <c:v>02:00</c:v>
                      </c:pt>
                      <c:pt idx="480">
                        <c:v>02:00</c:v>
                      </c:pt>
                      <c:pt idx="481">
                        <c:v>02:00</c:v>
                      </c:pt>
                      <c:pt idx="482">
                        <c:v>02:01</c:v>
                      </c:pt>
                      <c:pt idx="483">
                        <c:v>02:01</c:v>
                      </c:pt>
                      <c:pt idx="484">
                        <c:v>02:01</c:v>
                      </c:pt>
                      <c:pt idx="485">
                        <c:v>02:01</c:v>
                      </c:pt>
                      <c:pt idx="486">
                        <c:v>02:02</c:v>
                      </c:pt>
                      <c:pt idx="487">
                        <c:v>02:02</c:v>
                      </c:pt>
                      <c:pt idx="488">
                        <c:v>02:02</c:v>
                      </c:pt>
                      <c:pt idx="489">
                        <c:v>02:02</c:v>
                      </c:pt>
                      <c:pt idx="490">
                        <c:v>02:03</c:v>
                      </c:pt>
                      <c:pt idx="491">
                        <c:v>02:03</c:v>
                      </c:pt>
                      <c:pt idx="492">
                        <c:v>02:03</c:v>
                      </c:pt>
                      <c:pt idx="493">
                        <c:v>02:03</c:v>
                      </c:pt>
                      <c:pt idx="494">
                        <c:v>02:04</c:v>
                      </c:pt>
                      <c:pt idx="495">
                        <c:v>02:04</c:v>
                      </c:pt>
                      <c:pt idx="496">
                        <c:v>02:04</c:v>
                      </c:pt>
                      <c:pt idx="497">
                        <c:v>02:04</c:v>
                      </c:pt>
                      <c:pt idx="498">
                        <c:v>02:05</c:v>
                      </c:pt>
                      <c:pt idx="499">
                        <c:v>02:05</c:v>
                      </c:pt>
                      <c:pt idx="500">
                        <c:v>02:05</c:v>
                      </c:pt>
                      <c:pt idx="501">
                        <c:v>02:05</c:v>
                      </c:pt>
                      <c:pt idx="502">
                        <c:v>02:06</c:v>
                      </c:pt>
                      <c:pt idx="503">
                        <c:v>02:06</c:v>
                      </c:pt>
                      <c:pt idx="504">
                        <c:v>02:06</c:v>
                      </c:pt>
                      <c:pt idx="505">
                        <c:v>02:06</c:v>
                      </c:pt>
                      <c:pt idx="506">
                        <c:v>02:07</c:v>
                      </c:pt>
                      <c:pt idx="507">
                        <c:v>02:07</c:v>
                      </c:pt>
                      <c:pt idx="508">
                        <c:v>02:07</c:v>
                      </c:pt>
                      <c:pt idx="509">
                        <c:v>02:07</c:v>
                      </c:pt>
                      <c:pt idx="510">
                        <c:v>02:08</c:v>
                      </c:pt>
                      <c:pt idx="511">
                        <c:v>02:08</c:v>
                      </c:pt>
                      <c:pt idx="512">
                        <c:v>02:08</c:v>
                      </c:pt>
                      <c:pt idx="513">
                        <c:v>02:08</c:v>
                      </c:pt>
                      <c:pt idx="514">
                        <c:v>02:09</c:v>
                      </c:pt>
                      <c:pt idx="515">
                        <c:v>02:09</c:v>
                      </c:pt>
                      <c:pt idx="516">
                        <c:v>02:09</c:v>
                      </c:pt>
                      <c:pt idx="517">
                        <c:v>02:09</c:v>
                      </c:pt>
                      <c:pt idx="518">
                        <c:v>02:10</c:v>
                      </c:pt>
                      <c:pt idx="519">
                        <c:v>02:10</c:v>
                      </c:pt>
                      <c:pt idx="520">
                        <c:v>02:10</c:v>
                      </c:pt>
                      <c:pt idx="521">
                        <c:v>02:10</c:v>
                      </c:pt>
                      <c:pt idx="522">
                        <c:v>02:11</c:v>
                      </c:pt>
                      <c:pt idx="523">
                        <c:v>02:11</c:v>
                      </c:pt>
                      <c:pt idx="524">
                        <c:v>02:11</c:v>
                      </c:pt>
                      <c:pt idx="525">
                        <c:v>02:11</c:v>
                      </c:pt>
                      <c:pt idx="526">
                        <c:v>02:12</c:v>
                      </c:pt>
                      <c:pt idx="527">
                        <c:v>02:12</c:v>
                      </c:pt>
                      <c:pt idx="528">
                        <c:v>02:12</c:v>
                      </c:pt>
                      <c:pt idx="529">
                        <c:v>02:12</c:v>
                      </c:pt>
                      <c:pt idx="530">
                        <c:v>02:13</c:v>
                      </c:pt>
                      <c:pt idx="531">
                        <c:v>02:13</c:v>
                      </c:pt>
                      <c:pt idx="532">
                        <c:v>02:13</c:v>
                      </c:pt>
                      <c:pt idx="533">
                        <c:v>02:13</c:v>
                      </c:pt>
                      <c:pt idx="534">
                        <c:v>02:14</c:v>
                      </c:pt>
                      <c:pt idx="535">
                        <c:v>02:14</c:v>
                      </c:pt>
                      <c:pt idx="536">
                        <c:v>02:14</c:v>
                      </c:pt>
                      <c:pt idx="537">
                        <c:v>02:14</c:v>
                      </c:pt>
                      <c:pt idx="538">
                        <c:v>02:15</c:v>
                      </c:pt>
                      <c:pt idx="539">
                        <c:v>02:15</c:v>
                      </c:pt>
                      <c:pt idx="540">
                        <c:v>02:15</c:v>
                      </c:pt>
                      <c:pt idx="541">
                        <c:v>02:15</c:v>
                      </c:pt>
                      <c:pt idx="542">
                        <c:v>02:16</c:v>
                      </c:pt>
                      <c:pt idx="543">
                        <c:v>02:16</c:v>
                      </c:pt>
                      <c:pt idx="544">
                        <c:v>02:16</c:v>
                      </c:pt>
                      <c:pt idx="545">
                        <c:v>02:16</c:v>
                      </c:pt>
                      <c:pt idx="546">
                        <c:v>02:17</c:v>
                      </c:pt>
                      <c:pt idx="547">
                        <c:v>02:17</c:v>
                      </c:pt>
                      <c:pt idx="548">
                        <c:v>02:17</c:v>
                      </c:pt>
                      <c:pt idx="549">
                        <c:v>02:17</c:v>
                      </c:pt>
                      <c:pt idx="550">
                        <c:v>02:18</c:v>
                      </c:pt>
                      <c:pt idx="551">
                        <c:v>02:18</c:v>
                      </c:pt>
                      <c:pt idx="552">
                        <c:v>02:18</c:v>
                      </c:pt>
                      <c:pt idx="553">
                        <c:v>02:18</c:v>
                      </c:pt>
                      <c:pt idx="554">
                        <c:v>02:19</c:v>
                      </c:pt>
                      <c:pt idx="555">
                        <c:v>02:19</c:v>
                      </c:pt>
                      <c:pt idx="556">
                        <c:v>02:19</c:v>
                      </c:pt>
                      <c:pt idx="557">
                        <c:v>02:19</c:v>
                      </c:pt>
                      <c:pt idx="558">
                        <c:v>02:20</c:v>
                      </c:pt>
                      <c:pt idx="559">
                        <c:v>02:20</c:v>
                      </c:pt>
                      <c:pt idx="560">
                        <c:v>02:20</c:v>
                      </c:pt>
                      <c:pt idx="561">
                        <c:v>02:20</c:v>
                      </c:pt>
                      <c:pt idx="562">
                        <c:v>02:21</c:v>
                      </c:pt>
                      <c:pt idx="563">
                        <c:v>02:21</c:v>
                      </c:pt>
                      <c:pt idx="564">
                        <c:v>02:21</c:v>
                      </c:pt>
                      <c:pt idx="565">
                        <c:v>02:21</c:v>
                      </c:pt>
                      <c:pt idx="566">
                        <c:v>02:22</c:v>
                      </c:pt>
                      <c:pt idx="567">
                        <c:v>02:22</c:v>
                      </c:pt>
                      <c:pt idx="568">
                        <c:v>02:22</c:v>
                      </c:pt>
                      <c:pt idx="569">
                        <c:v>02:22</c:v>
                      </c:pt>
                      <c:pt idx="570">
                        <c:v>02:23</c:v>
                      </c:pt>
                      <c:pt idx="571">
                        <c:v>02:23</c:v>
                      </c:pt>
                      <c:pt idx="572">
                        <c:v>02:23</c:v>
                      </c:pt>
                      <c:pt idx="573">
                        <c:v>02:23</c:v>
                      </c:pt>
                      <c:pt idx="574">
                        <c:v>02:24</c:v>
                      </c:pt>
                      <c:pt idx="575">
                        <c:v>02:24</c:v>
                      </c:pt>
                      <c:pt idx="576">
                        <c:v>02:24</c:v>
                      </c:pt>
                      <c:pt idx="577">
                        <c:v>02:24</c:v>
                      </c:pt>
                      <c:pt idx="578">
                        <c:v>02:25</c:v>
                      </c:pt>
                      <c:pt idx="579">
                        <c:v>02:25</c:v>
                      </c:pt>
                      <c:pt idx="580">
                        <c:v>02:25</c:v>
                      </c:pt>
                      <c:pt idx="581">
                        <c:v>02:25</c:v>
                      </c:pt>
                      <c:pt idx="582">
                        <c:v>02:26</c:v>
                      </c:pt>
                      <c:pt idx="583">
                        <c:v>02:26</c:v>
                      </c:pt>
                      <c:pt idx="584">
                        <c:v>02:26</c:v>
                      </c:pt>
                      <c:pt idx="585">
                        <c:v>02:26</c:v>
                      </c:pt>
                      <c:pt idx="586">
                        <c:v>02:27</c:v>
                      </c:pt>
                      <c:pt idx="587">
                        <c:v>02:27</c:v>
                      </c:pt>
                      <c:pt idx="588">
                        <c:v>02:27</c:v>
                      </c:pt>
                      <c:pt idx="589">
                        <c:v>02:27</c:v>
                      </c:pt>
                      <c:pt idx="590">
                        <c:v>02:28</c:v>
                      </c:pt>
                      <c:pt idx="591">
                        <c:v>02:28</c:v>
                      </c:pt>
                      <c:pt idx="592">
                        <c:v>02:28</c:v>
                      </c:pt>
                      <c:pt idx="593">
                        <c:v>02:28</c:v>
                      </c:pt>
                      <c:pt idx="594">
                        <c:v>02:29</c:v>
                      </c:pt>
                      <c:pt idx="595">
                        <c:v>02:29</c:v>
                      </c:pt>
                      <c:pt idx="596">
                        <c:v>02:29</c:v>
                      </c:pt>
                      <c:pt idx="597">
                        <c:v>02:29</c:v>
                      </c:pt>
                      <c:pt idx="598">
                        <c:v>02:30</c:v>
                      </c:pt>
                      <c:pt idx="599">
                        <c:v>02:30</c:v>
                      </c:pt>
                      <c:pt idx="600">
                        <c:v>02:30</c:v>
                      </c:pt>
                      <c:pt idx="601">
                        <c:v>02:30</c:v>
                      </c:pt>
                      <c:pt idx="602">
                        <c:v>02:31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'Charing Profile'!$L$13:$L$615</c15:sqref>
                        </c15:formulaRef>
                      </c:ext>
                    </c:extLst>
                    <c:numCache>
                      <c:formatCode>0</c:formatCode>
                      <c:ptCount val="603"/>
                      <c:pt idx="0">
                        <c:v>473.01732000000004</c:v>
                      </c:pt>
                      <c:pt idx="1">
                        <c:v>478.22565333333336</c:v>
                      </c:pt>
                      <c:pt idx="2">
                        <c:v>484.09126444444445</c:v>
                      </c:pt>
                      <c:pt idx="3">
                        <c:v>490.83627000000001</c:v>
                      </c:pt>
                      <c:pt idx="4">
                        <c:v>498.83757833333334</c:v>
                      </c:pt>
                      <c:pt idx="5">
                        <c:v>507.04398944444443</c:v>
                      </c:pt>
                      <c:pt idx="6">
                        <c:v>515.20744777777782</c:v>
                      </c:pt>
                      <c:pt idx="7">
                        <c:v>523.37794777777776</c:v>
                      </c:pt>
                      <c:pt idx="8">
                        <c:v>531.54032277777776</c:v>
                      </c:pt>
                      <c:pt idx="9">
                        <c:v>539.75326722222223</c:v>
                      </c:pt>
                      <c:pt idx="10">
                        <c:v>547.88025055555556</c:v>
                      </c:pt>
                      <c:pt idx="11">
                        <c:v>556.04912555555552</c:v>
                      </c:pt>
                      <c:pt idx="12">
                        <c:v>564.05096444444439</c:v>
                      </c:pt>
                      <c:pt idx="13">
                        <c:v>572.21983944444435</c:v>
                      </c:pt>
                      <c:pt idx="14">
                        <c:v>580.38925611111097</c:v>
                      </c:pt>
                      <c:pt idx="15">
                        <c:v>588.46791444444432</c:v>
                      </c:pt>
                      <c:pt idx="16">
                        <c:v>596.63841444444438</c:v>
                      </c:pt>
                      <c:pt idx="17">
                        <c:v>604.76539777777771</c:v>
                      </c:pt>
                      <c:pt idx="18">
                        <c:v>612.93427277777766</c:v>
                      </c:pt>
                      <c:pt idx="19">
                        <c:v>621.13850611111104</c:v>
                      </c:pt>
                      <c:pt idx="20">
                        <c:v>629.38788111111103</c:v>
                      </c:pt>
                      <c:pt idx="21">
                        <c:v>637.72598111111108</c:v>
                      </c:pt>
                      <c:pt idx="22">
                        <c:v>645.93729222222214</c:v>
                      </c:pt>
                      <c:pt idx="23">
                        <c:v>654.27373388888884</c:v>
                      </c:pt>
                      <c:pt idx="24">
                        <c:v>662.56333388888879</c:v>
                      </c:pt>
                      <c:pt idx="25">
                        <c:v>670.85953388888879</c:v>
                      </c:pt>
                      <c:pt idx="26">
                        <c:v>679.11219222222212</c:v>
                      </c:pt>
                      <c:pt idx="27">
                        <c:v>687.40674222222208</c:v>
                      </c:pt>
                      <c:pt idx="28">
                        <c:v>695.65940055555541</c:v>
                      </c:pt>
                      <c:pt idx="29">
                        <c:v>703.87016722222199</c:v>
                      </c:pt>
                      <c:pt idx="30">
                        <c:v>712.08093388888869</c:v>
                      </c:pt>
                      <c:pt idx="31">
                        <c:v>720.41737555555528</c:v>
                      </c:pt>
                      <c:pt idx="32">
                        <c:v>728.75381722222198</c:v>
                      </c:pt>
                      <c:pt idx="33">
                        <c:v>737.00647555555531</c:v>
                      </c:pt>
                      <c:pt idx="34">
                        <c:v>745.30102555555527</c:v>
                      </c:pt>
                      <c:pt idx="35">
                        <c:v>753.55423111111088</c:v>
                      </c:pt>
                      <c:pt idx="36">
                        <c:v>761.80688944444421</c:v>
                      </c:pt>
                      <c:pt idx="37">
                        <c:v>770.05954777777765</c:v>
                      </c:pt>
                      <c:pt idx="38">
                        <c:v>778.43788111111098</c:v>
                      </c:pt>
                      <c:pt idx="39">
                        <c:v>786.73243111111105</c:v>
                      </c:pt>
                      <c:pt idx="40">
                        <c:v>795.11076444444438</c:v>
                      </c:pt>
                      <c:pt idx="41">
                        <c:v>803.40586444444443</c:v>
                      </c:pt>
                      <c:pt idx="42">
                        <c:v>811.65906999999993</c:v>
                      </c:pt>
                      <c:pt idx="43">
                        <c:v>819.95416999999998</c:v>
                      </c:pt>
                      <c:pt idx="44">
                        <c:v>828.24871999999993</c:v>
                      </c:pt>
                      <c:pt idx="45">
                        <c:v>836.54381999999998</c:v>
                      </c:pt>
                      <c:pt idx="46">
                        <c:v>844.75458666666657</c:v>
                      </c:pt>
                      <c:pt idx="47">
                        <c:v>852.95881999999983</c:v>
                      </c:pt>
                      <c:pt idx="48">
                        <c:v>861.17829777777763</c:v>
                      </c:pt>
                      <c:pt idx="49">
                        <c:v>869.51529222222212</c:v>
                      </c:pt>
                      <c:pt idx="50">
                        <c:v>877.84620611111097</c:v>
                      </c:pt>
                      <c:pt idx="51">
                        <c:v>886.22731722222204</c:v>
                      </c:pt>
                      <c:pt idx="52">
                        <c:v>894.47833388888864</c:v>
                      </c:pt>
                      <c:pt idx="53">
                        <c:v>902.68746722222193</c:v>
                      </c:pt>
                      <c:pt idx="54">
                        <c:v>910.9352005555553</c:v>
                      </c:pt>
                      <c:pt idx="55">
                        <c:v>919.32075611111088</c:v>
                      </c:pt>
                      <c:pt idx="56">
                        <c:v>927.57286722222193</c:v>
                      </c:pt>
                      <c:pt idx="57">
                        <c:v>935.86136722222193</c:v>
                      </c:pt>
                      <c:pt idx="58">
                        <c:v>944.1194977777775</c:v>
                      </c:pt>
                      <c:pt idx="59">
                        <c:v>952.41404777777745</c:v>
                      </c:pt>
                      <c:pt idx="60">
                        <c:v>960.6667061111109</c:v>
                      </c:pt>
                      <c:pt idx="61">
                        <c:v>968.99817277777754</c:v>
                      </c:pt>
                      <c:pt idx="62">
                        <c:v>977.20349499999975</c:v>
                      </c:pt>
                      <c:pt idx="63">
                        <c:v>985.45122833333312</c:v>
                      </c:pt>
                      <c:pt idx="64">
                        <c:v>993.8279033333331</c:v>
                      </c:pt>
                      <c:pt idx="65">
                        <c:v>1002.0444449999998</c:v>
                      </c:pt>
                      <c:pt idx="66">
                        <c:v>1010.2971033333331</c:v>
                      </c:pt>
                      <c:pt idx="67">
                        <c:v>1018.675992222222</c:v>
                      </c:pt>
                      <c:pt idx="68">
                        <c:v>1026.9705422222221</c:v>
                      </c:pt>
                      <c:pt idx="69">
                        <c:v>1035.3064311111109</c:v>
                      </c:pt>
                      <c:pt idx="70">
                        <c:v>1043.6015311111109</c:v>
                      </c:pt>
                      <c:pt idx="71">
                        <c:v>1051.9379727777778</c:v>
                      </c:pt>
                      <c:pt idx="72">
                        <c:v>1060.148195</c:v>
                      </c:pt>
                      <c:pt idx="73">
                        <c:v>1068.5198616666667</c:v>
                      </c:pt>
                      <c:pt idx="74">
                        <c:v>1076.8931950000001</c:v>
                      </c:pt>
                      <c:pt idx="75">
                        <c:v>1085.273195</c:v>
                      </c:pt>
                      <c:pt idx="76">
                        <c:v>1093.647083888889</c:v>
                      </c:pt>
                      <c:pt idx="77">
                        <c:v>1101.8594838888889</c:v>
                      </c:pt>
                      <c:pt idx="78">
                        <c:v>1110.1121422222222</c:v>
                      </c:pt>
                      <c:pt idx="79">
                        <c:v>1118.4066922222221</c:v>
                      </c:pt>
                      <c:pt idx="80">
                        <c:v>1126.7012422222222</c:v>
                      </c:pt>
                      <c:pt idx="81">
                        <c:v>1134.9897422222223</c:v>
                      </c:pt>
                      <c:pt idx="82">
                        <c:v>1143.3697422222222</c:v>
                      </c:pt>
                      <c:pt idx="83">
                        <c:v>1151.7480755555555</c:v>
                      </c:pt>
                      <c:pt idx="84">
                        <c:v>1159.9941672222221</c:v>
                      </c:pt>
                      <c:pt idx="85">
                        <c:v>1168.3256338888889</c:v>
                      </c:pt>
                      <c:pt idx="86">
                        <c:v>1176.9972088888887</c:v>
                      </c:pt>
                      <c:pt idx="87">
                        <c:v>1185.331992222222</c:v>
                      </c:pt>
                      <c:pt idx="88">
                        <c:v>1193.6684338888888</c:v>
                      </c:pt>
                      <c:pt idx="89">
                        <c:v>1202.0869838888889</c:v>
                      </c:pt>
                      <c:pt idx="90">
                        <c:v>1210.3374533333335</c:v>
                      </c:pt>
                      <c:pt idx="91">
                        <c:v>1218.6727894444446</c:v>
                      </c:pt>
                      <c:pt idx="92">
                        <c:v>1226.9232588888892</c:v>
                      </c:pt>
                      <c:pt idx="93">
                        <c:v>1235.2216588888891</c:v>
                      </c:pt>
                      <c:pt idx="94">
                        <c:v>1243.4781477777781</c:v>
                      </c:pt>
                      <c:pt idx="95">
                        <c:v>1251.770497777778</c:v>
                      </c:pt>
                      <c:pt idx="96">
                        <c:v>1259.9382894444448</c:v>
                      </c:pt>
                      <c:pt idx="97">
                        <c:v>1268.2328394444448</c:v>
                      </c:pt>
                      <c:pt idx="98">
                        <c:v>1276.4408838888894</c:v>
                      </c:pt>
                      <c:pt idx="99">
                        <c:v>1284.6913533333336</c:v>
                      </c:pt>
                      <c:pt idx="100">
                        <c:v>1292.9010311111115</c:v>
                      </c:pt>
                      <c:pt idx="101">
                        <c:v>1301.1156088888893</c:v>
                      </c:pt>
                      <c:pt idx="102">
                        <c:v>1309.3220200000003</c:v>
                      </c:pt>
                      <c:pt idx="103">
                        <c:v>1317.6160200000002</c:v>
                      </c:pt>
                      <c:pt idx="104">
                        <c:v>1325.9144200000003</c:v>
                      </c:pt>
                      <c:pt idx="105">
                        <c:v>1334.0403255555557</c:v>
                      </c:pt>
                      <c:pt idx="106">
                        <c:v>1342.3387255555558</c:v>
                      </c:pt>
                      <c:pt idx="107">
                        <c:v>1350.673508888889</c:v>
                      </c:pt>
                      <c:pt idx="108">
                        <c:v>1359.0138200000004</c:v>
                      </c:pt>
                      <c:pt idx="109">
                        <c:v>1367.3122200000003</c:v>
                      </c:pt>
                      <c:pt idx="110">
                        <c:v>1375.6051200000002</c:v>
                      </c:pt>
                      <c:pt idx="111">
                        <c:v>1383.9399033333334</c:v>
                      </c:pt>
                      <c:pt idx="112">
                        <c:v>1392.2383033333335</c:v>
                      </c:pt>
                      <c:pt idx="113">
                        <c:v>1400.5730866666668</c:v>
                      </c:pt>
                      <c:pt idx="114">
                        <c:v>1408.9977783333334</c:v>
                      </c:pt>
                      <c:pt idx="115">
                        <c:v>1417.3325616666666</c:v>
                      </c:pt>
                      <c:pt idx="116">
                        <c:v>1425.5835783333332</c:v>
                      </c:pt>
                      <c:pt idx="117">
                        <c:v>1433.9183616666664</c:v>
                      </c:pt>
                      <c:pt idx="118">
                        <c:v>1442.2531449999997</c:v>
                      </c:pt>
                      <c:pt idx="119">
                        <c:v>1450.3839005555553</c:v>
                      </c:pt>
                      <c:pt idx="120">
                        <c:v>1458.7605672222219</c:v>
                      </c:pt>
                      <c:pt idx="121">
                        <c:v>1467.1003255555552</c:v>
                      </c:pt>
                      <c:pt idx="122">
                        <c:v>1475.3518894444439</c:v>
                      </c:pt>
                      <c:pt idx="123">
                        <c:v>1483.6502894444441</c:v>
                      </c:pt>
                      <c:pt idx="124">
                        <c:v>1491.9508894444441</c:v>
                      </c:pt>
                      <c:pt idx="125">
                        <c:v>1500.244339444444</c:v>
                      </c:pt>
                      <c:pt idx="126">
                        <c:v>1508.536139444444</c:v>
                      </c:pt>
                      <c:pt idx="127">
                        <c:v>1516.8290394444439</c:v>
                      </c:pt>
                      <c:pt idx="128">
                        <c:v>1525.1693505555552</c:v>
                      </c:pt>
                      <c:pt idx="129">
                        <c:v>1533.5002644444439</c:v>
                      </c:pt>
                      <c:pt idx="130">
                        <c:v>1541.8356005555552</c:v>
                      </c:pt>
                      <c:pt idx="131">
                        <c:v>1550.1285005555551</c:v>
                      </c:pt>
                      <c:pt idx="132">
                        <c:v>1558.4285505555549</c:v>
                      </c:pt>
                      <c:pt idx="133">
                        <c:v>1566.7622283333328</c:v>
                      </c:pt>
                      <c:pt idx="134">
                        <c:v>1575.1863616666662</c:v>
                      </c:pt>
                      <c:pt idx="135">
                        <c:v>1583.4373783333328</c:v>
                      </c:pt>
                      <c:pt idx="136">
                        <c:v>1591.8559283333329</c:v>
                      </c:pt>
                      <c:pt idx="137">
                        <c:v>1600.1907116666662</c:v>
                      </c:pt>
                      <c:pt idx="138">
                        <c:v>1608.4836116666661</c:v>
                      </c:pt>
                      <c:pt idx="139">
                        <c:v>1616.7401005555548</c:v>
                      </c:pt>
                      <c:pt idx="140">
                        <c:v>1625.0385005555549</c:v>
                      </c:pt>
                      <c:pt idx="141">
                        <c:v>1633.3314005555549</c:v>
                      </c:pt>
                      <c:pt idx="142">
                        <c:v>1641.7136227777771</c:v>
                      </c:pt>
                      <c:pt idx="143">
                        <c:v>1650.0484061111104</c:v>
                      </c:pt>
                      <c:pt idx="144">
                        <c:v>1658.4250727777769</c:v>
                      </c:pt>
                      <c:pt idx="145">
                        <c:v>1666.7598561111101</c:v>
                      </c:pt>
                      <c:pt idx="146">
                        <c:v>1675.0527561111101</c:v>
                      </c:pt>
                      <c:pt idx="147">
                        <c:v>1683.4349783333321</c:v>
                      </c:pt>
                      <c:pt idx="148">
                        <c:v>1691.6441116666654</c:v>
                      </c:pt>
                      <c:pt idx="149">
                        <c:v>1699.9844227777767</c:v>
                      </c:pt>
                      <c:pt idx="150">
                        <c:v>1708.3610894444432</c:v>
                      </c:pt>
                      <c:pt idx="151">
                        <c:v>1716.6594894444434</c:v>
                      </c:pt>
                      <c:pt idx="152">
                        <c:v>1725.0361561111099</c:v>
                      </c:pt>
                      <c:pt idx="153">
                        <c:v>1733.3351061111098</c:v>
                      </c:pt>
                      <c:pt idx="154">
                        <c:v>1741.7117727777763</c:v>
                      </c:pt>
                      <c:pt idx="155">
                        <c:v>1750.0101727777765</c:v>
                      </c:pt>
                      <c:pt idx="156">
                        <c:v>1758.3449561111097</c:v>
                      </c:pt>
                      <c:pt idx="157">
                        <c:v>1766.6797394444429</c:v>
                      </c:pt>
                      <c:pt idx="158">
                        <c:v>1775.020050555554</c:v>
                      </c:pt>
                      <c:pt idx="159">
                        <c:v>1783.3129505555539</c:v>
                      </c:pt>
                      <c:pt idx="160">
                        <c:v>1791.5639672222205</c:v>
                      </c:pt>
                      <c:pt idx="161">
                        <c:v>1799.9461894444428</c:v>
                      </c:pt>
                      <c:pt idx="162">
                        <c:v>1808.2865005555539</c:v>
                      </c:pt>
                      <c:pt idx="163">
                        <c:v>1816.7547894444428</c:v>
                      </c:pt>
                      <c:pt idx="164">
                        <c:v>1825.047139444443</c:v>
                      </c:pt>
                      <c:pt idx="165">
                        <c:v>1833.3841338888874</c:v>
                      </c:pt>
                      <c:pt idx="166">
                        <c:v>1841.808825555554</c:v>
                      </c:pt>
                      <c:pt idx="167">
                        <c:v>1850.1419505555541</c:v>
                      </c:pt>
                      <c:pt idx="168">
                        <c:v>1858.5241727777761</c:v>
                      </c:pt>
                      <c:pt idx="169">
                        <c:v>1866.9427227777762</c:v>
                      </c:pt>
                      <c:pt idx="170">
                        <c:v>1875.2775061111095</c:v>
                      </c:pt>
                      <c:pt idx="171">
                        <c:v>1883.5759061111096</c:v>
                      </c:pt>
                      <c:pt idx="172">
                        <c:v>1891.9106894444428</c:v>
                      </c:pt>
                      <c:pt idx="173">
                        <c:v>1900.2510005555539</c:v>
                      </c:pt>
                      <c:pt idx="174">
                        <c:v>1908.591864444443</c:v>
                      </c:pt>
                      <c:pt idx="175">
                        <c:v>1916.974086666665</c:v>
                      </c:pt>
                      <c:pt idx="176">
                        <c:v>1925.3088699999983</c:v>
                      </c:pt>
                      <c:pt idx="177">
                        <c:v>1933.6916477777761</c:v>
                      </c:pt>
                      <c:pt idx="178">
                        <c:v>1942.0264311111093</c:v>
                      </c:pt>
                      <c:pt idx="179">
                        <c:v>1950.4030977777759</c:v>
                      </c:pt>
                      <c:pt idx="180">
                        <c:v>1958.8635311111093</c:v>
                      </c:pt>
                      <c:pt idx="181">
                        <c:v>1967.1983144444428</c:v>
                      </c:pt>
                      <c:pt idx="182">
                        <c:v>1975.5805366666648</c:v>
                      </c:pt>
                      <c:pt idx="183">
                        <c:v>1983.9572033333313</c:v>
                      </c:pt>
                      <c:pt idx="184">
                        <c:v>1992.2556033333315</c:v>
                      </c:pt>
                      <c:pt idx="185">
                        <c:v>2000.670244999998</c:v>
                      </c:pt>
                      <c:pt idx="186">
                        <c:v>2009.0055811111092</c:v>
                      </c:pt>
                      <c:pt idx="187">
                        <c:v>2017.3458922222203</c:v>
                      </c:pt>
                      <c:pt idx="188">
                        <c:v>2025.7700255555537</c:v>
                      </c:pt>
                      <c:pt idx="189">
                        <c:v>2034.1466922222203</c:v>
                      </c:pt>
                      <c:pt idx="190">
                        <c:v>2042.5289144444423</c:v>
                      </c:pt>
                      <c:pt idx="191">
                        <c:v>2050.8273144444424</c:v>
                      </c:pt>
                      <c:pt idx="192">
                        <c:v>2059.1202144444424</c:v>
                      </c:pt>
                      <c:pt idx="193">
                        <c:v>2067.4968811111089</c:v>
                      </c:pt>
                      <c:pt idx="194">
                        <c:v>2075.8735477777755</c:v>
                      </c:pt>
                      <c:pt idx="195">
                        <c:v>2084.2976811111089</c:v>
                      </c:pt>
                      <c:pt idx="196">
                        <c:v>2092.6799033333309</c:v>
                      </c:pt>
                      <c:pt idx="197">
                        <c:v>2101.0565699999975</c:v>
                      </c:pt>
                      <c:pt idx="198">
                        <c:v>2109.433236666664</c:v>
                      </c:pt>
                      <c:pt idx="199">
                        <c:v>2117.7735477777751</c:v>
                      </c:pt>
                      <c:pt idx="200">
                        <c:v>2126.192097777775</c:v>
                      </c:pt>
                      <c:pt idx="201">
                        <c:v>2134.5743199999974</c:v>
                      </c:pt>
                      <c:pt idx="202">
                        <c:v>2142.9565422222195</c:v>
                      </c:pt>
                      <c:pt idx="203">
                        <c:v>2151.2494422222194</c:v>
                      </c:pt>
                      <c:pt idx="204">
                        <c:v>2159.4640199999972</c:v>
                      </c:pt>
                      <c:pt idx="205">
                        <c:v>2167.8406866666637</c:v>
                      </c:pt>
                      <c:pt idx="206">
                        <c:v>2176.2179088888856</c:v>
                      </c:pt>
                      <c:pt idx="207">
                        <c:v>2184.6364588888855</c:v>
                      </c:pt>
                      <c:pt idx="208">
                        <c:v>2193.0131255555525</c:v>
                      </c:pt>
                      <c:pt idx="209">
                        <c:v>2201.3953477777745</c:v>
                      </c:pt>
                      <c:pt idx="210">
                        <c:v>2209.7301311111078</c:v>
                      </c:pt>
                      <c:pt idx="211">
                        <c:v>2218.0704422222188</c:v>
                      </c:pt>
                      <c:pt idx="212">
                        <c:v>2226.3214588888854</c:v>
                      </c:pt>
                      <c:pt idx="213">
                        <c:v>2234.6143588888854</c:v>
                      </c:pt>
                      <c:pt idx="214">
                        <c:v>2242.9491422222186</c:v>
                      </c:pt>
                      <c:pt idx="215">
                        <c:v>2251.2475422222183</c:v>
                      </c:pt>
                      <c:pt idx="216">
                        <c:v>2259.5878533333293</c:v>
                      </c:pt>
                      <c:pt idx="217">
                        <c:v>2267.8388699999959</c:v>
                      </c:pt>
                      <c:pt idx="218">
                        <c:v>2276.2210922222184</c:v>
                      </c:pt>
                      <c:pt idx="219">
                        <c:v>2284.472108888885</c:v>
                      </c:pt>
                      <c:pt idx="220">
                        <c:v>2292.7650088888849</c:v>
                      </c:pt>
                      <c:pt idx="221">
                        <c:v>2301.1416755555515</c:v>
                      </c:pt>
                      <c:pt idx="222">
                        <c:v>2309.4764588888847</c:v>
                      </c:pt>
                      <c:pt idx="223">
                        <c:v>2317.7693588888847</c:v>
                      </c:pt>
                      <c:pt idx="224">
                        <c:v>2326.1096699999957</c:v>
                      </c:pt>
                      <c:pt idx="225">
                        <c:v>2334.5338033333287</c:v>
                      </c:pt>
                      <c:pt idx="226">
                        <c:v>2342.742936666662</c:v>
                      </c:pt>
                      <c:pt idx="227">
                        <c:v>2351.0777199999952</c:v>
                      </c:pt>
                      <c:pt idx="228">
                        <c:v>2359.4180311111063</c:v>
                      </c:pt>
                      <c:pt idx="229">
                        <c:v>2367.716431111106</c:v>
                      </c:pt>
                      <c:pt idx="230">
                        <c:v>2375.9255644444393</c:v>
                      </c:pt>
                      <c:pt idx="231">
                        <c:v>2384.2658755555503</c:v>
                      </c:pt>
                      <c:pt idx="232">
                        <c:v>2392.6061866666614</c:v>
                      </c:pt>
                      <c:pt idx="233">
                        <c:v>2401.0722311111058</c:v>
                      </c:pt>
                      <c:pt idx="234">
                        <c:v>2409.3232477777724</c:v>
                      </c:pt>
                      <c:pt idx="235">
                        <c:v>2417.6999144444394</c:v>
                      </c:pt>
                      <c:pt idx="236">
                        <c:v>2425.9492894444393</c:v>
                      </c:pt>
                      <c:pt idx="237">
                        <c:v>2434.2394394444391</c:v>
                      </c:pt>
                      <c:pt idx="238">
                        <c:v>2442.4453061111058</c:v>
                      </c:pt>
                      <c:pt idx="239">
                        <c:v>2450.7056255555503</c:v>
                      </c:pt>
                      <c:pt idx="240">
                        <c:v>2458.9637561111062</c:v>
                      </c:pt>
                      <c:pt idx="241">
                        <c:v>2467.2996449999951</c:v>
                      </c:pt>
                      <c:pt idx="242">
                        <c:v>2475.5947449999949</c:v>
                      </c:pt>
                      <c:pt idx="243">
                        <c:v>2483.8055116666615</c:v>
                      </c:pt>
                      <c:pt idx="244">
                        <c:v>2492.1474811111061</c:v>
                      </c:pt>
                      <c:pt idx="245">
                        <c:v>2500.3990449999947</c:v>
                      </c:pt>
                      <c:pt idx="246">
                        <c:v>2508.6522505555504</c:v>
                      </c:pt>
                      <c:pt idx="247">
                        <c:v>2517.0305838888839</c:v>
                      </c:pt>
                      <c:pt idx="248">
                        <c:v>2525.3289838888836</c:v>
                      </c:pt>
                      <c:pt idx="249">
                        <c:v>2533.5816422222169</c:v>
                      </c:pt>
                      <c:pt idx="250">
                        <c:v>2541.8706922222168</c:v>
                      </c:pt>
                      <c:pt idx="251">
                        <c:v>2550.1184255555504</c:v>
                      </c:pt>
                      <c:pt idx="252">
                        <c:v>2558.3656116666616</c:v>
                      </c:pt>
                      <c:pt idx="253">
                        <c:v>2566.7925366666614</c:v>
                      </c:pt>
                      <c:pt idx="254">
                        <c:v>2575.0457422222171</c:v>
                      </c:pt>
                      <c:pt idx="255">
                        <c:v>2583.3408422222169</c:v>
                      </c:pt>
                      <c:pt idx="256">
                        <c:v>2591.6772838888837</c:v>
                      </c:pt>
                      <c:pt idx="257">
                        <c:v>2600.0137255555505</c:v>
                      </c:pt>
                      <c:pt idx="258">
                        <c:v>2608.2250366666617</c:v>
                      </c:pt>
                      <c:pt idx="259">
                        <c:v>2616.5195866666618</c:v>
                      </c:pt>
                      <c:pt idx="260">
                        <c:v>2624.8141366666614</c:v>
                      </c:pt>
                      <c:pt idx="261">
                        <c:v>2633.1980255555504</c:v>
                      </c:pt>
                      <c:pt idx="262">
                        <c:v>2641.49367555555</c:v>
                      </c:pt>
                      <c:pt idx="263">
                        <c:v>2649.7463338888833</c:v>
                      </c:pt>
                      <c:pt idx="264">
                        <c:v>2657.9989922222167</c:v>
                      </c:pt>
                      <c:pt idx="265">
                        <c:v>2666.2097588888832</c:v>
                      </c:pt>
                      <c:pt idx="266">
                        <c:v>2674.5037588888831</c:v>
                      </c:pt>
                      <c:pt idx="267">
                        <c:v>2682.841306111105</c:v>
                      </c:pt>
                      <c:pt idx="268">
                        <c:v>2691.2196394444386</c:v>
                      </c:pt>
                      <c:pt idx="269">
                        <c:v>2699.4783172222169</c:v>
                      </c:pt>
                      <c:pt idx="270">
                        <c:v>2707.8566505555505</c:v>
                      </c:pt>
                      <c:pt idx="271">
                        <c:v>2716.2349838888836</c:v>
                      </c:pt>
                      <c:pt idx="272">
                        <c:v>2724.5295338888832</c:v>
                      </c:pt>
                      <c:pt idx="273">
                        <c:v>2732.7821922222165</c:v>
                      </c:pt>
                      <c:pt idx="274">
                        <c:v>2741.1186338888833</c:v>
                      </c:pt>
                      <c:pt idx="275">
                        <c:v>2749.4131838888834</c:v>
                      </c:pt>
                      <c:pt idx="276">
                        <c:v>2757.7082838888832</c:v>
                      </c:pt>
                      <c:pt idx="277">
                        <c:v>2765.9609422222165</c:v>
                      </c:pt>
                      <c:pt idx="278">
                        <c:v>2774.2130533333275</c:v>
                      </c:pt>
                      <c:pt idx="279">
                        <c:v>2782.513653333328</c:v>
                      </c:pt>
                      <c:pt idx="280">
                        <c:v>2790.6830699999941</c:v>
                      </c:pt>
                      <c:pt idx="281">
                        <c:v>2799.020064444439</c:v>
                      </c:pt>
                      <c:pt idx="282">
                        <c:v>2807.3565061111058</c:v>
                      </c:pt>
                      <c:pt idx="283">
                        <c:v>2815.6929477777726</c:v>
                      </c:pt>
                      <c:pt idx="284">
                        <c:v>2824.1131727777724</c:v>
                      </c:pt>
                      <c:pt idx="285">
                        <c:v>2832.3663783333277</c:v>
                      </c:pt>
                      <c:pt idx="286">
                        <c:v>2840.7022672222165</c:v>
                      </c:pt>
                      <c:pt idx="287">
                        <c:v>2849.0392616666613</c:v>
                      </c:pt>
                      <c:pt idx="288">
                        <c:v>2857.2919199999947</c:v>
                      </c:pt>
                      <c:pt idx="289">
                        <c:v>2865.6272561111055</c:v>
                      </c:pt>
                      <c:pt idx="290">
                        <c:v>2873.9234561111052</c:v>
                      </c:pt>
                      <c:pt idx="291">
                        <c:v>2882.2191061111057</c:v>
                      </c:pt>
                      <c:pt idx="292">
                        <c:v>2890.471764444439</c:v>
                      </c:pt>
                      <c:pt idx="293">
                        <c:v>2898.8059949999943</c:v>
                      </c:pt>
                      <c:pt idx="294">
                        <c:v>2907.1859949999948</c:v>
                      </c:pt>
                      <c:pt idx="295">
                        <c:v>2915.648111666661</c:v>
                      </c:pt>
                      <c:pt idx="296">
                        <c:v>2923.9382616666612</c:v>
                      </c:pt>
                      <c:pt idx="297">
                        <c:v>2932.2802311111059</c:v>
                      </c:pt>
                      <c:pt idx="298">
                        <c:v>2940.5747811111055</c:v>
                      </c:pt>
                      <c:pt idx="299">
                        <c:v>2948.8225144444391</c:v>
                      </c:pt>
                      <c:pt idx="300">
                        <c:v>2957.1539811111056</c:v>
                      </c:pt>
                      <c:pt idx="301">
                        <c:v>2965.4873144444391</c:v>
                      </c:pt>
                      <c:pt idx="302">
                        <c:v>2973.7461144444396</c:v>
                      </c:pt>
                      <c:pt idx="303">
                        <c:v>2982.0831088888835</c:v>
                      </c:pt>
                      <c:pt idx="304">
                        <c:v>2990.4256311111062</c:v>
                      </c:pt>
                      <c:pt idx="305">
                        <c:v>2998.720731111106</c:v>
                      </c:pt>
                      <c:pt idx="306">
                        <c:v>3007.1409561111059</c:v>
                      </c:pt>
                      <c:pt idx="307">
                        <c:v>3015.5176227777729</c:v>
                      </c:pt>
                      <c:pt idx="308">
                        <c:v>3023.8535116666617</c:v>
                      </c:pt>
                      <c:pt idx="309">
                        <c:v>3032.1491616666617</c:v>
                      </c:pt>
                      <c:pt idx="310">
                        <c:v>3040.5626866666621</c:v>
                      </c:pt>
                      <c:pt idx="311">
                        <c:v>3048.9018922222172</c:v>
                      </c:pt>
                      <c:pt idx="312">
                        <c:v>3057.1958922222175</c:v>
                      </c:pt>
                      <c:pt idx="313">
                        <c:v>3065.5328866666614</c:v>
                      </c:pt>
                      <c:pt idx="314">
                        <c:v>3073.8274366666615</c:v>
                      </c:pt>
                      <c:pt idx="315">
                        <c:v>3082.1649838888834</c:v>
                      </c:pt>
                      <c:pt idx="316">
                        <c:v>3090.543317222217</c:v>
                      </c:pt>
                      <c:pt idx="317">
                        <c:v>3098.9635422222168</c:v>
                      </c:pt>
                      <c:pt idx="318">
                        <c:v>3107.3429866666615</c:v>
                      </c:pt>
                      <c:pt idx="319">
                        <c:v>3115.7565116666615</c:v>
                      </c:pt>
                      <c:pt idx="320">
                        <c:v>3124.0940588888839</c:v>
                      </c:pt>
                      <c:pt idx="321">
                        <c:v>3132.3886088888835</c:v>
                      </c:pt>
                      <c:pt idx="322">
                        <c:v>3140.6765588888838</c:v>
                      </c:pt>
                      <c:pt idx="323">
                        <c:v>3149.0080255555504</c:v>
                      </c:pt>
                      <c:pt idx="324">
                        <c:v>3157.3466783333283</c:v>
                      </c:pt>
                      <c:pt idx="325">
                        <c:v>3165.7674616666613</c:v>
                      </c:pt>
                      <c:pt idx="326">
                        <c:v>3174.0614616666612</c:v>
                      </c:pt>
                      <c:pt idx="327">
                        <c:v>3182.4403505555501</c:v>
                      </c:pt>
                      <c:pt idx="328">
                        <c:v>3190.7354505555504</c:v>
                      </c:pt>
                      <c:pt idx="329">
                        <c:v>3198.9467616666611</c:v>
                      </c:pt>
                      <c:pt idx="330">
                        <c:v>3207.2418616666614</c:v>
                      </c:pt>
                      <c:pt idx="331">
                        <c:v>3215.6615283333281</c:v>
                      </c:pt>
                      <c:pt idx="332">
                        <c:v>3224.040417222217</c:v>
                      </c:pt>
                      <c:pt idx="333">
                        <c:v>3232.2936227777723</c:v>
                      </c:pt>
                      <c:pt idx="334">
                        <c:v>3240.6300644444391</c:v>
                      </c:pt>
                      <c:pt idx="335">
                        <c:v>3248.9598727777725</c:v>
                      </c:pt>
                      <c:pt idx="336">
                        <c:v>3257.2979727777724</c:v>
                      </c:pt>
                      <c:pt idx="337">
                        <c:v>3265.6349672222173</c:v>
                      </c:pt>
                      <c:pt idx="338">
                        <c:v>3274.0071894444395</c:v>
                      </c:pt>
                      <c:pt idx="339">
                        <c:v>3282.3871894444396</c:v>
                      </c:pt>
                      <c:pt idx="340">
                        <c:v>3290.7236311111064</c:v>
                      </c:pt>
                      <c:pt idx="341">
                        <c:v>3299.0606255555513</c:v>
                      </c:pt>
                      <c:pt idx="342">
                        <c:v>3307.3976199999952</c:v>
                      </c:pt>
                      <c:pt idx="343">
                        <c:v>3315.7765088888841</c:v>
                      </c:pt>
                      <c:pt idx="344">
                        <c:v>3324.1129505555509</c:v>
                      </c:pt>
                      <c:pt idx="345">
                        <c:v>3332.4080505555507</c:v>
                      </c:pt>
                      <c:pt idx="346">
                        <c:v>3340.7797172222176</c:v>
                      </c:pt>
                      <c:pt idx="347">
                        <c:v>3349.0759172222174</c:v>
                      </c:pt>
                      <c:pt idx="348">
                        <c:v>3357.5731588888843</c:v>
                      </c:pt>
                      <c:pt idx="349">
                        <c:v>3365.8704588888841</c:v>
                      </c:pt>
                      <c:pt idx="350">
                        <c:v>3374.2069005555509</c:v>
                      </c:pt>
                      <c:pt idx="351">
                        <c:v>3382.5014505555509</c:v>
                      </c:pt>
                      <c:pt idx="352">
                        <c:v>3390.9216755555508</c:v>
                      </c:pt>
                      <c:pt idx="353">
                        <c:v>3399.2619866666619</c:v>
                      </c:pt>
                      <c:pt idx="354">
                        <c:v>3407.5984283333287</c:v>
                      </c:pt>
                      <c:pt idx="355">
                        <c:v>3415.8929783333288</c:v>
                      </c:pt>
                      <c:pt idx="356">
                        <c:v>3424.1875283333288</c:v>
                      </c:pt>
                      <c:pt idx="357">
                        <c:v>3432.5239699999956</c:v>
                      </c:pt>
                      <c:pt idx="358">
                        <c:v>3440.9023033333287</c:v>
                      </c:pt>
                      <c:pt idx="359">
                        <c:v>3449.1587922222179</c:v>
                      </c:pt>
                      <c:pt idx="360">
                        <c:v>3457.413092222218</c:v>
                      </c:pt>
                      <c:pt idx="361">
                        <c:v>3465.7914255555515</c:v>
                      </c:pt>
                      <c:pt idx="362">
                        <c:v>3474.1278672222184</c:v>
                      </c:pt>
                      <c:pt idx="363">
                        <c:v>3482.4648616666623</c:v>
                      </c:pt>
                      <c:pt idx="364">
                        <c:v>3490.7175199999956</c:v>
                      </c:pt>
                      <c:pt idx="365">
                        <c:v>3498.9282866666622</c:v>
                      </c:pt>
                      <c:pt idx="366">
                        <c:v>3507.3066199999957</c:v>
                      </c:pt>
                      <c:pt idx="367">
                        <c:v>3515.6436144444397</c:v>
                      </c:pt>
                      <c:pt idx="368">
                        <c:v>3523.93156444444</c:v>
                      </c:pt>
                      <c:pt idx="369">
                        <c:v>3532.3534644444399</c:v>
                      </c:pt>
                      <c:pt idx="370">
                        <c:v>3540.6480144444399</c:v>
                      </c:pt>
                      <c:pt idx="371">
                        <c:v>3548.9012199999956</c:v>
                      </c:pt>
                      <c:pt idx="372">
                        <c:v>3557.2376616666625</c:v>
                      </c:pt>
                      <c:pt idx="373">
                        <c:v>3565.4903199999953</c:v>
                      </c:pt>
                      <c:pt idx="374">
                        <c:v>3573.9105449999952</c:v>
                      </c:pt>
                      <c:pt idx="375">
                        <c:v>3582.4111699999953</c:v>
                      </c:pt>
                      <c:pt idx="376">
                        <c:v>3590.7472811111065</c:v>
                      </c:pt>
                      <c:pt idx="377">
                        <c:v>3599.1261894444397</c:v>
                      </c:pt>
                      <c:pt idx="378">
                        <c:v>3607.4978561111066</c:v>
                      </c:pt>
                      <c:pt idx="379">
                        <c:v>3615.7869061111064</c:v>
                      </c:pt>
                      <c:pt idx="380">
                        <c:v>3624.0908061111063</c:v>
                      </c:pt>
                      <c:pt idx="381">
                        <c:v>3632.4691394444399</c:v>
                      </c:pt>
                      <c:pt idx="382">
                        <c:v>3640.6809949999952</c:v>
                      </c:pt>
                      <c:pt idx="383">
                        <c:v>3648.9760949999954</c:v>
                      </c:pt>
                      <c:pt idx="384">
                        <c:v>3657.3538727777732</c:v>
                      </c:pt>
                      <c:pt idx="385">
                        <c:v>3665.7338727777733</c:v>
                      </c:pt>
                      <c:pt idx="386">
                        <c:v>3674.0614699999951</c:v>
                      </c:pt>
                      <c:pt idx="387">
                        <c:v>3682.4006755555506</c:v>
                      </c:pt>
                      <c:pt idx="388">
                        <c:v>3690.7376699999954</c:v>
                      </c:pt>
                      <c:pt idx="389">
                        <c:v>3699.1221144444398</c:v>
                      </c:pt>
                      <c:pt idx="390">
                        <c:v>3707.4166644444399</c:v>
                      </c:pt>
                      <c:pt idx="391">
                        <c:v>3715.7531061111067</c:v>
                      </c:pt>
                      <c:pt idx="392">
                        <c:v>3724.0537061111063</c:v>
                      </c:pt>
                      <c:pt idx="393">
                        <c:v>3732.3901477777731</c:v>
                      </c:pt>
                      <c:pt idx="394">
                        <c:v>3740.7684811111067</c:v>
                      </c:pt>
                      <c:pt idx="395">
                        <c:v>3749.2367699999954</c:v>
                      </c:pt>
                      <c:pt idx="396">
                        <c:v>3757.5732116666622</c:v>
                      </c:pt>
                      <c:pt idx="397">
                        <c:v>3765.9521005555512</c:v>
                      </c:pt>
                      <c:pt idx="398">
                        <c:v>3774.2527005555512</c:v>
                      </c:pt>
                      <c:pt idx="399">
                        <c:v>3782.58858944444</c:v>
                      </c:pt>
                      <c:pt idx="400">
                        <c:v>3790.8412477777733</c:v>
                      </c:pt>
                      <c:pt idx="401">
                        <c:v>3799.1330477777733</c:v>
                      </c:pt>
                      <c:pt idx="402">
                        <c:v>3807.5566227777736</c:v>
                      </c:pt>
                      <c:pt idx="403">
                        <c:v>3815.8572227777731</c:v>
                      </c:pt>
                      <c:pt idx="404">
                        <c:v>3824.2361116666621</c:v>
                      </c:pt>
                      <c:pt idx="405">
                        <c:v>3832.6568949999951</c:v>
                      </c:pt>
                      <c:pt idx="406">
                        <c:v>3840.987808888884</c:v>
                      </c:pt>
                      <c:pt idx="407">
                        <c:v>3849.2867588888844</c:v>
                      </c:pt>
                      <c:pt idx="408">
                        <c:v>3857.6176727777734</c:v>
                      </c:pt>
                      <c:pt idx="409">
                        <c:v>3865.990450555551</c:v>
                      </c:pt>
                      <c:pt idx="410">
                        <c:v>3874.280050555551</c:v>
                      </c:pt>
                      <c:pt idx="411">
                        <c:v>3882.6528283333287</c:v>
                      </c:pt>
                      <c:pt idx="412">
                        <c:v>3890.9842949999952</c:v>
                      </c:pt>
                      <c:pt idx="413">
                        <c:v>3899.2314811111064</c:v>
                      </c:pt>
                      <c:pt idx="414">
                        <c:v>3907.5745561111062</c:v>
                      </c:pt>
                      <c:pt idx="415">
                        <c:v>3915.8272144444395</c:v>
                      </c:pt>
                      <c:pt idx="416">
                        <c:v>3924.0798727777728</c:v>
                      </c:pt>
                      <c:pt idx="417">
                        <c:v>3932.2547061111059</c:v>
                      </c:pt>
                      <c:pt idx="418">
                        <c:v>3940.4235811111062</c:v>
                      </c:pt>
                      <c:pt idx="419">
                        <c:v>3948.7655505555504</c:v>
                      </c:pt>
                      <c:pt idx="420">
                        <c:v>3957.1086255555506</c:v>
                      </c:pt>
                      <c:pt idx="421">
                        <c:v>3965.3188477777726</c:v>
                      </c:pt>
                      <c:pt idx="422">
                        <c:v>3973.6133977777722</c:v>
                      </c:pt>
                      <c:pt idx="423">
                        <c:v>3981.9553672222169</c:v>
                      </c:pt>
                      <c:pt idx="424">
                        <c:v>3990.3755922222167</c:v>
                      </c:pt>
                      <c:pt idx="425">
                        <c:v>3998.670692222217</c:v>
                      </c:pt>
                      <c:pt idx="426">
                        <c:v>4007.0065811111058</c:v>
                      </c:pt>
                      <c:pt idx="427">
                        <c:v>4015.3016811111056</c:v>
                      </c:pt>
                      <c:pt idx="428">
                        <c:v>4023.5543394444389</c:v>
                      </c:pt>
                      <c:pt idx="429">
                        <c:v>4031.8069977777723</c:v>
                      </c:pt>
                      <c:pt idx="430">
                        <c:v>4040.150072777772</c:v>
                      </c:pt>
                      <c:pt idx="431">
                        <c:v>4048.5708561111055</c:v>
                      </c:pt>
                      <c:pt idx="432">
                        <c:v>4056.9072977777723</c:v>
                      </c:pt>
                      <c:pt idx="433">
                        <c:v>4065.2012977777722</c:v>
                      </c:pt>
                      <c:pt idx="434">
                        <c:v>4073.4555977777723</c:v>
                      </c:pt>
                      <c:pt idx="435">
                        <c:v>4081.83337555555</c:v>
                      </c:pt>
                      <c:pt idx="436">
                        <c:v>4090.1703699999948</c:v>
                      </c:pt>
                      <c:pt idx="437">
                        <c:v>4098.4649199999949</c:v>
                      </c:pt>
                      <c:pt idx="438">
                        <c:v>4106.8019144444388</c:v>
                      </c:pt>
                      <c:pt idx="439">
                        <c:v>4115.1802477777719</c:v>
                      </c:pt>
                      <c:pt idx="440">
                        <c:v>4123.3904699999939</c:v>
                      </c:pt>
                      <c:pt idx="441">
                        <c:v>4131.7749144444379</c:v>
                      </c:pt>
                      <c:pt idx="442">
                        <c:v>4140.153247777771</c:v>
                      </c:pt>
                      <c:pt idx="443">
                        <c:v>4148.4483477777712</c:v>
                      </c:pt>
                      <c:pt idx="444">
                        <c:v>4156.7903172222159</c:v>
                      </c:pt>
                      <c:pt idx="445">
                        <c:v>4165.0848672222155</c:v>
                      </c:pt>
                      <c:pt idx="446">
                        <c:v>4173.3799672222158</c:v>
                      </c:pt>
                      <c:pt idx="447">
                        <c:v>4181.6750672222161</c:v>
                      </c:pt>
                      <c:pt idx="448">
                        <c:v>4189.9282727777709</c:v>
                      </c:pt>
                      <c:pt idx="449">
                        <c:v>4198.4322811111042</c:v>
                      </c:pt>
                      <c:pt idx="450">
                        <c:v>4206.7687227777706</c:v>
                      </c:pt>
                      <c:pt idx="451">
                        <c:v>4215.1409449999928</c:v>
                      </c:pt>
                      <c:pt idx="452">
                        <c:v>4223.3886783333264</c:v>
                      </c:pt>
                      <c:pt idx="453">
                        <c:v>4231.7195922222154</c:v>
                      </c:pt>
                      <c:pt idx="454">
                        <c:v>4240.0510588888819</c:v>
                      </c:pt>
                      <c:pt idx="455">
                        <c:v>4248.2987922222155</c:v>
                      </c:pt>
                      <c:pt idx="456">
                        <c:v>4256.637444999993</c:v>
                      </c:pt>
                      <c:pt idx="457">
                        <c:v>4264.9270449999931</c:v>
                      </c:pt>
                      <c:pt idx="458">
                        <c:v>4273.2166449999932</c:v>
                      </c:pt>
                      <c:pt idx="459">
                        <c:v>4281.6349949999931</c:v>
                      </c:pt>
                      <c:pt idx="460">
                        <c:v>4289.8943449999933</c:v>
                      </c:pt>
                      <c:pt idx="461">
                        <c:v>4298.1470033333271</c:v>
                      </c:pt>
                      <c:pt idx="462">
                        <c:v>4306.567228333327</c:v>
                      </c:pt>
                      <c:pt idx="463">
                        <c:v>4314.8617783333266</c:v>
                      </c:pt>
                      <c:pt idx="464">
                        <c:v>4323.1982199999929</c:v>
                      </c:pt>
                      <c:pt idx="465">
                        <c:v>4331.5346616666593</c:v>
                      </c:pt>
                      <c:pt idx="466">
                        <c:v>4339.6616449999919</c:v>
                      </c:pt>
                      <c:pt idx="467">
                        <c:v>4347.9986394444368</c:v>
                      </c:pt>
                      <c:pt idx="468">
                        <c:v>4356.2931894444373</c:v>
                      </c:pt>
                      <c:pt idx="469">
                        <c:v>4364.5871894444372</c:v>
                      </c:pt>
                      <c:pt idx="470">
                        <c:v>4372.7919672222151</c:v>
                      </c:pt>
                      <c:pt idx="471">
                        <c:v>4381.0468144444376</c:v>
                      </c:pt>
                      <c:pt idx="472">
                        <c:v>4389.2989255555485</c:v>
                      </c:pt>
                      <c:pt idx="473">
                        <c:v>4397.5934755555481</c:v>
                      </c:pt>
                      <c:pt idx="474">
                        <c:v>4405.8466811111039</c:v>
                      </c:pt>
                      <c:pt idx="475">
                        <c:v>4414.1357311111042</c:v>
                      </c:pt>
                      <c:pt idx="476">
                        <c:v>4422.4671977777707</c:v>
                      </c:pt>
                      <c:pt idx="477">
                        <c:v>4430.8471977777708</c:v>
                      </c:pt>
                      <c:pt idx="478">
                        <c:v>4439.1422977777711</c:v>
                      </c:pt>
                      <c:pt idx="479">
                        <c:v>4447.479292222215</c:v>
                      </c:pt>
                      <c:pt idx="480">
                        <c:v>4455.7672422222149</c:v>
                      </c:pt>
                      <c:pt idx="481">
                        <c:v>4464.1405755555479</c:v>
                      </c:pt>
                      <c:pt idx="482">
                        <c:v>4472.4367755555477</c:v>
                      </c:pt>
                      <c:pt idx="483">
                        <c:v>4480.6888866666586</c:v>
                      </c:pt>
                      <c:pt idx="484">
                        <c:v>4489.026433888881</c:v>
                      </c:pt>
                      <c:pt idx="485">
                        <c:v>4497.3209838888815</c:v>
                      </c:pt>
                      <c:pt idx="486">
                        <c:v>4505.6579783333264</c:v>
                      </c:pt>
                      <c:pt idx="487">
                        <c:v>4513.9944199999927</c:v>
                      </c:pt>
                      <c:pt idx="488">
                        <c:v>4522.2862199999927</c:v>
                      </c:pt>
                      <c:pt idx="489">
                        <c:v>4530.708119999993</c:v>
                      </c:pt>
                      <c:pt idx="490">
                        <c:v>4539.0026699999926</c:v>
                      </c:pt>
                      <c:pt idx="491">
                        <c:v>4547.3451922222148</c:v>
                      </c:pt>
                      <c:pt idx="492">
                        <c:v>4555.6783172222149</c:v>
                      </c:pt>
                      <c:pt idx="493">
                        <c:v>4563.9320699999926</c:v>
                      </c:pt>
                      <c:pt idx="494">
                        <c:v>4572.310958888881</c:v>
                      </c:pt>
                      <c:pt idx="495">
                        <c:v>4580.6060588888813</c:v>
                      </c:pt>
                      <c:pt idx="496">
                        <c:v>4589.0262838888812</c:v>
                      </c:pt>
                      <c:pt idx="497">
                        <c:v>4597.1957005555478</c:v>
                      </c:pt>
                      <c:pt idx="498">
                        <c:v>4605.4070116666589</c:v>
                      </c:pt>
                      <c:pt idx="499">
                        <c:v>4613.4856699999928</c:v>
                      </c:pt>
                      <c:pt idx="500">
                        <c:v>4621.3628699999927</c:v>
                      </c:pt>
                      <c:pt idx="501">
                        <c:v>4629.2390255555483</c:v>
                      </c:pt>
                      <c:pt idx="502">
                        <c:v>4637.115181111104</c:v>
                      </c:pt>
                      <c:pt idx="503">
                        <c:v>4644.8171144444377</c:v>
                      </c:pt>
                      <c:pt idx="504">
                        <c:v>4652.6037977777714</c:v>
                      </c:pt>
                      <c:pt idx="505">
                        <c:v>4660.2240366666601</c:v>
                      </c:pt>
                      <c:pt idx="506">
                        <c:v>4667.9269922222156</c:v>
                      </c:pt>
                      <c:pt idx="507">
                        <c:v>4675.5462199999938</c:v>
                      </c:pt>
                      <c:pt idx="508">
                        <c:v>4682.9984866666609</c:v>
                      </c:pt>
                      <c:pt idx="509">
                        <c:v>4690.5409866666605</c:v>
                      </c:pt>
                      <c:pt idx="510">
                        <c:v>4697.7463533333275</c:v>
                      </c:pt>
                      <c:pt idx="511">
                        <c:v>4704.9936116666613</c:v>
                      </c:pt>
                      <c:pt idx="512">
                        <c:v>4712.1659819955821</c:v>
                      </c:pt>
                      <c:pt idx="513">
                        <c:v>4719.1915215091649</c:v>
                      </c:pt>
                      <c:pt idx="514">
                        <c:v>4726.0469206542903</c:v>
                      </c:pt>
                      <c:pt idx="515">
                        <c:v>4732.7976962968478</c:v>
                      </c:pt>
                      <c:pt idx="516">
                        <c:v>4739.4343270833479</c:v>
                      </c:pt>
                      <c:pt idx="517">
                        <c:v>4745.9997878237718</c:v>
                      </c:pt>
                      <c:pt idx="518">
                        <c:v>4752.4588705144779</c:v>
                      </c:pt>
                      <c:pt idx="519">
                        <c:v>4758.8117588816085</c:v>
                      </c:pt>
                      <c:pt idx="520">
                        <c:v>4765.1421712916062</c:v>
                      </c:pt>
                      <c:pt idx="521">
                        <c:v>4771.3871314953076</c:v>
                      </c:pt>
                      <c:pt idx="522">
                        <c:v>4777.585294528024</c:v>
                      </c:pt>
                      <c:pt idx="523">
                        <c:v>4783.6484612242357</c:v>
                      </c:pt>
                      <c:pt idx="524">
                        <c:v>4789.5740863442852</c:v>
                      </c:pt>
                      <c:pt idx="525">
                        <c:v>4795.4799938851465</c:v>
                      </c:pt>
                      <c:pt idx="526">
                        <c:v>4801.2838402727793</c:v>
                      </c:pt>
                      <c:pt idx="527">
                        <c:v>4807.0006058211748</c:v>
                      </c:pt>
                      <c:pt idx="528">
                        <c:v>4812.6543711292088</c:v>
                      </c:pt>
                      <c:pt idx="529">
                        <c:v>4818.2350597940494</c:v>
                      </c:pt>
                      <c:pt idx="530">
                        <c:v>4823.6867315523823</c:v>
                      </c:pt>
                      <c:pt idx="531">
                        <c:v>4829.050147691144</c:v>
                      </c:pt>
                      <c:pt idx="532">
                        <c:v>4834.3098033935157</c:v>
                      </c:pt>
                      <c:pt idx="533">
                        <c:v>4839.5248338286037</c:v>
                      </c:pt>
                      <c:pt idx="534">
                        <c:v>4844.6696495778569</c:v>
                      </c:pt>
                      <c:pt idx="535">
                        <c:v>4849.712496999472</c:v>
                      </c:pt>
                      <c:pt idx="536">
                        <c:v>4854.6759253386745</c:v>
                      </c:pt>
                      <c:pt idx="537">
                        <c:v>4859.5974616105796</c:v>
                      </c:pt>
                      <c:pt idx="538">
                        <c:v>4864.4355728845258</c:v>
                      </c:pt>
                      <c:pt idx="539">
                        <c:v>4869.2146390188882</c:v>
                      </c:pt>
                      <c:pt idx="540">
                        <c:v>4873.9353653082753</c:v>
                      </c:pt>
                      <c:pt idx="541">
                        <c:v>4878.5809573623756</c:v>
                      </c:pt>
                      <c:pt idx="542">
                        <c:v>4883.1296051725094</c:v>
                      </c:pt>
                      <c:pt idx="543">
                        <c:v>4887.637585768397</c:v>
                      </c:pt>
                      <c:pt idx="544">
                        <c:v>4892.0516415735119</c:v>
                      </c:pt>
                      <c:pt idx="545">
                        <c:v>4896.4563494704953</c:v>
                      </c:pt>
                      <c:pt idx="546">
                        <c:v>4900.7450715662908</c:v>
                      </c:pt>
                      <c:pt idx="547">
                        <c:v>4905.0283369777726</c:v>
                      </c:pt>
                      <c:pt idx="548">
                        <c:v>4909.1847819636478</c:v>
                      </c:pt>
                      <c:pt idx="549">
                        <c:v>4913.3035322987935</c:v>
                      </c:pt>
                      <c:pt idx="550">
                        <c:v>4917.3698744598423</c:v>
                      </c:pt>
                      <c:pt idx="551">
                        <c:v>4921.3391183044687</c:v>
                      </c:pt>
                      <c:pt idx="552">
                        <c:v>4925.2596583555605</c:v>
                      </c:pt>
                      <c:pt idx="553">
                        <c:v>4929.1241776231836</c:v>
                      </c:pt>
                      <c:pt idx="554">
                        <c:v>4932.9490204448011</c:v>
                      </c:pt>
                      <c:pt idx="555">
                        <c:v>4936.699223583475</c:v>
                      </c:pt>
                      <c:pt idx="556">
                        <c:v>4940.3948608353094</c:v>
                      </c:pt>
                      <c:pt idx="557">
                        <c:v>4944.0278176168822</c:v>
                      </c:pt>
                      <c:pt idx="558">
                        <c:v>4947.6204739358927</c:v>
                      </c:pt>
                      <c:pt idx="559">
                        <c:v>4951.1652354729713</c:v>
                      </c:pt>
                      <c:pt idx="560">
                        <c:v>4954.6956879390209</c:v>
                      </c:pt>
                      <c:pt idx="561">
                        <c:v>4958.13459395667</c:v>
                      </c:pt>
                      <c:pt idx="562">
                        <c:v>4961.4980705843245</c:v>
                      </c:pt>
                      <c:pt idx="563">
                        <c:v>4964.8309068491635</c:v>
                      </c:pt>
                      <c:pt idx="564">
                        <c:v>4968.1592585595563</c:v>
                      </c:pt>
                      <c:pt idx="565">
                        <c:v>4971.4107373793659</c:v>
                      </c:pt>
                      <c:pt idx="566">
                        <c:v>4974.5738495667192</c:v>
                      </c:pt>
                      <c:pt idx="567">
                        <c:v>4977.734357608957</c:v>
                      </c:pt>
                      <c:pt idx="568">
                        <c:v>4980.7848093796356</c:v>
                      </c:pt>
                      <c:pt idx="569">
                        <c:v>4983.8395969609219</c:v>
                      </c:pt>
                      <c:pt idx="570">
                        <c:v>4986.817774387262</c:v>
                      </c:pt>
                      <c:pt idx="571">
                        <c:v>4989.7938196560863</c:v>
                      </c:pt>
                      <c:pt idx="572">
                        <c:v>4992.7009546789559</c:v>
                      </c:pt>
                      <c:pt idx="573">
                        <c:v>4995.6005983162022</c:v>
                      </c:pt>
                      <c:pt idx="574">
                        <c:v>4998.3975756719665</c:v>
                      </c:pt>
                      <c:pt idx="575">
                        <c:v>5001.1517839916396</c:v>
                      </c:pt>
                      <c:pt idx="576">
                        <c:v>5003.9281955367642</c:v>
                      </c:pt>
                      <c:pt idx="577">
                        <c:v>5006.6082623229904</c:v>
                      </c:pt>
                      <c:pt idx="578">
                        <c:v>5009.2998620540338</c:v>
                      </c:pt>
                      <c:pt idx="579">
                        <c:v>5011.9391775009508</c:v>
                      </c:pt>
                      <c:pt idx="580">
                        <c:v>5014.4931358305657</c:v>
                      </c:pt>
                      <c:pt idx="581">
                        <c:v>5017.0676409073812</c:v>
                      </c:pt>
                      <c:pt idx="582">
                        <c:v>5019.5886758144688</c:v>
                      </c:pt>
                      <c:pt idx="583">
                        <c:v>5022.0568346110376</c:v>
                      </c:pt>
                      <c:pt idx="584">
                        <c:v>5024.4466454260955</c:v>
                      </c:pt>
                      <c:pt idx="585">
                        <c:v>5026.850862014574</c:v>
                      </c:pt>
                      <c:pt idx="586">
                        <c:v>5029.2439831023776</c:v>
                      </c:pt>
                      <c:pt idx="587">
                        <c:v>5031.5930174882651</c:v>
                      </c:pt>
                      <c:pt idx="588">
                        <c:v>5033.8537930755592</c:v>
                      </c:pt>
                      <c:pt idx="589">
                        <c:v>5036.1348693426462</c:v>
                      </c:pt>
                      <c:pt idx="590">
                        <c:v>5038.3589070423741</c:v>
                      </c:pt>
                      <c:pt idx="591">
                        <c:v>5040.5023953594318</c:v>
                      </c:pt>
                      <c:pt idx="592">
                        <c:v>5042.6106147154705</c:v>
                      </c:pt>
                      <c:pt idx="593">
                        <c:v>5044.728277552701</c:v>
                      </c:pt>
                      <c:pt idx="594">
                        <c:v>5046.7761850642282</c:v>
                      </c:pt>
                      <c:pt idx="595">
                        <c:v>5048.8844673224339</c:v>
                      </c:pt>
                      <c:pt idx="596">
                        <c:v>5050.938933462844</c:v>
                      </c:pt>
                      <c:pt idx="597">
                        <c:v>5052.9521524877073</c:v>
                      </c:pt>
                      <c:pt idx="598">
                        <c:v>5055.0233161969963</c:v>
                      </c:pt>
                      <c:pt idx="599">
                        <c:v>5057.0093933001144</c:v>
                      </c:pt>
                      <c:pt idx="600">
                        <c:v>5058.9706052394786</c:v>
                      </c:pt>
                      <c:pt idx="601">
                        <c:v>5060.9277183090935</c:v>
                      </c:pt>
                      <c:pt idx="602">
                        <c:v>5062.8954585291285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5B3-40DE-A6B6-B5897A54BD82}"/>
                  </c:ext>
                </c:extLst>
              </c15:ser>
            </c15:filteredLineSeries>
          </c:ext>
        </c:extLst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valAx>
        <c:axId val="1448173376"/>
        <c:scaling>
          <c:orientation val="minMax"/>
          <c:max val="525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Capacity (mAh)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80704"/>
        <c:crosses val="max"/>
        <c:crossBetween val="between"/>
      </c:valAx>
      <c:catAx>
        <c:axId val="231480704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448173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9297669286297"/>
          <c:y val="0.13520527223722772"/>
          <c:w val="0.84633684710066115"/>
          <c:h val="0.674776041861012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'[3]Charing Profile'!$K$13:$K$615</c:f>
              <c:numCache>
                <c:formatCode>General</c:formatCode>
                <c:ptCount val="603"/>
                <c:pt idx="0">
                  <c:v>27.19</c:v>
                </c:pt>
                <c:pt idx="1">
                  <c:v>28.207999999999998</c:v>
                </c:pt>
                <c:pt idx="2">
                  <c:v>28.361999999999998</c:v>
                </c:pt>
                <c:pt idx="3">
                  <c:v>28.518000000000001</c:v>
                </c:pt>
                <c:pt idx="4">
                  <c:v>28.677</c:v>
                </c:pt>
                <c:pt idx="5">
                  <c:v>28.792999999999999</c:v>
                </c:pt>
                <c:pt idx="6">
                  <c:v>28.87</c:v>
                </c:pt>
                <c:pt idx="7">
                  <c:v>28.91</c:v>
                </c:pt>
                <c:pt idx="8">
                  <c:v>28.966999999999999</c:v>
                </c:pt>
                <c:pt idx="9">
                  <c:v>29.004999999999999</c:v>
                </c:pt>
                <c:pt idx="10">
                  <c:v>29.044</c:v>
                </c:pt>
                <c:pt idx="11">
                  <c:v>29.082000000000001</c:v>
                </c:pt>
                <c:pt idx="12">
                  <c:v>29.120999999999999</c:v>
                </c:pt>
                <c:pt idx="13">
                  <c:v>29.122</c:v>
                </c:pt>
                <c:pt idx="14">
                  <c:v>29.161999999999999</c:v>
                </c:pt>
                <c:pt idx="15">
                  <c:v>29.184000000000001</c:v>
                </c:pt>
                <c:pt idx="16">
                  <c:v>29.161999999999999</c:v>
                </c:pt>
                <c:pt idx="17">
                  <c:v>29.201000000000001</c:v>
                </c:pt>
                <c:pt idx="18">
                  <c:v>29.241</c:v>
                </c:pt>
                <c:pt idx="19">
                  <c:v>29.260999999999999</c:v>
                </c:pt>
                <c:pt idx="20">
                  <c:v>29.297999999999998</c:v>
                </c:pt>
                <c:pt idx="21">
                  <c:v>29.315999999999999</c:v>
                </c:pt>
                <c:pt idx="22">
                  <c:v>29.298999999999999</c:v>
                </c:pt>
                <c:pt idx="23">
                  <c:v>29.355</c:v>
                </c:pt>
                <c:pt idx="24">
                  <c:v>29.337</c:v>
                </c:pt>
                <c:pt idx="25">
                  <c:v>29.393000000000001</c:v>
                </c:pt>
                <c:pt idx="26">
                  <c:v>29.391999999999999</c:v>
                </c:pt>
                <c:pt idx="27">
                  <c:v>29.373999999999999</c:v>
                </c:pt>
                <c:pt idx="28">
                  <c:v>29.393999999999998</c:v>
                </c:pt>
                <c:pt idx="29">
                  <c:v>29.433</c:v>
                </c:pt>
                <c:pt idx="30">
                  <c:v>29.414999999999999</c:v>
                </c:pt>
                <c:pt idx="31">
                  <c:v>29.471</c:v>
                </c:pt>
                <c:pt idx="32">
                  <c:v>29.452999999999999</c:v>
                </c:pt>
                <c:pt idx="33">
                  <c:v>29.452999999999999</c:v>
                </c:pt>
                <c:pt idx="34">
                  <c:v>29.51</c:v>
                </c:pt>
                <c:pt idx="35">
                  <c:v>29.51</c:v>
                </c:pt>
                <c:pt idx="36">
                  <c:v>29.494</c:v>
                </c:pt>
                <c:pt idx="37">
                  <c:v>29.532</c:v>
                </c:pt>
                <c:pt idx="38">
                  <c:v>29.55</c:v>
                </c:pt>
                <c:pt idx="39">
                  <c:v>29.532</c:v>
                </c:pt>
                <c:pt idx="40">
                  <c:v>29.532</c:v>
                </c:pt>
                <c:pt idx="41">
                  <c:v>29.588999999999999</c:v>
                </c:pt>
                <c:pt idx="42">
                  <c:v>29.571000000000002</c:v>
                </c:pt>
                <c:pt idx="43">
                  <c:v>29.57</c:v>
                </c:pt>
                <c:pt idx="44">
                  <c:v>29.61</c:v>
                </c:pt>
                <c:pt idx="45">
                  <c:v>29.628</c:v>
                </c:pt>
                <c:pt idx="46">
                  <c:v>29.609000000000002</c:v>
                </c:pt>
                <c:pt idx="47">
                  <c:v>29.649000000000001</c:v>
                </c:pt>
                <c:pt idx="48">
                  <c:v>29.667999999999999</c:v>
                </c:pt>
                <c:pt idx="49">
                  <c:v>29.651</c:v>
                </c:pt>
                <c:pt idx="50">
                  <c:v>29.65</c:v>
                </c:pt>
                <c:pt idx="51">
                  <c:v>29.706</c:v>
                </c:pt>
                <c:pt idx="52">
                  <c:v>29.706</c:v>
                </c:pt>
                <c:pt idx="53">
                  <c:v>29.669</c:v>
                </c:pt>
                <c:pt idx="54">
                  <c:v>29.725000000000001</c:v>
                </c:pt>
                <c:pt idx="55">
                  <c:v>29.725000000000001</c:v>
                </c:pt>
                <c:pt idx="56">
                  <c:v>29.744</c:v>
                </c:pt>
                <c:pt idx="57">
                  <c:v>29.725000000000001</c:v>
                </c:pt>
                <c:pt idx="58">
                  <c:v>29.725000000000001</c:v>
                </c:pt>
                <c:pt idx="59">
                  <c:v>29.783000000000001</c:v>
                </c:pt>
                <c:pt idx="60">
                  <c:v>29.782</c:v>
                </c:pt>
                <c:pt idx="61">
                  <c:v>29.780999999999999</c:v>
                </c:pt>
                <c:pt idx="62">
                  <c:v>29.803999999999998</c:v>
                </c:pt>
                <c:pt idx="63">
                  <c:v>29.821000000000002</c:v>
                </c:pt>
                <c:pt idx="64">
                  <c:v>29.823</c:v>
                </c:pt>
                <c:pt idx="65">
                  <c:v>29.843</c:v>
                </c:pt>
                <c:pt idx="66">
                  <c:v>29.841999999999999</c:v>
                </c:pt>
                <c:pt idx="67">
                  <c:v>29.861000000000001</c:v>
                </c:pt>
                <c:pt idx="68">
                  <c:v>29.861000000000001</c:v>
                </c:pt>
                <c:pt idx="69">
                  <c:v>29.843</c:v>
                </c:pt>
                <c:pt idx="70">
                  <c:v>29.881</c:v>
                </c:pt>
                <c:pt idx="71">
                  <c:v>29.88</c:v>
                </c:pt>
                <c:pt idx="72">
                  <c:v>29.863</c:v>
                </c:pt>
                <c:pt idx="73">
                  <c:v>29.92</c:v>
                </c:pt>
                <c:pt idx="74">
                  <c:v>29.88</c:v>
                </c:pt>
                <c:pt idx="75">
                  <c:v>29.939</c:v>
                </c:pt>
                <c:pt idx="76">
                  <c:v>29.939</c:v>
                </c:pt>
                <c:pt idx="77">
                  <c:v>29.959</c:v>
                </c:pt>
                <c:pt idx="78">
                  <c:v>29.959</c:v>
                </c:pt>
                <c:pt idx="79">
                  <c:v>29.939</c:v>
                </c:pt>
                <c:pt idx="80">
                  <c:v>29.942</c:v>
                </c:pt>
                <c:pt idx="81">
                  <c:v>29.96</c:v>
                </c:pt>
                <c:pt idx="82">
                  <c:v>29.96</c:v>
                </c:pt>
                <c:pt idx="83">
                  <c:v>29.977</c:v>
                </c:pt>
                <c:pt idx="84">
                  <c:v>29.978999999999999</c:v>
                </c:pt>
                <c:pt idx="85">
                  <c:v>29.998000000000001</c:v>
                </c:pt>
                <c:pt idx="86">
                  <c:v>30.036000000000001</c:v>
                </c:pt>
                <c:pt idx="87">
                  <c:v>30.036999999999999</c:v>
                </c:pt>
                <c:pt idx="88">
                  <c:v>30.038</c:v>
                </c:pt>
                <c:pt idx="89">
                  <c:v>30.077000000000002</c:v>
                </c:pt>
                <c:pt idx="90">
                  <c:v>30.094000000000001</c:v>
                </c:pt>
                <c:pt idx="91">
                  <c:v>30.094000000000001</c:v>
                </c:pt>
                <c:pt idx="92">
                  <c:v>30.076000000000001</c:v>
                </c:pt>
                <c:pt idx="93">
                  <c:v>30.076000000000001</c:v>
                </c:pt>
                <c:pt idx="94">
                  <c:v>30.113</c:v>
                </c:pt>
                <c:pt idx="95">
                  <c:v>30.114000000000001</c:v>
                </c:pt>
                <c:pt idx="96">
                  <c:v>30.114000000000001</c:v>
                </c:pt>
                <c:pt idx="97">
                  <c:v>30.113</c:v>
                </c:pt>
                <c:pt idx="98">
                  <c:v>30.170999999999999</c:v>
                </c:pt>
                <c:pt idx="99">
                  <c:v>30.135000000000002</c:v>
                </c:pt>
                <c:pt idx="100">
                  <c:v>30.135999999999999</c:v>
                </c:pt>
                <c:pt idx="101">
                  <c:v>30.193000000000001</c:v>
                </c:pt>
                <c:pt idx="102">
                  <c:v>30.192</c:v>
                </c:pt>
                <c:pt idx="103">
                  <c:v>30.192</c:v>
                </c:pt>
                <c:pt idx="104">
                  <c:v>30.209</c:v>
                </c:pt>
                <c:pt idx="105">
                  <c:v>30.190999999999999</c:v>
                </c:pt>
                <c:pt idx="106">
                  <c:v>30.23</c:v>
                </c:pt>
                <c:pt idx="107">
                  <c:v>30.231000000000002</c:v>
                </c:pt>
                <c:pt idx="108">
                  <c:v>30.231999999999999</c:v>
                </c:pt>
                <c:pt idx="109">
                  <c:v>30.231000000000002</c:v>
                </c:pt>
                <c:pt idx="110">
                  <c:v>30.213999999999999</c:v>
                </c:pt>
                <c:pt idx="111">
                  <c:v>30.231999999999999</c:v>
                </c:pt>
                <c:pt idx="112">
                  <c:v>30.213999999999999</c:v>
                </c:pt>
                <c:pt idx="113">
                  <c:v>30.268999999999998</c:v>
                </c:pt>
                <c:pt idx="114">
                  <c:v>30.268999999999998</c:v>
                </c:pt>
                <c:pt idx="115">
                  <c:v>30.27</c:v>
                </c:pt>
                <c:pt idx="116">
                  <c:v>30.271000000000001</c:v>
                </c:pt>
                <c:pt idx="117">
                  <c:v>30.326000000000001</c:v>
                </c:pt>
                <c:pt idx="118">
                  <c:v>30.308</c:v>
                </c:pt>
                <c:pt idx="119">
                  <c:v>30.309000000000001</c:v>
                </c:pt>
                <c:pt idx="120">
                  <c:v>30.347000000000001</c:v>
                </c:pt>
                <c:pt idx="121">
                  <c:v>30.329000000000001</c:v>
                </c:pt>
                <c:pt idx="122">
                  <c:v>30.347000000000001</c:v>
                </c:pt>
                <c:pt idx="123">
                  <c:v>30.347999999999999</c:v>
                </c:pt>
                <c:pt idx="124">
                  <c:v>30.366</c:v>
                </c:pt>
                <c:pt idx="125">
                  <c:v>30.347999999999999</c:v>
                </c:pt>
                <c:pt idx="126">
                  <c:v>30.385999999999999</c:v>
                </c:pt>
                <c:pt idx="127">
                  <c:v>30.37</c:v>
                </c:pt>
                <c:pt idx="128">
                  <c:v>30.388000000000002</c:v>
                </c:pt>
                <c:pt idx="129">
                  <c:v>30.388000000000002</c:v>
                </c:pt>
                <c:pt idx="130">
                  <c:v>30.387</c:v>
                </c:pt>
                <c:pt idx="131">
                  <c:v>30.388000000000002</c:v>
                </c:pt>
                <c:pt idx="132">
                  <c:v>30.427</c:v>
                </c:pt>
                <c:pt idx="133">
                  <c:v>30.408999999999999</c:v>
                </c:pt>
                <c:pt idx="134">
                  <c:v>30.425000000000001</c:v>
                </c:pt>
                <c:pt idx="135">
                  <c:v>30.408999999999999</c:v>
                </c:pt>
                <c:pt idx="136">
                  <c:v>30.428000000000001</c:v>
                </c:pt>
                <c:pt idx="137">
                  <c:v>30.465</c:v>
                </c:pt>
                <c:pt idx="138">
                  <c:v>30.481999999999999</c:v>
                </c:pt>
                <c:pt idx="139">
                  <c:v>30.465</c:v>
                </c:pt>
                <c:pt idx="140">
                  <c:v>30.466000000000001</c:v>
                </c:pt>
                <c:pt idx="141">
                  <c:v>30.504999999999999</c:v>
                </c:pt>
                <c:pt idx="142">
                  <c:v>30.465</c:v>
                </c:pt>
                <c:pt idx="143">
                  <c:v>30.446000000000002</c:v>
                </c:pt>
                <c:pt idx="144">
                  <c:v>30.503</c:v>
                </c:pt>
                <c:pt idx="145">
                  <c:v>30.501999999999999</c:v>
                </c:pt>
                <c:pt idx="146">
                  <c:v>30.541</c:v>
                </c:pt>
                <c:pt idx="147">
                  <c:v>30.501999999999999</c:v>
                </c:pt>
                <c:pt idx="148">
                  <c:v>30.542000000000002</c:v>
                </c:pt>
                <c:pt idx="149">
                  <c:v>30.542000000000002</c:v>
                </c:pt>
                <c:pt idx="150">
                  <c:v>30.562999999999999</c:v>
                </c:pt>
                <c:pt idx="151">
                  <c:v>30.562999999999999</c:v>
                </c:pt>
                <c:pt idx="152">
                  <c:v>30.581</c:v>
                </c:pt>
                <c:pt idx="153">
                  <c:v>30.579000000000001</c:v>
                </c:pt>
                <c:pt idx="154">
                  <c:v>30.562000000000001</c:v>
                </c:pt>
                <c:pt idx="155">
                  <c:v>30.62</c:v>
                </c:pt>
                <c:pt idx="156">
                  <c:v>30.602</c:v>
                </c:pt>
                <c:pt idx="157">
                  <c:v>30.62</c:v>
                </c:pt>
                <c:pt idx="158">
                  <c:v>30.619</c:v>
                </c:pt>
                <c:pt idx="159">
                  <c:v>30.600999999999999</c:v>
                </c:pt>
                <c:pt idx="160">
                  <c:v>30.64</c:v>
                </c:pt>
                <c:pt idx="161">
                  <c:v>30.658000000000001</c:v>
                </c:pt>
                <c:pt idx="162">
                  <c:v>30.658000000000001</c:v>
                </c:pt>
                <c:pt idx="163">
                  <c:v>30.658999999999999</c:v>
                </c:pt>
                <c:pt idx="164">
                  <c:v>30.698</c:v>
                </c:pt>
                <c:pt idx="165">
                  <c:v>30.658999999999999</c:v>
                </c:pt>
                <c:pt idx="166">
                  <c:v>30.696999999999999</c:v>
                </c:pt>
                <c:pt idx="167">
                  <c:v>30.658000000000001</c:v>
                </c:pt>
                <c:pt idx="168">
                  <c:v>30.715</c:v>
                </c:pt>
                <c:pt idx="169">
                  <c:v>30.68</c:v>
                </c:pt>
                <c:pt idx="170">
                  <c:v>30.736000000000001</c:v>
                </c:pt>
                <c:pt idx="171">
                  <c:v>30.736000000000001</c:v>
                </c:pt>
                <c:pt idx="172">
                  <c:v>30.734999999999999</c:v>
                </c:pt>
                <c:pt idx="173">
                  <c:v>30.718</c:v>
                </c:pt>
                <c:pt idx="174">
                  <c:v>30.734000000000002</c:v>
                </c:pt>
                <c:pt idx="175">
                  <c:v>30.774000000000001</c:v>
                </c:pt>
                <c:pt idx="176">
                  <c:v>30.774999999999999</c:v>
                </c:pt>
                <c:pt idx="177">
                  <c:v>30.757999999999999</c:v>
                </c:pt>
                <c:pt idx="178">
                  <c:v>30.776</c:v>
                </c:pt>
                <c:pt idx="179">
                  <c:v>30.776</c:v>
                </c:pt>
                <c:pt idx="180">
                  <c:v>30.815000000000001</c:v>
                </c:pt>
                <c:pt idx="181">
                  <c:v>30.795000000000002</c:v>
                </c:pt>
                <c:pt idx="182">
                  <c:v>30.797000000000001</c:v>
                </c:pt>
                <c:pt idx="183">
                  <c:v>30.814</c:v>
                </c:pt>
                <c:pt idx="184">
                  <c:v>30.814</c:v>
                </c:pt>
                <c:pt idx="185">
                  <c:v>30.837</c:v>
                </c:pt>
                <c:pt idx="186">
                  <c:v>30.853999999999999</c:v>
                </c:pt>
                <c:pt idx="187">
                  <c:v>30.853999999999999</c:v>
                </c:pt>
                <c:pt idx="188">
                  <c:v>30.835999999999999</c:v>
                </c:pt>
                <c:pt idx="189">
                  <c:v>30.853000000000002</c:v>
                </c:pt>
                <c:pt idx="190">
                  <c:v>30.893000000000001</c:v>
                </c:pt>
                <c:pt idx="191">
                  <c:v>30.911000000000001</c:v>
                </c:pt>
                <c:pt idx="192">
                  <c:v>30.891999999999999</c:v>
                </c:pt>
                <c:pt idx="193">
                  <c:v>30.893000000000001</c:v>
                </c:pt>
                <c:pt idx="194">
                  <c:v>30.893000000000001</c:v>
                </c:pt>
                <c:pt idx="195">
                  <c:v>30.914000000000001</c:v>
                </c:pt>
                <c:pt idx="196">
                  <c:v>30.914000000000001</c:v>
                </c:pt>
                <c:pt idx="197">
                  <c:v>30.911999999999999</c:v>
                </c:pt>
                <c:pt idx="198">
                  <c:v>30.931000000000001</c:v>
                </c:pt>
                <c:pt idx="199">
                  <c:v>30.952000000000002</c:v>
                </c:pt>
                <c:pt idx="200">
                  <c:v>30.952000000000002</c:v>
                </c:pt>
                <c:pt idx="201">
                  <c:v>30.952000000000002</c:v>
                </c:pt>
                <c:pt idx="202">
                  <c:v>30.969000000000001</c:v>
                </c:pt>
                <c:pt idx="203">
                  <c:v>30.97</c:v>
                </c:pt>
                <c:pt idx="204">
                  <c:v>30.99</c:v>
                </c:pt>
                <c:pt idx="205">
                  <c:v>31.007999999999999</c:v>
                </c:pt>
                <c:pt idx="206">
                  <c:v>31.009</c:v>
                </c:pt>
                <c:pt idx="207">
                  <c:v>31.007999999999999</c:v>
                </c:pt>
                <c:pt idx="208">
                  <c:v>31.007999999999999</c:v>
                </c:pt>
                <c:pt idx="209">
                  <c:v>31.029</c:v>
                </c:pt>
                <c:pt idx="210">
                  <c:v>31.029</c:v>
                </c:pt>
                <c:pt idx="211">
                  <c:v>31.045999999999999</c:v>
                </c:pt>
                <c:pt idx="212">
                  <c:v>31.027999999999999</c:v>
                </c:pt>
                <c:pt idx="213">
                  <c:v>31.027999999999999</c:v>
                </c:pt>
                <c:pt idx="214">
                  <c:v>31.085000000000001</c:v>
                </c:pt>
                <c:pt idx="215">
                  <c:v>31.087</c:v>
                </c:pt>
                <c:pt idx="216">
                  <c:v>31.085000000000001</c:v>
                </c:pt>
                <c:pt idx="217">
                  <c:v>31.123999999999999</c:v>
                </c:pt>
                <c:pt idx="218">
                  <c:v>31.123999999999999</c:v>
                </c:pt>
                <c:pt idx="219">
                  <c:v>31.085999999999999</c:v>
                </c:pt>
                <c:pt idx="220">
                  <c:v>31.125</c:v>
                </c:pt>
                <c:pt idx="221">
                  <c:v>31.106000000000002</c:v>
                </c:pt>
                <c:pt idx="222">
                  <c:v>31.164000000000001</c:v>
                </c:pt>
                <c:pt idx="223">
                  <c:v>31.164999999999999</c:v>
                </c:pt>
                <c:pt idx="224">
                  <c:v>31.126999999999999</c:v>
                </c:pt>
                <c:pt idx="225">
                  <c:v>31.164000000000001</c:v>
                </c:pt>
                <c:pt idx="226">
                  <c:v>31.146000000000001</c:v>
                </c:pt>
                <c:pt idx="227">
                  <c:v>31.184999999999999</c:v>
                </c:pt>
                <c:pt idx="228">
                  <c:v>31.202999999999999</c:v>
                </c:pt>
                <c:pt idx="229">
                  <c:v>31.184999999999999</c:v>
                </c:pt>
                <c:pt idx="230">
                  <c:v>31.186</c:v>
                </c:pt>
                <c:pt idx="231">
                  <c:v>31.184999999999999</c:v>
                </c:pt>
                <c:pt idx="232">
                  <c:v>31.242000000000001</c:v>
                </c:pt>
                <c:pt idx="233">
                  <c:v>31.225000000000001</c:v>
                </c:pt>
                <c:pt idx="234">
                  <c:v>31.244</c:v>
                </c:pt>
                <c:pt idx="235">
                  <c:v>31.28</c:v>
                </c:pt>
                <c:pt idx="236">
                  <c:v>31.260999999999999</c:v>
                </c:pt>
                <c:pt idx="237">
                  <c:v>31.260999999999999</c:v>
                </c:pt>
                <c:pt idx="238">
                  <c:v>31.28</c:v>
                </c:pt>
                <c:pt idx="239">
                  <c:v>31.318000000000001</c:v>
                </c:pt>
                <c:pt idx="240">
                  <c:v>31.300999999999998</c:v>
                </c:pt>
                <c:pt idx="241">
                  <c:v>31.318000000000001</c:v>
                </c:pt>
                <c:pt idx="242">
                  <c:v>31.318999999999999</c:v>
                </c:pt>
                <c:pt idx="243">
                  <c:v>31.32</c:v>
                </c:pt>
                <c:pt idx="244">
                  <c:v>31.358000000000001</c:v>
                </c:pt>
                <c:pt idx="245">
                  <c:v>31.302</c:v>
                </c:pt>
                <c:pt idx="246">
                  <c:v>31.359000000000002</c:v>
                </c:pt>
                <c:pt idx="247">
                  <c:v>31.358000000000001</c:v>
                </c:pt>
                <c:pt idx="248">
                  <c:v>31.358000000000001</c:v>
                </c:pt>
                <c:pt idx="249">
                  <c:v>31.396999999999998</c:v>
                </c:pt>
                <c:pt idx="250">
                  <c:v>31.38</c:v>
                </c:pt>
                <c:pt idx="251">
                  <c:v>31.396999999999998</c:v>
                </c:pt>
                <c:pt idx="252">
                  <c:v>31.396999999999998</c:v>
                </c:pt>
                <c:pt idx="253">
                  <c:v>31.379000000000001</c:v>
                </c:pt>
                <c:pt idx="254">
                  <c:v>31.417999999999999</c:v>
                </c:pt>
                <c:pt idx="255">
                  <c:v>31.436</c:v>
                </c:pt>
                <c:pt idx="256">
                  <c:v>31.437000000000001</c:v>
                </c:pt>
                <c:pt idx="257">
                  <c:v>31.436</c:v>
                </c:pt>
                <c:pt idx="258">
                  <c:v>31.475000000000001</c:v>
                </c:pt>
                <c:pt idx="259">
                  <c:v>31.474</c:v>
                </c:pt>
                <c:pt idx="260">
                  <c:v>31.475999999999999</c:v>
                </c:pt>
                <c:pt idx="261">
                  <c:v>31.475999999999999</c:v>
                </c:pt>
                <c:pt idx="262">
                  <c:v>31.494</c:v>
                </c:pt>
                <c:pt idx="263">
                  <c:v>31.513000000000002</c:v>
                </c:pt>
                <c:pt idx="264">
                  <c:v>31.513999999999999</c:v>
                </c:pt>
                <c:pt idx="265">
                  <c:v>31.495999999999999</c:v>
                </c:pt>
                <c:pt idx="266">
                  <c:v>31.513000000000002</c:v>
                </c:pt>
                <c:pt idx="267">
                  <c:v>31.513999999999999</c:v>
                </c:pt>
                <c:pt idx="268">
                  <c:v>31.533999999999999</c:v>
                </c:pt>
                <c:pt idx="269">
                  <c:v>31.495000000000001</c:v>
                </c:pt>
                <c:pt idx="270">
                  <c:v>31.552</c:v>
                </c:pt>
                <c:pt idx="271">
                  <c:v>31.552</c:v>
                </c:pt>
                <c:pt idx="272">
                  <c:v>31.550999999999998</c:v>
                </c:pt>
                <c:pt idx="273">
                  <c:v>31.573</c:v>
                </c:pt>
                <c:pt idx="274">
                  <c:v>31.608000000000001</c:v>
                </c:pt>
                <c:pt idx="275">
                  <c:v>31.59</c:v>
                </c:pt>
                <c:pt idx="276">
                  <c:v>31.59</c:v>
                </c:pt>
                <c:pt idx="277">
                  <c:v>31.573</c:v>
                </c:pt>
                <c:pt idx="278">
                  <c:v>31.63</c:v>
                </c:pt>
                <c:pt idx="279">
                  <c:v>31.63</c:v>
                </c:pt>
                <c:pt idx="280">
                  <c:v>31.629000000000001</c:v>
                </c:pt>
                <c:pt idx="281">
                  <c:v>31.629000000000001</c:v>
                </c:pt>
                <c:pt idx="282">
                  <c:v>31.667999999999999</c:v>
                </c:pt>
                <c:pt idx="283">
                  <c:v>31.667999999999999</c:v>
                </c:pt>
                <c:pt idx="284">
                  <c:v>31.667999999999999</c:v>
                </c:pt>
                <c:pt idx="285">
                  <c:v>31.65</c:v>
                </c:pt>
                <c:pt idx="286">
                  <c:v>31.669</c:v>
                </c:pt>
                <c:pt idx="287">
                  <c:v>31.690999999999999</c:v>
                </c:pt>
                <c:pt idx="288">
                  <c:v>31.69</c:v>
                </c:pt>
                <c:pt idx="289">
                  <c:v>31.707999999999998</c:v>
                </c:pt>
                <c:pt idx="290">
                  <c:v>31.707999999999998</c:v>
                </c:pt>
                <c:pt idx="291">
                  <c:v>31.745999999999999</c:v>
                </c:pt>
                <c:pt idx="292">
                  <c:v>31.73</c:v>
                </c:pt>
                <c:pt idx="293">
                  <c:v>31.748000000000001</c:v>
                </c:pt>
                <c:pt idx="294">
                  <c:v>31.786999999999999</c:v>
                </c:pt>
                <c:pt idx="295">
                  <c:v>31.747</c:v>
                </c:pt>
                <c:pt idx="296">
                  <c:v>31.786000000000001</c:v>
                </c:pt>
                <c:pt idx="297">
                  <c:v>31.786000000000001</c:v>
                </c:pt>
                <c:pt idx="298">
                  <c:v>31.786000000000001</c:v>
                </c:pt>
                <c:pt idx="299">
                  <c:v>31.766999999999999</c:v>
                </c:pt>
                <c:pt idx="300">
                  <c:v>31.843</c:v>
                </c:pt>
                <c:pt idx="301">
                  <c:v>31.824999999999999</c:v>
                </c:pt>
                <c:pt idx="302">
                  <c:v>31.806000000000001</c:v>
                </c:pt>
                <c:pt idx="303">
                  <c:v>31.824999999999999</c:v>
                </c:pt>
                <c:pt idx="304">
                  <c:v>31.864000000000001</c:v>
                </c:pt>
                <c:pt idx="305">
                  <c:v>31.864999999999998</c:v>
                </c:pt>
                <c:pt idx="306">
                  <c:v>31.864000000000001</c:v>
                </c:pt>
                <c:pt idx="307">
                  <c:v>31.88</c:v>
                </c:pt>
                <c:pt idx="308">
                  <c:v>31.864000000000001</c:v>
                </c:pt>
                <c:pt idx="309">
                  <c:v>31.902000000000001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31.940999999999999</c:v>
                </c:pt>
                <c:pt idx="314">
                  <c:v>31.94</c:v>
                </c:pt>
                <c:pt idx="315">
                  <c:v>31.902000000000001</c:v>
                </c:pt>
                <c:pt idx="316">
                  <c:v>31.94</c:v>
                </c:pt>
                <c:pt idx="317">
                  <c:v>31.962</c:v>
                </c:pt>
                <c:pt idx="318">
                  <c:v>31.960999999999999</c:v>
                </c:pt>
                <c:pt idx="319">
                  <c:v>31.962</c:v>
                </c:pt>
                <c:pt idx="320">
                  <c:v>31.962</c:v>
                </c:pt>
                <c:pt idx="321">
                  <c:v>32.000999999999998</c:v>
                </c:pt>
                <c:pt idx="322">
                  <c:v>31.98</c:v>
                </c:pt>
                <c:pt idx="323">
                  <c:v>32.018000000000001</c:v>
                </c:pt>
                <c:pt idx="324">
                  <c:v>32.000999999999998</c:v>
                </c:pt>
                <c:pt idx="325">
                  <c:v>32</c:v>
                </c:pt>
                <c:pt idx="326">
                  <c:v>32.057000000000002</c:v>
                </c:pt>
                <c:pt idx="327">
                  <c:v>32.058</c:v>
                </c:pt>
                <c:pt idx="328">
                  <c:v>32.04</c:v>
                </c:pt>
                <c:pt idx="329">
                  <c:v>32.04</c:v>
                </c:pt>
                <c:pt idx="330">
                  <c:v>32.04</c:v>
                </c:pt>
                <c:pt idx="331">
                  <c:v>32.195</c:v>
                </c:pt>
                <c:pt idx="332">
                  <c:v>32.192999999999998</c:v>
                </c:pt>
                <c:pt idx="333">
                  <c:v>32.194000000000003</c:v>
                </c:pt>
                <c:pt idx="334">
                  <c:v>32.195</c:v>
                </c:pt>
                <c:pt idx="335">
                  <c:v>32.195</c:v>
                </c:pt>
                <c:pt idx="336">
                  <c:v>32.234000000000002</c:v>
                </c:pt>
                <c:pt idx="337">
                  <c:v>32.232999999999997</c:v>
                </c:pt>
                <c:pt idx="338">
                  <c:v>32.215000000000003</c:v>
                </c:pt>
                <c:pt idx="339">
                  <c:v>32.232999999999997</c:v>
                </c:pt>
                <c:pt idx="340">
                  <c:v>32.234000000000002</c:v>
                </c:pt>
                <c:pt idx="341">
                  <c:v>32.234000000000002</c:v>
                </c:pt>
                <c:pt idx="342">
                  <c:v>32.232999999999997</c:v>
                </c:pt>
                <c:pt idx="343">
                  <c:v>32.215000000000003</c:v>
                </c:pt>
                <c:pt idx="344">
                  <c:v>32.253999999999998</c:v>
                </c:pt>
                <c:pt idx="345">
                  <c:v>32.271000000000001</c:v>
                </c:pt>
                <c:pt idx="346">
                  <c:v>32.289000000000001</c:v>
                </c:pt>
                <c:pt idx="347">
                  <c:v>32.271999999999998</c:v>
                </c:pt>
                <c:pt idx="348">
                  <c:v>32.311999999999998</c:v>
                </c:pt>
                <c:pt idx="349">
                  <c:v>32.293999999999997</c:v>
                </c:pt>
                <c:pt idx="350">
                  <c:v>32.311999999999998</c:v>
                </c:pt>
                <c:pt idx="351">
                  <c:v>32.329000000000001</c:v>
                </c:pt>
                <c:pt idx="352">
                  <c:v>32.311999999999998</c:v>
                </c:pt>
                <c:pt idx="353">
                  <c:v>32.350999999999999</c:v>
                </c:pt>
                <c:pt idx="354">
                  <c:v>32.332999999999998</c:v>
                </c:pt>
                <c:pt idx="355">
                  <c:v>32.35</c:v>
                </c:pt>
                <c:pt idx="356">
                  <c:v>32.372999999999998</c:v>
                </c:pt>
                <c:pt idx="357">
                  <c:v>32.335000000000001</c:v>
                </c:pt>
                <c:pt idx="358">
                  <c:v>32.389000000000003</c:v>
                </c:pt>
                <c:pt idx="359">
                  <c:v>32.389000000000003</c:v>
                </c:pt>
                <c:pt idx="360">
                  <c:v>32.372</c:v>
                </c:pt>
                <c:pt idx="361">
                  <c:v>32.372</c:v>
                </c:pt>
                <c:pt idx="362">
                  <c:v>32.429000000000002</c:v>
                </c:pt>
                <c:pt idx="363">
                  <c:v>32.429000000000002</c:v>
                </c:pt>
                <c:pt idx="364">
                  <c:v>32.429000000000002</c:v>
                </c:pt>
                <c:pt idx="365">
                  <c:v>32.484999999999999</c:v>
                </c:pt>
                <c:pt idx="366">
                  <c:v>32.445</c:v>
                </c:pt>
                <c:pt idx="367">
                  <c:v>32.427</c:v>
                </c:pt>
                <c:pt idx="368">
                  <c:v>32.466999999999999</c:v>
                </c:pt>
                <c:pt idx="369">
                  <c:v>32.466999999999999</c:v>
                </c:pt>
                <c:pt idx="370">
                  <c:v>32.466999999999999</c:v>
                </c:pt>
                <c:pt idx="371">
                  <c:v>32.506</c:v>
                </c:pt>
                <c:pt idx="372">
                  <c:v>32.506999999999998</c:v>
                </c:pt>
                <c:pt idx="373">
                  <c:v>32.524999999999999</c:v>
                </c:pt>
                <c:pt idx="374">
                  <c:v>32.488</c:v>
                </c:pt>
                <c:pt idx="375">
                  <c:v>32.545000000000002</c:v>
                </c:pt>
                <c:pt idx="376">
                  <c:v>32.527000000000001</c:v>
                </c:pt>
                <c:pt idx="377">
                  <c:v>32.543999999999997</c:v>
                </c:pt>
                <c:pt idx="378">
                  <c:v>32.543999999999997</c:v>
                </c:pt>
                <c:pt idx="379">
                  <c:v>32.526000000000003</c:v>
                </c:pt>
                <c:pt idx="380">
                  <c:v>32.582999999999998</c:v>
                </c:pt>
                <c:pt idx="381">
                  <c:v>32.582999999999998</c:v>
                </c:pt>
                <c:pt idx="382">
                  <c:v>32.622</c:v>
                </c:pt>
                <c:pt idx="383">
                  <c:v>32.582999999999998</c:v>
                </c:pt>
                <c:pt idx="384">
                  <c:v>32.622999999999998</c:v>
                </c:pt>
                <c:pt idx="385">
                  <c:v>32.622</c:v>
                </c:pt>
                <c:pt idx="386">
                  <c:v>32.622</c:v>
                </c:pt>
                <c:pt idx="387">
                  <c:v>32.64</c:v>
                </c:pt>
                <c:pt idx="388">
                  <c:v>32.622</c:v>
                </c:pt>
                <c:pt idx="389">
                  <c:v>32.622999999999998</c:v>
                </c:pt>
                <c:pt idx="390">
                  <c:v>32.661000000000001</c:v>
                </c:pt>
                <c:pt idx="391">
                  <c:v>32.659999999999997</c:v>
                </c:pt>
                <c:pt idx="392">
                  <c:v>32.661000000000001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32.718000000000004</c:v>
                </c:pt>
                <c:pt idx="397">
                  <c:v>32.720999999999997</c:v>
                </c:pt>
                <c:pt idx="398">
                  <c:v>32.741</c:v>
                </c:pt>
                <c:pt idx="399">
                  <c:v>32.74</c:v>
                </c:pt>
                <c:pt idx="400">
                  <c:v>32.738999999999997</c:v>
                </c:pt>
                <c:pt idx="401">
                  <c:v>32.74</c:v>
                </c:pt>
                <c:pt idx="402">
                  <c:v>32.779000000000003</c:v>
                </c:pt>
                <c:pt idx="403">
                  <c:v>32.779000000000003</c:v>
                </c:pt>
                <c:pt idx="404">
                  <c:v>32.761000000000003</c:v>
                </c:pt>
                <c:pt idx="405">
                  <c:v>32.779000000000003</c:v>
                </c:pt>
                <c:pt idx="406">
                  <c:v>32.798999999999999</c:v>
                </c:pt>
                <c:pt idx="407">
                  <c:v>32.817999999999998</c:v>
                </c:pt>
                <c:pt idx="408">
                  <c:v>32.817</c:v>
                </c:pt>
                <c:pt idx="409">
                  <c:v>32.817999999999998</c:v>
                </c:pt>
                <c:pt idx="410">
                  <c:v>32.838000000000001</c:v>
                </c:pt>
                <c:pt idx="411">
                  <c:v>32.856000000000002</c:v>
                </c:pt>
                <c:pt idx="412">
                  <c:v>32.856000000000002</c:v>
                </c:pt>
                <c:pt idx="413">
                  <c:v>32.856000000000002</c:v>
                </c:pt>
                <c:pt idx="414">
                  <c:v>32.854999999999997</c:v>
                </c:pt>
                <c:pt idx="415">
                  <c:v>32.875999999999998</c:v>
                </c:pt>
                <c:pt idx="416">
                  <c:v>32.895000000000003</c:v>
                </c:pt>
                <c:pt idx="417">
                  <c:v>32.911999999999999</c:v>
                </c:pt>
                <c:pt idx="418">
                  <c:v>32.893999999999998</c:v>
                </c:pt>
                <c:pt idx="419">
                  <c:v>32.895000000000003</c:v>
                </c:pt>
                <c:pt idx="420">
                  <c:v>32.933</c:v>
                </c:pt>
                <c:pt idx="421">
                  <c:v>32.933</c:v>
                </c:pt>
                <c:pt idx="422">
                  <c:v>32.933</c:v>
                </c:pt>
                <c:pt idx="423">
                  <c:v>32.933</c:v>
                </c:pt>
                <c:pt idx="424">
                  <c:v>32.972000000000001</c:v>
                </c:pt>
                <c:pt idx="425">
                  <c:v>32.972000000000001</c:v>
                </c:pt>
                <c:pt idx="426">
                  <c:v>32.972999999999999</c:v>
                </c:pt>
                <c:pt idx="427">
                  <c:v>33.012</c:v>
                </c:pt>
                <c:pt idx="428">
                  <c:v>33.011000000000003</c:v>
                </c:pt>
                <c:pt idx="429">
                  <c:v>33.012</c:v>
                </c:pt>
                <c:pt idx="430">
                  <c:v>32.994</c:v>
                </c:pt>
                <c:pt idx="431">
                  <c:v>33.051000000000002</c:v>
                </c:pt>
                <c:pt idx="432">
                  <c:v>33.051000000000002</c:v>
                </c:pt>
                <c:pt idx="433">
                  <c:v>33.031999999999996</c:v>
                </c:pt>
                <c:pt idx="434">
                  <c:v>33.048999999999999</c:v>
                </c:pt>
                <c:pt idx="435">
                  <c:v>33.048999999999999</c:v>
                </c:pt>
                <c:pt idx="436">
                  <c:v>33.088000000000001</c:v>
                </c:pt>
                <c:pt idx="437">
                  <c:v>33.088000000000001</c:v>
                </c:pt>
                <c:pt idx="438">
                  <c:v>33.088000000000001</c:v>
                </c:pt>
                <c:pt idx="439">
                  <c:v>33.07</c:v>
                </c:pt>
                <c:pt idx="440">
                  <c:v>33.072000000000003</c:v>
                </c:pt>
                <c:pt idx="441">
                  <c:v>33.128999999999998</c:v>
                </c:pt>
                <c:pt idx="442">
                  <c:v>33.128999999999998</c:v>
                </c:pt>
                <c:pt idx="443">
                  <c:v>33.128999999999998</c:v>
                </c:pt>
                <c:pt idx="444">
                  <c:v>33.110999999999997</c:v>
                </c:pt>
                <c:pt idx="445">
                  <c:v>33.110999999999997</c:v>
                </c:pt>
                <c:pt idx="446">
                  <c:v>33.128999999999998</c:v>
                </c:pt>
                <c:pt idx="447">
                  <c:v>33.167000000000002</c:v>
                </c:pt>
                <c:pt idx="448">
                  <c:v>33.148000000000003</c:v>
                </c:pt>
                <c:pt idx="449">
                  <c:v>33.165999999999997</c:v>
                </c:pt>
                <c:pt idx="450">
                  <c:v>33.149000000000001</c:v>
                </c:pt>
                <c:pt idx="451">
                  <c:v>33.207000000000001</c:v>
                </c:pt>
                <c:pt idx="452">
                  <c:v>33.267000000000003</c:v>
                </c:pt>
                <c:pt idx="453">
                  <c:v>33.244</c:v>
                </c:pt>
                <c:pt idx="454">
                  <c:v>33.267000000000003</c:v>
                </c:pt>
                <c:pt idx="455">
                  <c:v>33.284999999999997</c:v>
                </c:pt>
                <c:pt idx="456">
                  <c:v>33.283999999999999</c:v>
                </c:pt>
                <c:pt idx="457">
                  <c:v>33.265999999999998</c:v>
                </c:pt>
                <c:pt idx="458">
                  <c:v>33.322000000000003</c:v>
                </c:pt>
                <c:pt idx="459">
                  <c:v>33.322000000000003</c:v>
                </c:pt>
                <c:pt idx="460">
                  <c:v>33.36</c:v>
                </c:pt>
                <c:pt idx="461">
                  <c:v>33.360999999999997</c:v>
                </c:pt>
                <c:pt idx="462">
                  <c:v>33.360999999999997</c:v>
                </c:pt>
                <c:pt idx="463">
                  <c:v>33.343000000000004</c:v>
                </c:pt>
                <c:pt idx="464">
                  <c:v>33.4</c:v>
                </c:pt>
                <c:pt idx="465">
                  <c:v>33.4</c:v>
                </c:pt>
                <c:pt idx="466">
                  <c:v>33.383000000000003</c:v>
                </c:pt>
                <c:pt idx="467">
                  <c:v>33.383000000000003</c:v>
                </c:pt>
                <c:pt idx="468">
                  <c:v>33.4</c:v>
                </c:pt>
                <c:pt idx="469">
                  <c:v>33.42</c:v>
                </c:pt>
                <c:pt idx="470">
                  <c:v>33.42</c:v>
                </c:pt>
                <c:pt idx="471">
                  <c:v>33.438000000000002</c:v>
                </c:pt>
                <c:pt idx="472">
                  <c:v>33.439</c:v>
                </c:pt>
                <c:pt idx="473">
                  <c:v>33.439</c:v>
                </c:pt>
                <c:pt idx="474">
                  <c:v>33.476999999999997</c:v>
                </c:pt>
                <c:pt idx="475">
                  <c:v>33.46</c:v>
                </c:pt>
                <c:pt idx="476">
                  <c:v>33.476999999999997</c:v>
                </c:pt>
                <c:pt idx="477">
                  <c:v>33.517000000000003</c:v>
                </c:pt>
                <c:pt idx="478">
                  <c:v>33.499000000000002</c:v>
                </c:pt>
                <c:pt idx="479">
                  <c:v>33.46</c:v>
                </c:pt>
                <c:pt idx="480">
                  <c:v>33.515999999999998</c:v>
                </c:pt>
                <c:pt idx="481">
                  <c:v>33.499000000000002</c:v>
                </c:pt>
                <c:pt idx="482">
                  <c:v>33.536999999999999</c:v>
                </c:pt>
                <c:pt idx="483">
                  <c:v>33.555999999999997</c:v>
                </c:pt>
                <c:pt idx="484">
                  <c:v>33.499000000000002</c:v>
                </c:pt>
                <c:pt idx="485">
                  <c:v>33.537999999999997</c:v>
                </c:pt>
                <c:pt idx="486">
                  <c:v>33.537999999999997</c:v>
                </c:pt>
                <c:pt idx="487">
                  <c:v>33.555</c:v>
                </c:pt>
                <c:pt idx="488">
                  <c:v>33.594999999999999</c:v>
                </c:pt>
                <c:pt idx="489">
                  <c:v>33.594000000000001</c:v>
                </c:pt>
                <c:pt idx="490">
                  <c:v>33.631999999999998</c:v>
                </c:pt>
                <c:pt idx="491">
                  <c:v>33.613999999999997</c:v>
                </c:pt>
                <c:pt idx="492">
                  <c:v>33.615000000000002</c:v>
                </c:pt>
                <c:pt idx="493">
                  <c:v>33.613999999999997</c:v>
                </c:pt>
                <c:pt idx="494">
                  <c:v>33.613999999999997</c:v>
                </c:pt>
                <c:pt idx="495">
                  <c:v>33.613999999999997</c:v>
                </c:pt>
                <c:pt idx="496">
                  <c:v>33.61</c:v>
                </c:pt>
                <c:pt idx="497">
                  <c:v>33.61</c:v>
                </c:pt>
                <c:pt idx="498">
                  <c:v>33.670999999999999</c:v>
                </c:pt>
                <c:pt idx="499">
                  <c:v>33.631999999999998</c:v>
                </c:pt>
                <c:pt idx="500">
                  <c:v>33.619999999999997</c:v>
                </c:pt>
                <c:pt idx="501">
                  <c:v>33.6</c:v>
                </c:pt>
                <c:pt idx="502">
                  <c:v>33.61</c:v>
                </c:pt>
                <c:pt idx="503">
                  <c:v>33.64</c:v>
                </c:pt>
                <c:pt idx="504">
                  <c:v>33.631999999999998</c:v>
                </c:pt>
                <c:pt idx="505">
                  <c:v>33.633000000000003</c:v>
                </c:pt>
                <c:pt idx="506">
                  <c:v>33.651000000000003</c:v>
                </c:pt>
                <c:pt idx="507">
                  <c:v>33.593000000000004</c:v>
                </c:pt>
                <c:pt idx="508">
                  <c:v>33.631999999999998</c:v>
                </c:pt>
                <c:pt idx="509">
                  <c:v>33.633000000000003</c:v>
                </c:pt>
                <c:pt idx="510">
                  <c:v>33.633000000000003</c:v>
                </c:pt>
                <c:pt idx="511">
                  <c:v>33.633000000000003</c:v>
                </c:pt>
                <c:pt idx="512">
                  <c:v>33.555708143849429</c:v>
                </c:pt>
                <c:pt idx="513">
                  <c:v>33.590379019756767</c:v>
                </c:pt>
                <c:pt idx="514">
                  <c:v>33.62232401745959</c:v>
                </c:pt>
                <c:pt idx="515">
                  <c:v>33.583316150218337</c:v>
                </c:pt>
                <c:pt idx="516">
                  <c:v>33.616468247632127</c:v>
                </c:pt>
                <c:pt idx="517">
                  <c:v>33.574544118379762</c:v>
                </c:pt>
                <c:pt idx="518">
                  <c:v>33.591608452065309</c:v>
                </c:pt>
                <c:pt idx="519">
                  <c:v>33.617297008831443</c:v>
                </c:pt>
                <c:pt idx="520">
                  <c:v>33.628519672861813</c:v>
                </c:pt>
                <c:pt idx="521">
                  <c:v>33.572507612235583</c:v>
                </c:pt>
                <c:pt idx="522">
                  <c:v>33.566398476177589</c:v>
                </c:pt>
                <c:pt idx="523">
                  <c:v>33.56902814693386</c:v>
                </c:pt>
                <c:pt idx="524">
                  <c:v>33.597831458647072</c:v>
                </c:pt>
                <c:pt idx="525">
                  <c:v>33.589045697070489</c:v>
                </c:pt>
                <c:pt idx="526">
                  <c:v>33.650632736686113</c:v>
                </c:pt>
                <c:pt idx="527">
                  <c:v>33.601822363593179</c:v>
                </c:pt>
                <c:pt idx="528">
                  <c:v>33.642692400420948</c:v>
                </c:pt>
                <c:pt idx="529">
                  <c:v>33.633999019141463</c:v>
                </c:pt>
                <c:pt idx="530">
                  <c:v>33.559342707317363</c:v>
                </c:pt>
                <c:pt idx="531">
                  <c:v>33.608770055468582</c:v>
                </c:pt>
                <c:pt idx="532">
                  <c:v>33.571409664269723</c:v>
                </c:pt>
                <c:pt idx="533">
                  <c:v>33.633217947550357</c:v>
                </c:pt>
                <c:pt idx="534">
                  <c:v>33.597212278371593</c:v>
                </c:pt>
                <c:pt idx="535">
                  <c:v>33.584369416208453</c:v>
                </c:pt>
                <c:pt idx="536">
                  <c:v>33.63675084784969</c:v>
                </c:pt>
                <c:pt idx="537">
                  <c:v>33.580093914084181</c:v>
                </c:pt>
                <c:pt idx="538">
                  <c:v>33.562465223524612</c:v>
                </c:pt>
                <c:pt idx="539">
                  <c:v>33.607344400694153</c:v>
                </c:pt>
                <c:pt idx="540">
                  <c:v>33.568344876367469</c:v>
                </c:pt>
                <c:pt idx="541">
                  <c:v>33.56106481932963</c:v>
                </c:pt>
                <c:pt idx="542">
                  <c:v>33.536323379428403</c:v>
                </c:pt>
                <c:pt idx="543">
                  <c:v>33.609422138146783</c:v>
                </c:pt>
                <c:pt idx="544">
                  <c:v>33.579984469827558</c:v>
                </c:pt>
                <c:pt idx="545">
                  <c:v>33.56304038420047</c:v>
                </c:pt>
                <c:pt idx="546">
                  <c:v>33.568360558707212</c:v>
                </c:pt>
                <c:pt idx="547">
                  <c:v>33.58792717781423</c:v>
                </c:pt>
                <c:pt idx="548">
                  <c:v>33.635784940787957</c:v>
                </c:pt>
                <c:pt idx="549">
                  <c:v>33.627497817048187</c:v>
                </c:pt>
                <c:pt idx="550">
                  <c:v>33.550108710700982</c:v>
                </c:pt>
                <c:pt idx="551">
                  <c:v>33.635156894228693</c:v>
                </c:pt>
                <c:pt idx="552">
                  <c:v>33.614521348413597</c:v>
                </c:pt>
                <c:pt idx="553">
                  <c:v>33.646717967313407</c:v>
                </c:pt>
                <c:pt idx="554">
                  <c:v>33.596167556758267</c:v>
                </c:pt>
                <c:pt idx="555">
                  <c:v>33.648058179303668</c:v>
                </c:pt>
                <c:pt idx="556">
                  <c:v>33.591072516622212</c:v>
                </c:pt>
                <c:pt idx="557">
                  <c:v>33.580513692941928</c:v>
                </c:pt>
                <c:pt idx="558">
                  <c:v>33.593721601035448</c:v>
                </c:pt>
                <c:pt idx="559">
                  <c:v>33.547817970026223</c:v>
                </c:pt>
                <c:pt idx="560">
                  <c:v>33.577097353642039</c:v>
                </c:pt>
                <c:pt idx="561">
                  <c:v>33.602531347189618</c:v>
                </c:pt>
                <c:pt idx="562">
                  <c:v>33.571892737431618</c:v>
                </c:pt>
                <c:pt idx="563">
                  <c:v>33.604433410958691</c:v>
                </c:pt>
                <c:pt idx="564">
                  <c:v>33.566453177604842</c:v>
                </c:pt>
                <c:pt idx="565">
                  <c:v>33.60263380015806</c:v>
                </c:pt>
                <c:pt idx="566">
                  <c:v>33.591564218733239</c:v>
                </c:pt>
                <c:pt idx="567">
                  <c:v>33.581859309041263</c:v>
                </c:pt>
                <c:pt idx="568">
                  <c:v>33.617925661185481</c:v>
                </c:pt>
                <c:pt idx="569">
                  <c:v>33.603767667468219</c:v>
                </c:pt>
                <c:pt idx="570">
                  <c:v>33.578817476901051</c:v>
                </c:pt>
                <c:pt idx="571">
                  <c:v>33.561456518783899</c:v>
                </c:pt>
                <c:pt idx="572">
                  <c:v>33.605390429505967</c:v>
                </c:pt>
                <c:pt idx="573">
                  <c:v>33.550474834485293</c:v>
                </c:pt>
                <c:pt idx="574">
                  <c:v>33.565606948802539</c:v>
                </c:pt>
                <c:pt idx="575">
                  <c:v>33.576469433918447</c:v>
                </c:pt>
                <c:pt idx="576">
                  <c:v>33.607299491866733</c:v>
                </c:pt>
                <c:pt idx="577">
                  <c:v>33.63317179380369</c:v>
                </c:pt>
                <c:pt idx="578">
                  <c:v>33.639976034026922</c:v>
                </c:pt>
                <c:pt idx="579">
                  <c:v>33.628012404526586</c:v>
                </c:pt>
                <c:pt idx="580">
                  <c:v>33.648062526938169</c:v>
                </c:pt>
                <c:pt idx="581">
                  <c:v>33.559132993841132</c:v>
                </c:pt>
                <c:pt idx="582">
                  <c:v>33.619924068259422</c:v>
                </c:pt>
                <c:pt idx="583">
                  <c:v>33.638577248609913</c:v>
                </c:pt>
                <c:pt idx="584">
                  <c:v>33.577776876937861</c:v>
                </c:pt>
                <c:pt idx="585">
                  <c:v>33.637097049650677</c:v>
                </c:pt>
                <c:pt idx="586">
                  <c:v>33.612839333344517</c:v>
                </c:pt>
                <c:pt idx="587">
                  <c:v>33.552283326698799</c:v>
                </c:pt>
                <c:pt idx="588">
                  <c:v>33.588312296057588</c:v>
                </c:pt>
                <c:pt idx="589">
                  <c:v>33.564828881899302</c:v>
                </c:pt>
                <c:pt idx="590">
                  <c:v>33.627341332417757</c:v>
                </c:pt>
                <c:pt idx="591">
                  <c:v>33.566974663121833</c:v>
                </c:pt>
                <c:pt idx="592">
                  <c:v>33.55056711508945</c:v>
                </c:pt>
                <c:pt idx="593">
                  <c:v>33.620359921776199</c:v>
                </c:pt>
                <c:pt idx="594">
                  <c:v>33.648062526938169</c:v>
                </c:pt>
                <c:pt idx="595">
                  <c:v>33.559132993841132</c:v>
                </c:pt>
                <c:pt idx="596">
                  <c:v>33.619924068259422</c:v>
                </c:pt>
                <c:pt idx="597">
                  <c:v>33.638577248609913</c:v>
                </c:pt>
                <c:pt idx="598">
                  <c:v>33.577776876937861</c:v>
                </c:pt>
                <c:pt idx="599">
                  <c:v>33.637097049650677</c:v>
                </c:pt>
                <c:pt idx="600">
                  <c:v>33.612839333344517</c:v>
                </c:pt>
                <c:pt idx="601">
                  <c:v>33.627341332417757</c:v>
                </c:pt>
                <c:pt idx="602">
                  <c:v>33.566974663121833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'[3]Charing Profile'!$K$8</c15:sqref>
                        </c15:formulaRef>
                      </c:ext>
                    </c:extLst>
                    <c:strCache>
                      <c:ptCount val="1"/>
                      <c:pt idx="0">
                        <c:v>Voltage V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E5E-4C72-B16C-199182BE5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'[3]Charing Profile'!$M$13:$M$615</c:f>
              <c:numCache>
                <c:formatCode>General</c:formatCode>
                <c:ptCount val="603"/>
                <c:pt idx="0">
                  <c:v>0</c:v>
                </c:pt>
                <c:pt idx="1">
                  <c:v>1.25</c:v>
                </c:pt>
                <c:pt idx="2">
                  <c:v>1.4000000000000001</c:v>
                </c:pt>
                <c:pt idx="3">
                  <c:v>1.61</c:v>
                </c:pt>
                <c:pt idx="4">
                  <c:v>1.9100000000000001</c:v>
                </c:pt>
                <c:pt idx="5">
                  <c:v>1.9600000000000002</c:v>
                </c:pt>
                <c:pt idx="6">
                  <c:v>1.9500000000000002</c:v>
                </c:pt>
                <c:pt idx="7">
                  <c:v>1.9500000000000002</c:v>
                </c:pt>
                <c:pt idx="8">
                  <c:v>1.9500000000000002</c:v>
                </c:pt>
                <c:pt idx="9">
                  <c:v>1.9600000000000002</c:v>
                </c:pt>
                <c:pt idx="10">
                  <c:v>1.9400000000000002</c:v>
                </c:pt>
                <c:pt idx="11">
                  <c:v>1.9500000000000002</c:v>
                </c:pt>
                <c:pt idx="12">
                  <c:v>1.9100000000000001</c:v>
                </c:pt>
                <c:pt idx="13">
                  <c:v>1.9500000000000002</c:v>
                </c:pt>
                <c:pt idx="14">
                  <c:v>1.9500000000000002</c:v>
                </c:pt>
                <c:pt idx="15">
                  <c:v>1.9300000000000002</c:v>
                </c:pt>
                <c:pt idx="16">
                  <c:v>1.9500000000000002</c:v>
                </c:pt>
                <c:pt idx="17">
                  <c:v>1.9400000000000002</c:v>
                </c:pt>
                <c:pt idx="18">
                  <c:v>1.9500000000000002</c:v>
                </c:pt>
                <c:pt idx="19">
                  <c:v>1.9600000000000002</c:v>
                </c:pt>
                <c:pt idx="20">
                  <c:v>1.9700000000000002</c:v>
                </c:pt>
                <c:pt idx="21">
                  <c:v>1.99</c:v>
                </c:pt>
                <c:pt idx="22">
                  <c:v>1.9600000000000002</c:v>
                </c:pt>
                <c:pt idx="23">
                  <c:v>1.99</c:v>
                </c:pt>
                <c:pt idx="24">
                  <c:v>1.98</c:v>
                </c:pt>
                <c:pt idx="25">
                  <c:v>1.98</c:v>
                </c:pt>
                <c:pt idx="26">
                  <c:v>1.9700000000000002</c:v>
                </c:pt>
                <c:pt idx="27">
                  <c:v>1.98</c:v>
                </c:pt>
                <c:pt idx="28">
                  <c:v>1.9700000000000002</c:v>
                </c:pt>
                <c:pt idx="29">
                  <c:v>1.9600000000000002</c:v>
                </c:pt>
                <c:pt idx="30">
                  <c:v>1.9600000000000002</c:v>
                </c:pt>
                <c:pt idx="31">
                  <c:v>1.99</c:v>
                </c:pt>
                <c:pt idx="32">
                  <c:v>1.99</c:v>
                </c:pt>
                <c:pt idx="33">
                  <c:v>1.9700000000000002</c:v>
                </c:pt>
                <c:pt idx="34">
                  <c:v>1.98</c:v>
                </c:pt>
                <c:pt idx="35">
                  <c:v>1.9700000000000002</c:v>
                </c:pt>
                <c:pt idx="36">
                  <c:v>1.9700000000000002</c:v>
                </c:pt>
                <c:pt idx="37">
                  <c:v>1.9700000000000002</c:v>
                </c:pt>
                <c:pt idx="38">
                  <c:v>2</c:v>
                </c:pt>
                <c:pt idx="39">
                  <c:v>1.98</c:v>
                </c:pt>
                <c:pt idx="40">
                  <c:v>2</c:v>
                </c:pt>
                <c:pt idx="41">
                  <c:v>1.98</c:v>
                </c:pt>
                <c:pt idx="42">
                  <c:v>1.9700000000000002</c:v>
                </c:pt>
                <c:pt idx="43">
                  <c:v>1.98</c:v>
                </c:pt>
                <c:pt idx="44">
                  <c:v>1.98</c:v>
                </c:pt>
                <c:pt idx="45">
                  <c:v>1.98</c:v>
                </c:pt>
                <c:pt idx="46">
                  <c:v>1.9600000000000002</c:v>
                </c:pt>
                <c:pt idx="47">
                  <c:v>1.9600000000000002</c:v>
                </c:pt>
                <c:pt idx="48">
                  <c:v>1.9600000000000002</c:v>
                </c:pt>
                <c:pt idx="49">
                  <c:v>1.99</c:v>
                </c:pt>
                <c:pt idx="50">
                  <c:v>1.99</c:v>
                </c:pt>
                <c:pt idx="51">
                  <c:v>2</c:v>
                </c:pt>
                <c:pt idx="52">
                  <c:v>1.9700000000000002</c:v>
                </c:pt>
                <c:pt idx="53">
                  <c:v>1.9600000000000002</c:v>
                </c:pt>
                <c:pt idx="54">
                  <c:v>1.9700000000000002</c:v>
                </c:pt>
                <c:pt idx="55">
                  <c:v>2</c:v>
                </c:pt>
                <c:pt idx="56">
                  <c:v>1.9700000000000002</c:v>
                </c:pt>
                <c:pt idx="57">
                  <c:v>1.98</c:v>
                </c:pt>
                <c:pt idx="58">
                  <c:v>1.9700000000000002</c:v>
                </c:pt>
                <c:pt idx="59">
                  <c:v>1.98</c:v>
                </c:pt>
                <c:pt idx="60">
                  <c:v>1.9700000000000002</c:v>
                </c:pt>
                <c:pt idx="61">
                  <c:v>1.99</c:v>
                </c:pt>
                <c:pt idx="62">
                  <c:v>1.9600000000000002</c:v>
                </c:pt>
                <c:pt idx="63">
                  <c:v>1.9700000000000002</c:v>
                </c:pt>
                <c:pt idx="64">
                  <c:v>2.0099999999999998</c:v>
                </c:pt>
                <c:pt idx="65">
                  <c:v>1.9700000000000002</c:v>
                </c:pt>
                <c:pt idx="66">
                  <c:v>1.9700000000000002</c:v>
                </c:pt>
                <c:pt idx="67">
                  <c:v>2</c:v>
                </c:pt>
                <c:pt idx="68">
                  <c:v>1.98</c:v>
                </c:pt>
                <c:pt idx="69">
                  <c:v>1.99</c:v>
                </c:pt>
                <c:pt idx="70">
                  <c:v>1.98</c:v>
                </c:pt>
                <c:pt idx="71">
                  <c:v>1.99</c:v>
                </c:pt>
                <c:pt idx="72">
                  <c:v>1.9600000000000002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1.9600000000000002</c:v>
                </c:pt>
                <c:pt idx="78">
                  <c:v>1.9700000000000002</c:v>
                </c:pt>
                <c:pt idx="79">
                  <c:v>1.98</c:v>
                </c:pt>
                <c:pt idx="80">
                  <c:v>1.98</c:v>
                </c:pt>
                <c:pt idx="81">
                  <c:v>1.98</c:v>
                </c:pt>
                <c:pt idx="82">
                  <c:v>2</c:v>
                </c:pt>
                <c:pt idx="83">
                  <c:v>2</c:v>
                </c:pt>
                <c:pt idx="84">
                  <c:v>1.9700000000000002</c:v>
                </c:pt>
                <c:pt idx="85">
                  <c:v>1.99</c:v>
                </c:pt>
                <c:pt idx="86">
                  <c:v>2.0699999999999998</c:v>
                </c:pt>
                <c:pt idx="87">
                  <c:v>1.99</c:v>
                </c:pt>
                <c:pt idx="88">
                  <c:v>1.99</c:v>
                </c:pt>
                <c:pt idx="89">
                  <c:v>2.0099999999999998</c:v>
                </c:pt>
                <c:pt idx="90">
                  <c:v>1.9700000000000002</c:v>
                </c:pt>
                <c:pt idx="91">
                  <c:v>1.99</c:v>
                </c:pt>
                <c:pt idx="92">
                  <c:v>1.9700000000000002</c:v>
                </c:pt>
                <c:pt idx="93">
                  <c:v>1.98</c:v>
                </c:pt>
                <c:pt idx="94">
                  <c:v>1.9700000000000002</c:v>
                </c:pt>
                <c:pt idx="95">
                  <c:v>1.98</c:v>
                </c:pt>
                <c:pt idx="96">
                  <c:v>1.9500000000000002</c:v>
                </c:pt>
                <c:pt idx="97">
                  <c:v>1.98</c:v>
                </c:pt>
                <c:pt idx="98">
                  <c:v>1.9600000000000002</c:v>
                </c:pt>
                <c:pt idx="99">
                  <c:v>1.9700000000000002</c:v>
                </c:pt>
                <c:pt idx="100">
                  <c:v>1.9600000000000002</c:v>
                </c:pt>
                <c:pt idx="101">
                  <c:v>1.9600000000000002</c:v>
                </c:pt>
                <c:pt idx="102">
                  <c:v>1.9600000000000002</c:v>
                </c:pt>
                <c:pt idx="103">
                  <c:v>1.98</c:v>
                </c:pt>
                <c:pt idx="104">
                  <c:v>1.98</c:v>
                </c:pt>
                <c:pt idx="105">
                  <c:v>1.9400000000000002</c:v>
                </c:pt>
                <c:pt idx="106">
                  <c:v>1.98</c:v>
                </c:pt>
                <c:pt idx="107">
                  <c:v>1.99</c:v>
                </c:pt>
                <c:pt idx="108">
                  <c:v>1.99</c:v>
                </c:pt>
                <c:pt idx="109">
                  <c:v>1.98</c:v>
                </c:pt>
                <c:pt idx="110">
                  <c:v>1.98</c:v>
                </c:pt>
                <c:pt idx="111">
                  <c:v>1.99</c:v>
                </c:pt>
                <c:pt idx="112">
                  <c:v>1.98</c:v>
                </c:pt>
                <c:pt idx="113">
                  <c:v>1.99</c:v>
                </c:pt>
                <c:pt idx="114">
                  <c:v>2.0099999999999998</c:v>
                </c:pt>
                <c:pt idx="115">
                  <c:v>1.99</c:v>
                </c:pt>
                <c:pt idx="116">
                  <c:v>1.9700000000000002</c:v>
                </c:pt>
                <c:pt idx="117">
                  <c:v>1.99</c:v>
                </c:pt>
                <c:pt idx="118">
                  <c:v>1.99</c:v>
                </c:pt>
                <c:pt idx="119">
                  <c:v>1.9400000000000002</c:v>
                </c:pt>
                <c:pt idx="120">
                  <c:v>2</c:v>
                </c:pt>
                <c:pt idx="121">
                  <c:v>1.99</c:v>
                </c:pt>
                <c:pt idx="122">
                  <c:v>1.9700000000000002</c:v>
                </c:pt>
                <c:pt idx="123">
                  <c:v>1.98</c:v>
                </c:pt>
                <c:pt idx="124">
                  <c:v>1.98</c:v>
                </c:pt>
                <c:pt idx="125">
                  <c:v>1.98</c:v>
                </c:pt>
                <c:pt idx="126">
                  <c:v>1.98</c:v>
                </c:pt>
                <c:pt idx="127">
                  <c:v>1.98</c:v>
                </c:pt>
                <c:pt idx="128">
                  <c:v>1.99</c:v>
                </c:pt>
                <c:pt idx="129">
                  <c:v>1.99</c:v>
                </c:pt>
                <c:pt idx="130">
                  <c:v>1.99</c:v>
                </c:pt>
                <c:pt idx="131">
                  <c:v>1.98</c:v>
                </c:pt>
                <c:pt idx="132">
                  <c:v>1.98</c:v>
                </c:pt>
                <c:pt idx="133">
                  <c:v>1.99</c:v>
                </c:pt>
                <c:pt idx="134">
                  <c:v>2.0099999999999998</c:v>
                </c:pt>
                <c:pt idx="135">
                  <c:v>1.9700000000000002</c:v>
                </c:pt>
                <c:pt idx="136">
                  <c:v>2.0099999999999998</c:v>
                </c:pt>
                <c:pt idx="137">
                  <c:v>1.99</c:v>
                </c:pt>
                <c:pt idx="138">
                  <c:v>1.98</c:v>
                </c:pt>
                <c:pt idx="139">
                  <c:v>1.9700000000000002</c:v>
                </c:pt>
                <c:pt idx="140">
                  <c:v>1.98</c:v>
                </c:pt>
                <c:pt idx="141">
                  <c:v>1.98</c:v>
                </c:pt>
                <c:pt idx="142">
                  <c:v>2</c:v>
                </c:pt>
                <c:pt idx="143">
                  <c:v>1.99</c:v>
                </c:pt>
                <c:pt idx="144">
                  <c:v>2</c:v>
                </c:pt>
                <c:pt idx="145">
                  <c:v>1.99</c:v>
                </c:pt>
                <c:pt idx="146">
                  <c:v>1.98</c:v>
                </c:pt>
                <c:pt idx="147">
                  <c:v>2</c:v>
                </c:pt>
                <c:pt idx="148">
                  <c:v>1.9600000000000002</c:v>
                </c:pt>
                <c:pt idx="149">
                  <c:v>1.99</c:v>
                </c:pt>
                <c:pt idx="150">
                  <c:v>2</c:v>
                </c:pt>
                <c:pt idx="151">
                  <c:v>1.98</c:v>
                </c:pt>
                <c:pt idx="152">
                  <c:v>2</c:v>
                </c:pt>
                <c:pt idx="153">
                  <c:v>1.98</c:v>
                </c:pt>
                <c:pt idx="154">
                  <c:v>2</c:v>
                </c:pt>
                <c:pt idx="155">
                  <c:v>1.98</c:v>
                </c:pt>
                <c:pt idx="156">
                  <c:v>1.99</c:v>
                </c:pt>
                <c:pt idx="157">
                  <c:v>1.99</c:v>
                </c:pt>
                <c:pt idx="158">
                  <c:v>1.99</c:v>
                </c:pt>
                <c:pt idx="159">
                  <c:v>1.98</c:v>
                </c:pt>
                <c:pt idx="160">
                  <c:v>1.9700000000000002</c:v>
                </c:pt>
                <c:pt idx="161">
                  <c:v>2</c:v>
                </c:pt>
                <c:pt idx="162">
                  <c:v>1.99</c:v>
                </c:pt>
                <c:pt idx="163">
                  <c:v>2.02</c:v>
                </c:pt>
                <c:pt idx="164">
                  <c:v>1.98</c:v>
                </c:pt>
                <c:pt idx="165">
                  <c:v>1.99</c:v>
                </c:pt>
                <c:pt idx="166">
                  <c:v>2.0099999999999998</c:v>
                </c:pt>
                <c:pt idx="167">
                  <c:v>1.99</c:v>
                </c:pt>
                <c:pt idx="168">
                  <c:v>2</c:v>
                </c:pt>
                <c:pt idx="169">
                  <c:v>2.0099999999999998</c:v>
                </c:pt>
                <c:pt idx="170">
                  <c:v>1.99</c:v>
                </c:pt>
                <c:pt idx="171">
                  <c:v>1.98</c:v>
                </c:pt>
                <c:pt idx="172">
                  <c:v>1.99</c:v>
                </c:pt>
                <c:pt idx="173">
                  <c:v>1.99</c:v>
                </c:pt>
                <c:pt idx="174">
                  <c:v>1.99</c:v>
                </c:pt>
                <c:pt idx="175">
                  <c:v>2</c:v>
                </c:pt>
                <c:pt idx="176">
                  <c:v>1.99</c:v>
                </c:pt>
                <c:pt idx="177">
                  <c:v>2</c:v>
                </c:pt>
                <c:pt idx="178">
                  <c:v>1.99</c:v>
                </c:pt>
                <c:pt idx="179">
                  <c:v>2</c:v>
                </c:pt>
                <c:pt idx="180">
                  <c:v>2.02</c:v>
                </c:pt>
                <c:pt idx="181">
                  <c:v>1.99</c:v>
                </c:pt>
                <c:pt idx="182">
                  <c:v>2</c:v>
                </c:pt>
                <c:pt idx="183">
                  <c:v>2</c:v>
                </c:pt>
                <c:pt idx="184">
                  <c:v>1.98</c:v>
                </c:pt>
                <c:pt idx="185">
                  <c:v>2.0099999999999998</c:v>
                </c:pt>
                <c:pt idx="186">
                  <c:v>1.99</c:v>
                </c:pt>
                <c:pt idx="187">
                  <c:v>1.99</c:v>
                </c:pt>
                <c:pt idx="188">
                  <c:v>2.0099999999999998</c:v>
                </c:pt>
                <c:pt idx="189">
                  <c:v>2</c:v>
                </c:pt>
                <c:pt idx="190">
                  <c:v>2</c:v>
                </c:pt>
                <c:pt idx="191">
                  <c:v>1.98</c:v>
                </c:pt>
                <c:pt idx="192">
                  <c:v>1.98</c:v>
                </c:pt>
                <c:pt idx="193">
                  <c:v>2</c:v>
                </c:pt>
                <c:pt idx="194">
                  <c:v>2</c:v>
                </c:pt>
                <c:pt idx="195">
                  <c:v>2.0099999999999998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1.99</c:v>
                </c:pt>
                <c:pt idx="200">
                  <c:v>2.0099999999999998</c:v>
                </c:pt>
                <c:pt idx="201">
                  <c:v>2</c:v>
                </c:pt>
                <c:pt idx="202">
                  <c:v>2</c:v>
                </c:pt>
                <c:pt idx="203">
                  <c:v>1.98</c:v>
                </c:pt>
                <c:pt idx="204">
                  <c:v>1.9600000000000002</c:v>
                </c:pt>
                <c:pt idx="205">
                  <c:v>2</c:v>
                </c:pt>
                <c:pt idx="206">
                  <c:v>2</c:v>
                </c:pt>
                <c:pt idx="207">
                  <c:v>2.0099999999999998</c:v>
                </c:pt>
                <c:pt idx="208">
                  <c:v>2</c:v>
                </c:pt>
                <c:pt idx="209">
                  <c:v>2</c:v>
                </c:pt>
                <c:pt idx="210">
                  <c:v>1.99</c:v>
                </c:pt>
                <c:pt idx="211">
                  <c:v>1.99</c:v>
                </c:pt>
                <c:pt idx="212">
                  <c:v>1.9700000000000002</c:v>
                </c:pt>
                <c:pt idx="213">
                  <c:v>1.98</c:v>
                </c:pt>
                <c:pt idx="214">
                  <c:v>1.99</c:v>
                </c:pt>
                <c:pt idx="215">
                  <c:v>1.98</c:v>
                </c:pt>
                <c:pt idx="216">
                  <c:v>1.99</c:v>
                </c:pt>
                <c:pt idx="217">
                  <c:v>1.9700000000000002</c:v>
                </c:pt>
                <c:pt idx="218">
                  <c:v>2</c:v>
                </c:pt>
                <c:pt idx="219">
                  <c:v>1.9700000000000002</c:v>
                </c:pt>
                <c:pt idx="220">
                  <c:v>1.98</c:v>
                </c:pt>
                <c:pt idx="221">
                  <c:v>2</c:v>
                </c:pt>
                <c:pt idx="222">
                  <c:v>1.99</c:v>
                </c:pt>
                <c:pt idx="223">
                  <c:v>1.98</c:v>
                </c:pt>
                <c:pt idx="224">
                  <c:v>1.99</c:v>
                </c:pt>
                <c:pt idx="225">
                  <c:v>2.0099999999999998</c:v>
                </c:pt>
                <c:pt idx="226">
                  <c:v>1.9600000000000002</c:v>
                </c:pt>
                <c:pt idx="227">
                  <c:v>1.99</c:v>
                </c:pt>
                <c:pt idx="228">
                  <c:v>1.99</c:v>
                </c:pt>
                <c:pt idx="229">
                  <c:v>1.98</c:v>
                </c:pt>
                <c:pt idx="230">
                  <c:v>1.9600000000000002</c:v>
                </c:pt>
                <c:pt idx="231">
                  <c:v>1.99</c:v>
                </c:pt>
                <c:pt idx="232">
                  <c:v>1.99</c:v>
                </c:pt>
                <c:pt idx="233">
                  <c:v>2.02</c:v>
                </c:pt>
                <c:pt idx="234">
                  <c:v>1.9700000000000002</c:v>
                </c:pt>
                <c:pt idx="235">
                  <c:v>2</c:v>
                </c:pt>
                <c:pt idx="236">
                  <c:v>1.9700000000000002</c:v>
                </c:pt>
                <c:pt idx="237">
                  <c:v>1.98</c:v>
                </c:pt>
                <c:pt idx="238">
                  <c:v>1.9600000000000002</c:v>
                </c:pt>
                <c:pt idx="239">
                  <c:v>1.9700000000000002</c:v>
                </c:pt>
                <c:pt idx="240">
                  <c:v>1.9700000000000002</c:v>
                </c:pt>
                <c:pt idx="241">
                  <c:v>1.99</c:v>
                </c:pt>
                <c:pt idx="242">
                  <c:v>1.98</c:v>
                </c:pt>
                <c:pt idx="243">
                  <c:v>1.9600000000000002</c:v>
                </c:pt>
                <c:pt idx="244">
                  <c:v>1.99</c:v>
                </c:pt>
                <c:pt idx="245">
                  <c:v>1.9700000000000002</c:v>
                </c:pt>
                <c:pt idx="246">
                  <c:v>1.9700000000000002</c:v>
                </c:pt>
                <c:pt idx="247">
                  <c:v>2</c:v>
                </c:pt>
                <c:pt idx="248">
                  <c:v>1.98</c:v>
                </c:pt>
                <c:pt idx="249">
                  <c:v>1.9700000000000002</c:v>
                </c:pt>
                <c:pt idx="250">
                  <c:v>1.98</c:v>
                </c:pt>
                <c:pt idx="251">
                  <c:v>1.9700000000000002</c:v>
                </c:pt>
                <c:pt idx="252">
                  <c:v>1.9700000000000002</c:v>
                </c:pt>
                <c:pt idx="253">
                  <c:v>2.0099999999999998</c:v>
                </c:pt>
                <c:pt idx="254">
                  <c:v>1.9700000000000002</c:v>
                </c:pt>
                <c:pt idx="255">
                  <c:v>1.98</c:v>
                </c:pt>
                <c:pt idx="256">
                  <c:v>1.99</c:v>
                </c:pt>
                <c:pt idx="257">
                  <c:v>1.99</c:v>
                </c:pt>
                <c:pt idx="258">
                  <c:v>1.9600000000000002</c:v>
                </c:pt>
                <c:pt idx="259">
                  <c:v>1.98</c:v>
                </c:pt>
                <c:pt idx="260">
                  <c:v>1.98</c:v>
                </c:pt>
                <c:pt idx="261">
                  <c:v>2</c:v>
                </c:pt>
                <c:pt idx="262">
                  <c:v>1.98</c:v>
                </c:pt>
                <c:pt idx="263">
                  <c:v>1.9700000000000002</c:v>
                </c:pt>
                <c:pt idx="264">
                  <c:v>1.9700000000000002</c:v>
                </c:pt>
                <c:pt idx="265">
                  <c:v>1.9600000000000002</c:v>
                </c:pt>
                <c:pt idx="266">
                  <c:v>1.98</c:v>
                </c:pt>
                <c:pt idx="267">
                  <c:v>1.99</c:v>
                </c:pt>
                <c:pt idx="268">
                  <c:v>2</c:v>
                </c:pt>
                <c:pt idx="269">
                  <c:v>1.9700000000000002</c:v>
                </c:pt>
                <c:pt idx="270">
                  <c:v>2</c:v>
                </c:pt>
                <c:pt idx="271">
                  <c:v>2</c:v>
                </c:pt>
                <c:pt idx="272">
                  <c:v>1.98</c:v>
                </c:pt>
                <c:pt idx="273">
                  <c:v>1.9700000000000002</c:v>
                </c:pt>
                <c:pt idx="274">
                  <c:v>1.99</c:v>
                </c:pt>
                <c:pt idx="275">
                  <c:v>1.98</c:v>
                </c:pt>
                <c:pt idx="276">
                  <c:v>1.98</c:v>
                </c:pt>
                <c:pt idx="277">
                  <c:v>1.9700000000000002</c:v>
                </c:pt>
                <c:pt idx="278">
                  <c:v>1.9700000000000002</c:v>
                </c:pt>
                <c:pt idx="279">
                  <c:v>1.98</c:v>
                </c:pt>
                <c:pt idx="280">
                  <c:v>1.9500000000000002</c:v>
                </c:pt>
                <c:pt idx="281">
                  <c:v>1.99</c:v>
                </c:pt>
                <c:pt idx="282">
                  <c:v>1.99</c:v>
                </c:pt>
                <c:pt idx="283">
                  <c:v>1.99</c:v>
                </c:pt>
                <c:pt idx="284">
                  <c:v>2.0099999999999998</c:v>
                </c:pt>
                <c:pt idx="285">
                  <c:v>1.9700000000000002</c:v>
                </c:pt>
                <c:pt idx="286">
                  <c:v>1.99</c:v>
                </c:pt>
                <c:pt idx="287">
                  <c:v>1.99</c:v>
                </c:pt>
                <c:pt idx="288">
                  <c:v>1.9700000000000002</c:v>
                </c:pt>
                <c:pt idx="289">
                  <c:v>1.99</c:v>
                </c:pt>
                <c:pt idx="290">
                  <c:v>1.98</c:v>
                </c:pt>
                <c:pt idx="291">
                  <c:v>1.98</c:v>
                </c:pt>
                <c:pt idx="292">
                  <c:v>1.9700000000000002</c:v>
                </c:pt>
                <c:pt idx="293">
                  <c:v>1.99</c:v>
                </c:pt>
                <c:pt idx="294">
                  <c:v>2</c:v>
                </c:pt>
                <c:pt idx="295">
                  <c:v>2.02</c:v>
                </c:pt>
                <c:pt idx="296">
                  <c:v>1.98</c:v>
                </c:pt>
                <c:pt idx="297">
                  <c:v>1.99</c:v>
                </c:pt>
                <c:pt idx="298">
                  <c:v>1.98</c:v>
                </c:pt>
                <c:pt idx="299">
                  <c:v>1.9700000000000002</c:v>
                </c:pt>
                <c:pt idx="300">
                  <c:v>1.99</c:v>
                </c:pt>
                <c:pt idx="301">
                  <c:v>2</c:v>
                </c:pt>
                <c:pt idx="302">
                  <c:v>1.98</c:v>
                </c:pt>
                <c:pt idx="303">
                  <c:v>1.99</c:v>
                </c:pt>
                <c:pt idx="304">
                  <c:v>1.99</c:v>
                </c:pt>
                <c:pt idx="305">
                  <c:v>1.98</c:v>
                </c:pt>
                <c:pt idx="306">
                  <c:v>2.0099999999999998</c:v>
                </c:pt>
                <c:pt idx="307">
                  <c:v>2</c:v>
                </c:pt>
                <c:pt idx="308">
                  <c:v>1.99</c:v>
                </c:pt>
                <c:pt idx="309">
                  <c:v>1.98</c:v>
                </c:pt>
                <c:pt idx="310">
                  <c:v>2.0099999999999998</c:v>
                </c:pt>
                <c:pt idx="311">
                  <c:v>1.99</c:v>
                </c:pt>
                <c:pt idx="312">
                  <c:v>1.98</c:v>
                </c:pt>
                <c:pt idx="313">
                  <c:v>1.99</c:v>
                </c:pt>
                <c:pt idx="314">
                  <c:v>1.98</c:v>
                </c:pt>
                <c:pt idx="315">
                  <c:v>1.99</c:v>
                </c:pt>
                <c:pt idx="316">
                  <c:v>2</c:v>
                </c:pt>
                <c:pt idx="317">
                  <c:v>2.0099999999999998</c:v>
                </c:pt>
                <c:pt idx="318">
                  <c:v>2</c:v>
                </c:pt>
                <c:pt idx="319">
                  <c:v>2.0099999999999998</c:v>
                </c:pt>
                <c:pt idx="320">
                  <c:v>1.99</c:v>
                </c:pt>
                <c:pt idx="321">
                  <c:v>1.98</c:v>
                </c:pt>
                <c:pt idx="322">
                  <c:v>1.98</c:v>
                </c:pt>
                <c:pt idx="323">
                  <c:v>1.99</c:v>
                </c:pt>
                <c:pt idx="324">
                  <c:v>1.99</c:v>
                </c:pt>
                <c:pt idx="325">
                  <c:v>2.0099999999999998</c:v>
                </c:pt>
                <c:pt idx="326">
                  <c:v>1.98</c:v>
                </c:pt>
                <c:pt idx="327">
                  <c:v>2</c:v>
                </c:pt>
                <c:pt idx="328">
                  <c:v>1.98</c:v>
                </c:pt>
                <c:pt idx="329">
                  <c:v>1.9600000000000002</c:v>
                </c:pt>
                <c:pt idx="330">
                  <c:v>1.98</c:v>
                </c:pt>
                <c:pt idx="331">
                  <c:v>2.0099999999999998</c:v>
                </c:pt>
                <c:pt idx="332">
                  <c:v>2</c:v>
                </c:pt>
                <c:pt idx="333">
                  <c:v>1.9700000000000002</c:v>
                </c:pt>
                <c:pt idx="334">
                  <c:v>1.99</c:v>
                </c:pt>
                <c:pt idx="335">
                  <c:v>1.99</c:v>
                </c:pt>
                <c:pt idx="336">
                  <c:v>1.99</c:v>
                </c:pt>
                <c:pt idx="337">
                  <c:v>1.99</c:v>
                </c:pt>
                <c:pt idx="338">
                  <c:v>2</c:v>
                </c:pt>
                <c:pt idx="339">
                  <c:v>2</c:v>
                </c:pt>
                <c:pt idx="340">
                  <c:v>1.99</c:v>
                </c:pt>
                <c:pt idx="341">
                  <c:v>1.99</c:v>
                </c:pt>
                <c:pt idx="342">
                  <c:v>1.99</c:v>
                </c:pt>
                <c:pt idx="343">
                  <c:v>2</c:v>
                </c:pt>
                <c:pt idx="344">
                  <c:v>1.99</c:v>
                </c:pt>
                <c:pt idx="345">
                  <c:v>1.98</c:v>
                </c:pt>
                <c:pt idx="346">
                  <c:v>2</c:v>
                </c:pt>
                <c:pt idx="347">
                  <c:v>1.98</c:v>
                </c:pt>
                <c:pt idx="348">
                  <c:v>2.0299999999999998</c:v>
                </c:pt>
                <c:pt idx="349">
                  <c:v>1.98</c:v>
                </c:pt>
                <c:pt idx="350">
                  <c:v>1.99</c:v>
                </c:pt>
                <c:pt idx="351">
                  <c:v>1.98</c:v>
                </c:pt>
                <c:pt idx="352">
                  <c:v>2.0099999999999998</c:v>
                </c:pt>
                <c:pt idx="353">
                  <c:v>1.99</c:v>
                </c:pt>
                <c:pt idx="354">
                  <c:v>1.99</c:v>
                </c:pt>
                <c:pt idx="355">
                  <c:v>1.98</c:v>
                </c:pt>
                <c:pt idx="356">
                  <c:v>1.98</c:v>
                </c:pt>
                <c:pt idx="357">
                  <c:v>1.99</c:v>
                </c:pt>
                <c:pt idx="358">
                  <c:v>2</c:v>
                </c:pt>
                <c:pt idx="359">
                  <c:v>1.9700000000000002</c:v>
                </c:pt>
                <c:pt idx="360">
                  <c:v>1.9700000000000002</c:v>
                </c:pt>
                <c:pt idx="361">
                  <c:v>2</c:v>
                </c:pt>
                <c:pt idx="362">
                  <c:v>1.99</c:v>
                </c:pt>
                <c:pt idx="363">
                  <c:v>1.99</c:v>
                </c:pt>
                <c:pt idx="364">
                  <c:v>1.9700000000000002</c:v>
                </c:pt>
                <c:pt idx="365">
                  <c:v>1.9600000000000002</c:v>
                </c:pt>
                <c:pt idx="366">
                  <c:v>2</c:v>
                </c:pt>
                <c:pt idx="367">
                  <c:v>1.99</c:v>
                </c:pt>
                <c:pt idx="368">
                  <c:v>1.98</c:v>
                </c:pt>
                <c:pt idx="369">
                  <c:v>2.0099999999999998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1.99</c:v>
                </c:pt>
                <c:pt idx="373">
                  <c:v>1.9700000000000002</c:v>
                </c:pt>
                <c:pt idx="374">
                  <c:v>2.0099999999999998</c:v>
                </c:pt>
                <c:pt idx="375">
                  <c:v>2.0099999999999998</c:v>
                </c:pt>
                <c:pt idx="376">
                  <c:v>2</c:v>
                </c:pt>
                <c:pt idx="377">
                  <c:v>2.0099999999999998</c:v>
                </c:pt>
                <c:pt idx="378">
                  <c:v>2</c:v>
                </c:pt>
                <c:pt idx="379">
                  <c:v>1.98</c:v>
                </c:pt>
                <c:pt idx="380">
                  <c:v>1.98</c:v>
                </c:pt>
                <c:pt idx="381">
                  <c:v>2</c:v>
                </c:pt>
                <c:pt idx="382">
                  <c:v>1.9600000000000002</c:v>
                </c:pt>
                <c:pt idx="383">
                  <c:v>1.98</c:v>
                </c:pt>
                <c:pt idx="384">
                  <c:v>2</c:v>
                </c:pt>
                <c:pt idx="385">
                  <c:v>2</c:v>
                </c:pt>
                <c:pt idx="386">
                  <c:v>1.99</c:v>
                </c:pt>
                <c:pt idx="387">
                  <c:v>1.99</c:v>
                </c:pt>
                <c:pt idx="388">
                  <c:v>1.99</c:v>
                </c:pt>
                <c:pt idx="389">
                  <c:v>2</c:v>
                </c:pt>
                <c:pt idx="390">
                  <c:v>1.98</c:v>
                </c:pt>
                <c:pt idx="391">
                  <c:v>1.99</c:v>
                </c:pt>
                <c:pt idx="392">
                  <c:v>1.98</c:v>
                </c:pt>
                <c:pt idx="393">
                  <c:v>1.99</c:v>
                </c:pt>
                <c:pt idx="394">
                  <c:v>2</c:v>
                </c:pt>
                <c:pt idx="395">
                  <c:v>2.02</c:v>
                </c:pt>
                <c:pt idx="396">
                  <c:v>1.99</c:v>
                </c:pt>
                <c:pt idx="397">
                  <c:v>2</c:v>
                </c:pt>
                <c:pt idx="398">
                  <c:v>1.98</c:v>
                </c:pt>
                <c:pt idx="399">
                  <c:v>1.99</c:v>
                </c:pt>
                <c:pt idx="400">
                  <c:v>1.9700000000000002</c:v>
                </c:pt>
                <c:pt idx="401">
                  <c:v>1.98</c:v>
                </c:pt>
                <c:pt idx="402">
                  <c:v>2.0099999999999998</c:v>
                </c:pt>
                <c:pt idx="403">
                  <c:v>1.98</c:v>
                </c:pt>
                <c:pt idx="404">
                  <c:v>2</c:v>
                </c:pt>
                <c:pt idx="405">
                  <c:v>2.0099999999999998</c:v>
                </c:pt>
                <c:pt idx="406">
                  <c:v>1.99</c:v>
                </c:pt>
                <c:pt idx="407">
                  <c:v>1.98</c:v>
                </c:pt>
                <c:pt idx="408">
                  <c:v>1.99</c:v>
                </c:pt>
                <c:pt idx="409">
                  <c:v>2</c:v>
                </c:pt>
                <c:pt idx="410">
                  <c:v>1.98</c:v>
                </c:pt>
                <c:pt idx="411">
                  <c:v>2</c:v>
                </c:pt>
                <c:pt idx="412">
                  <c:v>1.99</c:v>
                </c:pt>
                <c:pt idx="413">
                  <c:v>1.9700000000000002</c:v>
                </c:pt>
                <c:pt idx="414">
                  <c:v>1.99</c:v>
                </c:pt>
                <c:pt idx="415">
                  <c:v>1.9700000000000002</c:v>
                </c:pt>
                <c:pt idx="416">
                  <c:v>1.9700000000000002</c:v>
                </c:pt>
                <c:pt idx="417">
                  <c:v>1.9500000000000002</c:v>
                </c:pt>
                <c:pt idx="418">
                  <c:v>1.9500000000000002</c:v>
                </c:pt>
                <c:pt idx="419">
                  <c:v>1.99</c:v>
                </c:pt>
                <c:pt idx="420">
                  <c:v>1.99</c:v>
                </c:pt>
                <c:pt idx="421">
                  <c:v>1.9600000000000002</c:v>
                </c:pt>
                <c:pt idx="422">
                  <c:v>1.98</c:v>
                </c:pt>
                <c:pt idx="423">
                  <c:v>1.99</c:v>
                </c:pt>
                <c:pt idx="424">
                  <c:v>2.0099999999999998</c:v>
                </c:pt>
                <c:pt idx="425">
                  <c:v>1.98</c:v>
                </c:pt>
                <c:pt idx="426">
                  <c:v>1.99</c:v>
                </c:pt>
                <c:pt idx="427">
                  <c:v>1.98</c:v>
                </c:pt>
                <c:pt idx="428">
                  <c:v>1.9700000000000002</c:v>
                </c:pt>
                <c:pt idx="429">
                  <c:v>1.9700000000000002</c:v>
                </c:pt>
                <c:pt idx="430">
                  <c:v>1.99</c:v>
                </c:pt>
                <c:pt idx="431">
                  <c:v>2.0099999999999998</c:v>
                </c:pt>
                <c:pt idx="432">
                  <c:v>1.99</c:v>
                </c:pt>
                <c:pt idx="433">
                  <c:v>1.98</c:v>
                </c:pt>
                <c:pt idx="434">
                  <c:v>1.9700000000000002</c:v>
                </c:pt>
                <c:pt idx="435">
                  <c:v>2</c:v>
                </c:pt>
                <c:pt idx="436">
                  <c:v>1.99</c:v>
                </c:pt>
                <c:pt idx="437">
                  <c:v>1.98</c:v>
                </c:pt>
                <c:pt idx="438">
                  <c:v>1.99</c:v>
                </c:pt>
                <c:pt idx="439">
                  <c:v>2</c:v>
                </c:pt>
                <c:pt idx="440">
                  <c:v>1.9600000000000002</c:v>
                </c:pt>
                <c:pt idx="441">
                  <c:v>2</c:v>
                </c:pt>
                <c:pt idx="442">
                  <c:v>2</c:v>
                </c:pt>
                <c:pt idx="443">
                  <c:v>1.98</c:v>
                </c:pt>
                <c:pt idx="444">
                  <c:v>1.99</c:v>
                </c:pt>
                <c:pt idx="445">
                  <c:v>1.98</c:v>
                </c:pt>
                <c:pt idx="446">
                  <c:v>1.98</c:v>
                </c:pt>
                <c:pt idx="447">
                  <c:v>1.98</c:v>
                </c:pt>
                <c:pt idx="448">
                  <c:v>1.9700000000000002</c:v>
                </c:pt>
                <c:pt idx="449">
                  <c:v>2.0299999999999998</c:v>
                </c:pt>
                <c:pt idx="450">
                  <c:v>1.99</c:v>
                </c:pt>
                <c:pt idx="451">
                  <c:v>2</c:v>
                </c:pt>
                <c:pt idx="452">
                  <c:v>1.9700000000000002</c:v>
                </c:pt>
                <c:pt idx="453">
                  <c:v>1.99</c:v>
                </c:pt>
                <c:pt idx="454">
                  <c:v>1.99</c:v>
                </c:pt>
                <c:pt idx="455">
                  <c:v>1.9700000000000002</c:v>
                </c:pt>
                <c:pt idx="456">
                  <c:v>1.99</c:v>
                </c:pt>
                <c:pt idx="457">
                  <c:v>1.98</c:v>
                </c:pt>
                <c:pt idx="458">
                  <c:v>1.98</c:v>
                </c:pt>
                <c:pt idx="459">
                  <c:v>2.02</c:v>
                </c:pt>
                <c:pt idx="460">
                  <c:v>1.98</c:v>
                </c:pt>
                <c:pt idx="461">
                  <c:v>1.9700000000000002</c:v>
                </c:pt>
                <c:pt idx="462">
                  <c:v>2.0099999999999998</c:v>
                </c:pt>
                <c:pt idx="463">
                  <c:v>1.98</c:v>
                </c:pt>
                <c:pt idx="464">
                  <c:v>1.99</c:v>
                </c:pt>
                <c:pt idx="465">
                  <c:v>1.99</c:v>
                </c:pt>
                <c:pt idx="466">
                  <c:v>1.9400000000000002</c:v>
                </c:pt>
                <c:pt idx="467">
                  <c:v>1.99</c:v>
                </c:pt>
                <c:pt idx="468">
                  <c:v>1.98</c:v>
                </c:pt>
                <c:pt idx="469">
                  <c:v>1.98</c:v>
                </c:pt>
                <c:pt idx="470">
                  <c:v>1.9600000000000002</c:v>
                </c:pt>
                <c:pt idx="471">
                  <c:v>1.9700000000000002</c:v>
                </c:pt>
                <c:pt idx="472">
                  <c:v>1.9700000000000002</c:v>
                </c:pt>
                <c:pt idx="473">
                  <c:v>1.98</c:v>
                </c:pt>
                <c:pt idx="474">
                  <c:v>1.9700000000000002</c:v>
                </c:pt>
                <c:pt idx="475">
                  <c:v>1.98</c:v>
                </c:pt>
                <c:pt idx="476">
                  <c:v>1.99</c:v>
                </c:pt>
                <c:pt idx="477">
                  <c:v>2</c:v>
                </c:pt>
                <c:pt idx="478">
                  <c:v>1.98</c:v>
                </c:pt>
                <c:pt idx="479">
                  <c:v>1.99</c:v>
                </c:pt>
                <c:pt idx="480">
                  <c:v>1.98</c:v>
                </c:pt>
                <c:pt idx="481">
                  <c:v>2</c:v>
                </c:pt>
                <c:pt idx="482">
                  <c:v>1.98</c:v>
                </c:pt>
                <c:pt idx="483">
                  <c:v>1.9700000000000002</c:v>
                </c:pt>
                <c:pt idx="484">
                  <c:v>1.99</c:v>
                </c:pt>
                <c:pt idx="485">
                  <c:v>1.98</c:v>
                </c:pt>
                <c:pt idx="486">
                  <c:v>1.99</c:v>
                </c:pt>
                <c:pt idx="487">
                  <c:v>1.99</c:v>
                </c:pt>
                <c:pt idx="488">
                  <c:v>1.98</c:v>
                </c:pt>
                <c:pt idx="489">
                  <c:v>2.0099999999999998</c:v>
                </c:pt>
                <c:pt idx="490">
                  <c:v>1.98</c:v>
                </c:pt>
                <c:pt idx="491">
                  <c:v>1.99</c:v>
                </c:pt>
                <c:pt idx="492">
                  <c:v>1.99</c:v>
                </c:pt>
                <c:pt idx="493">
                  <c:v>1.9700000000000002</c:v>
                </c:pt>
                <c:pt idx="494">
                  <c:v>2</c:v>
                </c:pt>
                <c:pt idx="495">
                  <c:v>1.98</c:v>
                </c:pt>
                <c:pt idx="496">
                  <c:v>2.0099999999999998</c:v>
                </c:pt>
                <c:pt idx="497">
                  <c:v>1.9500000000000002</c:v>
                </c:pt>
                <c:pt idx="498">
                  <c:v>1.9600000000000002</c:v>
                </c:pt>
                <c:pt idx="499">
                  <c:v>1.9300000000000002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1.8800000000000001</c:v>
                </c:pt>
                <c:pt idx="503">
                  <c:v>1.84</c:v>
                </c:pt>
                <c:pt idx="504">
                  <c:v>1.86</c:v>
                </c:pt>
                <c:pt idx="505">
                  <c:v>1.82</c:v>
                </c:pt>
                <c:pt idx="506">
                  <c:v>1.84</c:v>
                </c:pt>
                <c:pt idx="507">
                  <c:v>1.82</c:v>
                </c:pt>
                <c:pt idx="508">
                  <c:v>1.78</c:v>
                </c:pt>
                <c:pt idx="509">
                  <c:v>1.8</c:v>
                </c:pt>
                <c:pt idx="510">
                  <c:v>1.7200000000000002</c:v>
                </c:pt>
                <c:pt idx="511">
                  <c:v>1.73</c:v>
                </c:pt>
                <c:pt idx="512">
                  <c:v>1.7213688789409001</c:v>
                </c:pt>
                <c:pt idx="513">
                  <c:v>1.686129483259966</c:v>
                </c:pt>
                <c:pt idx="514">
                  <c:v>1.6452957948301139</c:v>
                </c:pt>
                <c:pt idx="515">
                  <c:v>1.6201861542138161</c:v>
                </c:pt>
                <c:pt idx="516">
                  <c:v>1.59279138876002</c:v>
                </c:pt>
                <c:pt idx="517">
                  <c:v>1.575710577701817</c:v>
                </c:pt>
                <c:pt idx="518">
                  <c:v>1.5501798457695051</c:v>
                </c:pt>
                <c:pt idx="519">
                  <c:v>1.524693208111354</c:v>
                </c:pt>
                <c:pt idx="520">
                  <c:v>1.519298978399414</c:v>
                </c:pt>
                <c:pt idx="521">
                  <c:v>1.4987904488883079</c:v>
                </c:pt>
                <c:pt idx="522">
                  <c:v>1.4875591278519651</c:v>
                </c:pt>
                <c:pt idx="523">
                  <c:v>1.455160007090823</c:v>
                </c:pt>
                <c:pt idx="524">
                  <c:v>1.4221500288119431</c:v>
                </c:pt>
                <c:pt idx="525">
                  <c:v>1.417417809806798</c:v>
                </c:pt>
                <c:pt idx="526">
                  <c:v>1.392923133031879</c:v>
                </c:pt>
                <c:pt idx="527">
                  <c:v>1.372023731614862</c:v>
                </c:pt>
                <c:pt idx="528">
                  <c:v>1.3569036739280651</c:v>
                </c:pt>
                <c:pt idx="529">
                  <c:v>1.3393652795617239</c:v>
                </c:pt>
                <c:pt idx="530">
                  <c:v>1.3084012219998089</c:v>
                </c:pt>
                <c:pt idx="531">
                  <c:v>1.287219873302869</c:v>
                </c:pt>
                <c:pt idx="532">
                  <c:v>1.262317368569289</c:v>
                </c:pt>
                <c:pt idx="533">
                  <c:v>1.251607304421184</c:v>
                </c:pt>
                <c:pt idx="534">
                  <c:v>1.2347557798208439</c:v>
                </c:pt>
                <c:pt idx="535">
                  <c:v>1.210283381187532</c:v>
                </c:pt>
                <c:pt idx="536">
                  <c:v>1.1912228014084849</c:v>
                </c:pt>
                <c:pt idx="537">
                  <c:v>1.1811687052572371</c:v>
                </c:pt>
                <c:pt idx="538">
                  <c:v>1.161146705747115</c:v>
                </c:pt>
                <c:pt idx="539">
                  <c:v>1.146975872246905</c:v>
                </c:pt>
                <c:pt idx="540">
                  <c:v>1.1329743094529989</c:v>
                </c:pt>
                <c:pt idx="541">
                  <c:v>1.114942092983954</c:v>
                </c:pt>
                <c:pt idx="542">
                  <c:v>1.0916754744322219</c:v>
                </c:pt>
                <c:pt idx="543">
                  <c:v>1.081915343012926</c:v>
                </c:pt>
                <c:pt idx="544">
                  <c:v>1.0593733932276279</c:v>
                </c:pt>
                <c:pt idx="545">
                  <c:v>1.0571298952760211</c:v>
                </c:pt>
                <c:pt idx="546">
                  <c:v>1.029293302990963</c:v>
                </c:pt>
                <c:pt idx="547">
                  <c:v>1.0279836987555999</c:v>
                </c:pt>
                <c:pt idx="548">
                  <c:v>0.99754679661008394</c:v>
                </c:pt>
                <c:pt idx="549">
                  <c:v>0.98850008043487092</c:v>
                </c:pt>
                <c:pt idx="550">
                  <c:v>0.97592211865162015</c:v>
                </c:pt>
                <c:pt idx="551">
                  <c:v>0.95261852271026037</c:v>
                </c:pt>
                <c:pt idx="552">
                  <c:v>0.94092961226205463</c:v>
                </c:pt>
                <c:pt idx="553">
                  <c:v>0.92748462422964451</c:v>
                </c:pt>
                <c:pt idx="554">
                  <c:v>0.91796227718817935</c:v>
                </c:pt>
                <c:pt idx="555">
                  <c:v>0.90004875328162759</c:v>
                </c:pt>
                <c:pt idx="556">
                  <c:v>0.88695294044023054</c:v>
                </c:pt>
                <c:pt idx="557">
                  <c:v>0.87190962757758084</c:v>
                </c:pt>
                <c:pt idx="558">
                  <c:v>0.86223751656251835</c:v>
                </c:pt>
                <c:pt idx="559">
                  <c:v>0.85074276889886735</c:v>
                </c:pt>
                <c:pt idx="560">
                  <c:v>0.84730859185180285</c:v>
                </c:pt>
                <c:pt idx="561">
                  <c:v>0.82533744423575184</c:v>
                </c:pt>
                <c:pt idx="562">
                  <c:v>0.80723439063712465</c:v>
                </c:pt>
                <c:pt idx="563">
                  <c:v>0.79988070356133378</c:v>
                </c:pt>
                <c:pt idx="564">
                  <c:v>0.79880441049431949</c:v>
                </c:pt>
                <c:pt idx="565">
                  <c:v>0.78035491675427404</c:v>
                </c:pt>
                <c:pt idx="566">
                  <c:v>0.75914692496473024</c:v>
                </c:pt>
                <c:pt idx="567">
                  <c:v>0.75852193013707903</c:v>
                </c:pt>
                <c:pt idx="568">
                  <c:v>0.73210842496276285</c:v>
                </c:pt>
                <c:pt idx="569">
                  <c:v>0.73314901950860112</c:v>
                </c:pt>
                <c:pt idx="570">
                  <c:v>0.71476258232159473</c:v>
                </c:pt>
                <c:pt idx="571">
                  <c:v>0.71425086451775255</c:v>
                </c:pt>
                <c:pt idx="572">
                  <c:v>0.69771240548881319</c:v>
                </c:pt>
                <c:pt idx="573">
                  <c:v>0.69591447293908104</c:v>
                </c:pt>
                <c:pt idx="574">
                  <c:v>0.67127456538349017</c:v>
                </c:pt>
                <c:pt idx="575">
                  <c:v>0.66100999672158067</c:v>
                </c:pt>
                <c:pt idx="576">
                  <c:v>0.66633877082997639</c:v>
                </c:pt>
                <c:pt idx="577">
                  <c:v>0.64321602869434802</c:v>
                </c:pt>
                <c:pt idx="578">
                  <c:v>0.64598393545039812</c:v>
                </c:pt>
                <c:pt idx="579">
                  <c:v>0.63343570726009413</c:v>
                </c:pt>
                <c:pt idx="580">
                  <c:v>0.61294999910752335</c:v>
                </c:pt>
                <c:pt idx="581">
                  <c:v>0.6178812184357545</c:v>
                </c:pt>
                <c:pt idx="582">
                  <c:v>0.60504837770100517</c:v>
                </c:pt>
                <c:pt idx="583">
                  <c:v>0.59235811117641268</c:v>
                </c:pt>
                <c:pt idx="584">
                  <c:v>0.5735545956138548</c:v>
                </c:pt>
                <c:pt idx="585">
                  <c:v>0.57701198123474018</c:v>
                </c:pt>
                <c:pt idx="586">
                  <c:v>0.57434906107296424</c:v>
                </c:pt>
                <c:pt idx="587">
                  <c:v>0.56376825261303187</c:v>
                </c:pt>
                <c:pt idx="588">
                  <c:v>0.5425861409505367</c:v>
                </c:pt>
                <c:pt idx="589">
                  <c:v>0.54745830410084118</c:v>
                </c:pt>
                <c:pt idx="590">
                  <c:v>0.53376904793468727</c:v>
                </c:pt>
                <c:pt idx="591">
                  <c:v>0.51443719609391481</c:v>
                </c:pt>
                <c:pt idx="592">
                  <c:v>0.50597264544919829</c:v>
                </c:pt>
                <c:pt idx="593">
                  <c:v>0.50823908093538328</c:v>
                </c:pt>
                <c:pt idx="594">
                  <c:v>0.49149780276654098</c:v>
                </c:pt>
                <c:pt idx="595">
                  <c:v>0.50598774196929774</c:v>
                </c:pt>
                <c:pt idx="596">
                  <c:v>0.49307187369836858</c:v>
                </c:pt>
                <c:pt idx="597">
                  <c:v>0.48317256596725061</c:v>
                </c:pt>
                <c:pt idx="598">
                  <c:v>0.49707929022935532</c:v>
                </c:pt>
                <c:pt idx="599">
                  <c:v>0.47665850474840982</c:v>
                </c:pt>
                <c:pt idx="600">
                  <c:v>0.47069086544738142</c:v>
                </c:pt>
                <c:pt idx="601">
                  <c:v>0.4697071367076161</c:v>
                </c:pt>
                <c:pt idx="602">
                  <c:v>0.47225765280849991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D-4AA3-A77E-2A827F7F8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6191"/>
        <c:axId val="110835311"/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(hh:mm)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'Charing Profile'!$I$13:$I$615</c:f>
              <c:strCache>
                <c:ptCount val="603"/>
                <c:pt idx="0">
                  <c:v>00:00</c:v>
                </c:pt>
                <c:pt idx="1">
                  <c:v>00:00</c:v>
                </c:pt>
                <c:pt idx="2">
                  <c:v>00:00</c:v>
                </c:pt>
                <c:pt idx="3">
                  <c:v>00:00</c:v>
                </c:pt>
                <c:pt idx="4">
                  <c:v>00:01</c:v>
                </c:pt>
                <c:pt idx="5">
                  <c:v>00:01</c:v>
                </c:pt>
                <c:pt idx="6">
                  <c:v>00:01</c:v>
                </c:pt>
                <c:pt idx="7">
                  <c:v>00:01</c:v>
                </c:pt>
                <c:pt idx="8">
                  <c:v>00:02</c:v>
                </c:pt>
                <c:pt idx="9">
                  <c:v>00:02</c:v>
                </c:pt>
                <c:pt idx="10">
                  <c:v>00:02</c:v>
                </c:pt>
                <c:pt idx="11">
                  <c:v>00:02</c:v>
                </c:pt>
                <c:pt idx="12">
                  <c:v>00:03</c:v>
                </c:pt>
                <c:pt idx="13">
                  <c:v>00:03</c:v>
                </c:pt>
                <c:pt idx="14">
                  <c:v>00:03</c:v>
                </c:pt>
                <c:pt idx="15">
                  <c:v>00:03</c:v>
                </c:pt>
                <c:pt idx="16">
                  <c:v>00:04</c:v>
                </c:pt>
                <c:pt idx="17">
                  <c:v>00:04</c:v>
                </c:pt>
                <c:pt idx="18">
                  <c:v>00:04</c:v>
                </c:pt>
                <c:pt idx="19">
                  <c:v>00:04</c:v>
                </c:pt>
                <c:pt idx="20">
                  <c:v>00:05</c:v>
                </c:pt>
                <c:pt idx="21">
                  <c:v>00:05</c:v>
                </c:pt>
                <c:pt idx="22">
                  <c:v>00:05</c:v>
                </c:pt>
                <c:pt idx="23">
                  <c:v>00:05</c:v>
                </c:pt>
                <c:pt idx="24">
                  <c:v>00:06</c:v>
                </c:pt>
                <c:pt idx="25">
                  <c:v>00:06</c:v>
                </c:pt>
                <c:pt idx="26">
                  <c:v>00:06</c:v>
                </c:pt>
                <c:pt idx="27">
                  <c:v>00:06</c:v>
                </c:pt>
                <c:pt idx="28">
                  <c:v>00:07</c:v>
                </c:pt>
                <c:pt idx="29">
                  <c:v>00:07</c:v>
                </c:pt>
                <c:pt idx="30">
                  <c:v>00:07</c:v>
                </c:pt>
                <c:pt idx="31">
                  <c:v>00:07</c:v>
                </c:pt>
                <c:pt idx="32">
                  <c:v>00:08</c:v>
                </c:pt>
                <c:pt idx="33">
                  <c:v>00:08</c:v>
                </c:pt>
                <c:pt idx="34">
                  <c:v>00:08</c:v>
                </c:pt>
                <c:pt idx="35">
                  <c:v>00:08</c:v>
                </c:pt>
                <c:pt idx="36">
                  <c:v>00:09</c:v>
                </c:pt>
                <c:pt idx="37">
                  <c:v>00:09</c:v>
                </c:pt>
                <c:pt idx="38">
                  <c:v>00:09</c:v>
                </c:pt>
                <c:pt idx="39">
                  <c:v>00:09</c:v>
                </c:pt>
                <c:pt idx="40">
                  <c:v>00:10</c:v>
                </c:pt>
                <c:pt idx="41">
                  <c:v>00:10</c:v>
                </c:pt>
                <c:pt idx="42">
                  <c:v>00:10</c:v>
                </c:pt>
                <c:pt idx="43">
                  <c:v>00:10</c:v>
                </c:pt>
                <c:pt idx="44">
                  <c:v>00:11</c:v>
                </c:pt>
                <c:pt idx="45">
                  <c:v>00:11</c:v>
                </c:pt>
                <c:pt idx="46">
                  <c:v>00:11</c:v>
                </c:pt>
                <c:pt idx="47">
                  <c:v>00:11</c:v>
                </c:pt>
                <c:pt idx="48">
                  <c:v>00:12</c:v>
                </c:pt>
                <c:pt idx="49">
                  <c:v>00:12</c:v>
                </c:pt>
                <c:pt idx="50">
                  <c:v>00:12</c:v>
                </c:pt>
                <c:pt idx="51">
                  <c:v>00:12</c:v>
                </c:pt>
                <c:pt idx="52">
                  <c:v>00:13</c:v>
                </c:pt>
                <c:pt idx="53">
                  <c:v>00:13</c:v>
                </c:pt>
                <c:pt idx="54">
                  <c:v>00:13</c:v>
                </c:pt>
                <c:pt idx="55">
                  <c:v>00:13</c:v>
                </c:pt>
                <c:pt idx="56">
                  <c:v>00:14</c:v>
                </c:pt>
                <c:pt idx="57">
                  <c:v>00:14</c:v>
                </c:pt>
                <c:pt idx="58">
                  <c:v>00:14</c:v>
                </c:pt>
                <c:pt idx="59">
                  <c:v>00:14</c:v>
                </c:pt>
                <c:pt idx="60">
                  <c:v>00:15</c:v>
                </c:pt>
                <c:pt idx="61">
                  <c:v>00:15</c:v>
                </c:pt>
                <c:pt idx="62">
                  <c:v>00:15</c:v>
                </c:pt>
                <c:pt idx="63">
                  <c:v>00:15</c:v>
                </c:pt>
                <c:pt idx="64">
                  <c:v>00:16</c:v>
                </c:pt>
                <c:pt idx="65">
                  <c:v>00:16</c:v>
                </c:pt>
                <c:pt idx="66">
                  <c:v>00:16</c:v>
                </c:pt>
                <c:pt idx="67">
                  <c:v>00:16</c:v>
                </c:pt>
                <c:pt idx="68">
                  <c:v>00:17</c:v>
                </c:pt>
                <c:pt idx="69">
                  <c:v>00:17</c:v>
                </c:pt>
                <c:pt idx="70">
                  <c:v>00:17</c:v>
                </c:pt>
                <c:pt idx="71">
                  <c:v>00:17</c:v>
                </c:pt>
                <c:pt idx="72">
                  <c:v>00:18</c:v>
                </c:pt>
                <c:pt idx="73">
                  <c:v>00:18</c:v>
                </c:pt>
                <c:pt idx="74">
                  <c:v>00:18</c:v>
                </c:pt>
                <c:pt idx="75">
                  <c:v>00:18</c:v>
                </c:pt>
                <c:pt idx="76">
                  <c:v>00:19</c:v>
                </c:pt>
                <c:pt idx="77">
                  <c:v>00:19</c:v>
                </c:pt>
                <c:pt idx="78">
                  <c:v>00:19</c:v>
                </c:pt>
                <c:pt idx="79">
                  <c:v>00:19</c:v>
                </c:pt>
                <c:pt idx="80">
                  <c:v>00:20</c:v>
                </c:pt>
                <c:pt idx="81">
                  <c:v>00:20</c:v>
                </c:pt>
                <c:pt idx="82">
                  <c:v>00:20</c:v>
                </c:pt>
                <c:pt idx="83">
                  <c:v>00:20</c:v>
                </c:pt>
                <c:pt idx="84">
                  <c:v>00:21</c:v>
                </c:pt>
                <c:pt idx="85">
                  <c:v>00:21</c:v>
                </c:pt>
                <c:pt idx="86">
                  <c:v>00:21</c:v>
                </c:pt>
                <c:pt idx="87">
                  <c:v>00:21</c:v>
                </c:pt>
                <c:pt idx="88">
                  <c:v>00:22</c:v>
                </c:pt>
                <c:pt idx="89">
                  <c:v>00:22</c:v>
                </c:pt>
                <c:pt idx="90">
                  <c:v>00:22</c:v>
                </c:pt>
                <c:pt idx="91">
                  <c:v>00:22</c:v>
                </c:pt>
                <c:pt idx="92">
                  <c:v>00:23</c:v>
                </c:pt>
                <c:pt idx="93">
                  <c:v>00:23</c:v>
                </c:pt>
                <c:pt idx="94">
                  <c:v>00:23</c:v>
                </c:pt>
                <c:pt idx="95">
                  <c:v>00:23</c:v>
                </c:pt>
                <c:pt idx="96">
                  <c:v>00:24</c:v>
                </c:pt>
                <c:pt idx="97">
                  <c:v>00:24</c:v>
                </c:pt>
                <c:pt idx="98">
                  <c:v>00:24</c:v>
                </c:pt>
                <c:pt idx="99">
                  <c:v>00:24</c:v>
                </c:pt>
                <c:pt idx="100">
                  <c:v>00:25</c:v>
                </c:pt>
                <c:pt idx="101">
                  <c:v>00:25</c:v>
                </c:pt>
                <c:pt idx="102">
                  <c:v>00:25</c:v>
                </c:pt>
                <c:pt idx="103">
                  <c:v>00:25</c:v>
                </c:pt>
                <c:pt idx="104">
                  <c:v>00:26</c:v>
                </c:pt>
                <c:pt idx="105">
                  <c:v>00:26</c:v>
                </c:pt>
                <c:pt idx="106">
                  <c:v>00:26</c:v>
                </c:pt>
                <c:pt idx="107">
                  <c:v>00:26</c:v>
                </c:pt>
                <c:pt idx="108">
                  <c:v>00:27</c:v>
                </c:pt>
                <c:pt idx="109">
                  <c:v>00:27</c:v>
                </c:pt>
                <c:pt idx="110">
                  <c:v>00:27</c:v>
                </c:pt>
                <c:pt idx="111">
                  <c:v>00:27</c:v>
                </c:pt>
                <c:pt idx="112">
                  <c:v>00:28</c:v>
                </c:pt>
                <c:pt idx="113">
                  <c:v>00:28</c:v>
                </c:pt>
                <c:pt idx="114">
                  <c:v>00:28</c:v>
                </c:pt>
                <c:pt idx="115">
                  <c:v>00:28</c:v>
                </c:pt>
                <c:pt idx="116">
                  <c:v>00:29</c:v>
                </c:pt>
                <c:pt idx="117">
                  <c:v>00:29</c:v>
                </c:pt>
                <c:pt idx="118">
                  <c:v>00:29</c:v>
                </c:pt>
                <c:pt idx="119">
                  <c:v>00:29</c:v>
                </c:pt>
                <c:pt idx="120">
                  <c:v>00:30</c:v>
                </c:pt>
                <c:pt idx="121">
                  <c:v>00:30</c:v>
                </c:pt>
                <c:pt idx="122">
                  <c:v>00:30</c:v>
                </c:pt>
                <c:pt idx="123">
                  <c:v>00:30</c:v>
                </c:pt>
                <c:pt idx="124">
                  <c:v>00:31</c:v>
                </c:pt>
                <c:pt idx="125">
                  <c:v>00:31</c:v>
                </c:pt>
                <c:pt idx="126">
                  <c:v>00:31</c:v>
                </c:pt>
                <c:pt idx="127">
                  <c:v>00:31</c:v>
                </c:pt>
                <c:pt idx="128">
                  <c:v>00:32</c:v>
                </c:pt>
                <c:pt idx="129">
                  <c:v>00:32</c:v>
                </c:pt>
                <c:pt idx="130">
                  <c:v>00:32</c:v>
                </c:pt>
                <c:pt idx="131">
                  <c:v>00:32</c:v>
                </c:pt>
                <c:pt idx="132">
                  <c:v>00:33</c:v>
                </c:pt>
                <c:pt idx="133">
                  <c:v>00:33</c:v>
                </c:pt>
                <c:pt idx="134">
                  <c:v>00:33</c:v>
                </c:pt>
                <c:pt idx="135">
                  <c:v>00:33</c:v>
                </c:pt>
                <c:pt idx="136">
                  <c:v>00:34</c:v>
                </c:pt>
                <c:pt idx="137">
                  <c:v>00:34</c:v>
                </c:pt>
                <c:pt idx="138">
                  <c:v>00:34</c:v>
                </c:pt>
                <c:pt idx="139">
                  <c:v>00:34</c:v>
                </c:pt>
                <c:pt idx="140">
                  <c:v>00:35</c:v>
                </c:pt>
                <c:pt idx="141">
                  <c:v>00:35</c:v>
                </c:pt>
                <c:pt idx="142">
                  <c:v>00:35</c:v>
                </c:pt>
                <c:pt idx="143">
                  <c:v>00:35</c:v>
                </c:pt>
                <c:pt idx="144">
                  <c:v>00:36</c:v>
                </c:pt>
                <c:pt idx="145">
                  <c:v>00:36</c:v>
                </c:pt>
                <c:pt idx="146">
                  <c:v>00:36</c:v>
                </c:pt>
                <c:pt idx="147">
                  <c:v>00:36</c:v>
                </c:pt>
                <c:pt idx="148">
                  <c:v>00:37</c:v>
                </c:pt>
                <c:pt idx="149">
                  <c:v>00:37</c:v>
                </c:pt>
                <c:pt idx="150">
                  <c:v>00:37</c:v>
                </c:pt>
                <c:pt idx="151">
                  <c:v>00:37</c:v>
                </c:pt>
                <c:pt idx="152">
                  <c:v>00:38</c:v>
                </c:pt>
                <c:pt idx="153">
                  <c:v>00:38</c:v>
                </c:pt>
                <c:pt idx="154">
                  <c:v>00:38</c:v>
                </c:pt>
                <c:pt idx="155">
                  <c:v>00:38</c:v>
                </c:pt>
                <c:pt idx="156">
                  <c:v>00:39</c:v>
                </c:pt>
                <c:pt idx="157">
                  <c:v>00:39</c:v>
                </c:pt>
                <c:pt idx="158">
                  <c:v>00:39</c:v>
                </c:pt>
                <c:pt idx="159">
                  <c:v>00:39</c:v>
                </c:pt>
                <c:pt idx="160">
                  <c:v>00:40</c:v>
                </c:pt>
                <c:pt idx="161">
                  <c:v>00:40</c:v>
                </c:pt>
                <c:pt idx="162">
                  <c:v>00:40</c:v>
                </c:pt>
                <c:pt idx="163">
                  <c:v>00:40</c:v>
                </c:pt>
                <c:pt idx="164">
                  <c:v>00:41</c:v>
                </c:pt>
                <c:pt idx="165">
                  <c:v>00:41</c:v>
                </c:pt>
                <c:pt idx="166">
                  <c:v>00:41</c:v>
                </c:pt>
                <c:pt idx="167">
                  <c:v>00:41</c:v>
                </c:pt>
                <c:pt idx="168">
                  <c:v>00:42</c:v>
                </c:pt>
                <c:pt idx="169">
                  <c:v>00:42</c:v>
                </c:pt>
                <c:pt idx="170">
                  <c:v>00:42</c:v>
                </c:pt>
                <c:pt idx="171">
                  <c:v>00:42</c:v>
                </c:pt>
                <c:pt idx="172">
                  <c:v>00:43</c:v>
                </c:pt>
                <c:pt idx="173">
                  <c:v>00:43</c:v>
                </c:pt>
                <c:pt idx="174">
                  <c:v>00:43</c:v>
                </c:pt>
                <c:pt idx="175">
                  <c:v>00:43</c:v>
                </c:pt>
                <c:pt idx="176">
                  <c:v>00:44</c:v>
                </c:pt>
                <c:pt idx="177">
                  <c:v>00:44</c:v>
                </c:pt>
                <c:pt idx="178">
                  <c:v>00:44</c:v>
                </c:pt>
                <c:pt idx="179">
                  <c:v>00:44</c:v>
                </c:pt>
                <c:pt idx="180">
                  <c:v>00:45</c:v>
                </c:pt>
                <c:pt idx="181">
                  <c:v>00:45</c:v>
                </c:pt>
                <c:pt idx="182">
                  <c:v>00:45</c:v>
                </c:pt>
                <c:pt idx="183">
                  <c:v>00:46</c:v>
                </c:pt>
                <c:pt idx="184">
                  <c:v>00:46</c:v>
                </c:pt>
                <c:pt idx="185">
                  <c:v>00:46</c:v>
                </c:pt>
                <c:pt idx="186">
                  <c:v>00:46</c:v>
                </c:pt>
                <c:pt idx="187">
                  <c:v>00:47</c:v>
                </c:pt>
                <c:pt idx="188">
                  <c:v>00:47</c:v>
                </c:pt>
                <c:pt idx="189">
                  <c:v>00:47</c:v>
                </c:pt>
                <c:pt idx="190">
                  <c:v>00:47</c:v>
                </c:pt>
                <c:pt idx="191">
                  <c:v>00:48</c:v>
                </c:pt>
                <c:pt idx="192">
                  <c:v>00:48</c:v>
                </c:pt>
                <c:pt idx="193">
                  <c:v>00:48</c:v>
                </c:pt>
                <c:pt idx="194">
                  <c:v>00:48</c:v>
                </c:pt>
                <c:pt idx="195">
                  <c:v>00:49</c:v>
                </c:pt>
                <c:pt idx="196">
                  <c:v>00:49</c:v>
                </c:pt>
                <c:pt idx="197">
                  <c:v>00:49</c:v>
                </c:pt>
                <c:pt idx="198">
                  <c:v>00:49</c:v>
                </c:pt>
                <c:pt idx="199">
                  <c:v>00:50</c:v>
                </c:pt>
                <c:pt idx="200">
                  <c:v>00:50</c:v>
                </c:pt>
                <c:pt idx="201">
                  <c:v>00:50</c:v>
                </c:pt>
                <c:pt idx="202">
                  <c:v>00:50</c:v>
                </c:pt>
                <c:pt idx="203">
                  <c:v>00:51</c:v>
                </c:pt>
                <c:pt idx="204">
                  <c:v>00:51</c:v>
                </c:pt>
                <c:pt idx="205">
                  <c:v>00:51</c:v>
                </c:pt>
                <c:pt idx="206">
                  <c:v>00:51</c:v>
                </c:pt>
                <c:pt idx="207">
                  <c:v>00:52</c:v>
                </c:pt>
                <c:pt idx="208">
                  <c:v>00:52</c:v>
                </c:pt>
                <c:pt idx="209">
                  <c:v>00:52</c:v>
                </c:pt>
                <c:pt idx="210">
                  <c:v>00:52</c:v>
                </c:pt>
                <c:pt idx="211">
                  <c:v>00:53</c:v>
                </c:pt>
                <c:pt idx="212">
                  <c:v>00:53</c:v>
                </c:pt>
                <c:pt idx="213">
                  <c:v>00:53</c:v>
                </c:pt>
                <c:pt idx="214">
                  <c:v>00:53</c:v>
                </c:pt>
                <c:pt idx="215">
                  <c:v>00:54</c:v>
                </c:pt>
                <c:pt idx="216">
                  <c:v>00:54</c:v>
                </c:pt>
                <c:pt idx="217">
                  <c:v>00:54</c:v>
                </c:pt>
                <c:pt idx="218">
                  <c:v>00:54</c:v>
                </c:pt>
                <c:pt idx="219">
                  <c:v>00:55</c:v>
                </c:pt>
                <c:pt idx="220">
                  <c:v>00:55</c:v>
                </c:pt>
                <c:pt idx="221">
                  <c:v>00:55</c:v>
                </c:pt>
                <c:pt idx="222">
                  <c:v>00:55</c:v>
                </c:pt>
                <c:pt idx="223">
                  <c:v>00:56</c:v>
                </c:pt>
                <c:pt idx="224">
                  <c:v>00:56</c:v>
                </c:pt>
                <c:pt idx="225">
                  <c:v>00:56</c:v>
                </c:pt>
                <c:pt idx="226">
                  <c:v>00:56</c:v>
                </c:pt>
                <c:pt idx="227">
                  <c:v>00:57</c:v>
                </c:pt>
                <c:pt idx="228">
                  <c:v>00:57</c:v>
                </c:pt>
                <c:pt idx="229">
                  <c:v>00:57</c:v>
                </c:pt>
                <c:pt idx="230">
                  <c:v>00:57</c:v>
                </c:pt>
                <c:pt idx="231">
                  <c:v>00:58</c:v>
                </c:pt>
                <c:pt idx="232">
                  <c:v>00:58</c:v>
                </c:pt>
                <c:pt idx="233">
                  <c:v>00:58</c:v>
                </c:pt>
                <c:pt idx="234">
                  <c:v>00:58</c:v>
                </c:pt>
                <c:pt idx="235">
                  <c:v>00:59</c:v>
                </c:pt>
                <c:pt idx="236">
                  <c:v>00:59</c:v>
                </c:pt>
                <c:pt idx="237">
                  <c:v>00:59</c:v>
                </c:pt>
                <c:pt idx="238">
                  <c:v>00:59</c:v>
                </c:pt>
                <c:pt idx="239">
                  <c:v>01:00</c:v>
                </c:pt>
                <c:pt idx="240">
                  <c:v>01:00</c:v>
                </c:pt>
                <c:pt idx="241">
                  <c:v>01:00</c:v>
                </c:pt>
                <c:pt idx="242">
                  <c:v>01:00</c:v>
                </c:pt>
                <c:pt idx="243">
                  <c:v>01:01</c:v>
                </c:pt>
                <c:pt idx="244">
                  <c:v>01:01</c:v>
                </c:pt>
                <c:pt idx="245">
                  <c:v>01:01</c:v>
                </c:pt>
                <c:pt idx="246">
                  <c:v>01:01</c:v>
                </c:pt>
                <c:pt idx="247">
                  <c:v>01:02</c:v>
                </c:pt>
                <c:pt idx="248">
                  <c:v>01:02</c:v>
                </c:pt>
                <c:pt idx="249">
                  <c:v>01:02</c:v>
                </c:pt>
                <c:pt idx="250">
                  <c:v>01:02</c:v>
                </c:pt>
                <c:pt idx="251">
                  <c:v>01:03</c:v>
                </c:pt>
                <c:pt idx="252">
                  <c:v>01:03</c:v>
                </c:pt>
                <c:pt idx="253">
                  <c:v>01:03</c:v>
                </c:pt>
                <c:pt idx="254">
                  <c:v>01:03</c:v>
                </c:pt>
                <c:pt idx="255">
                  <c:v>01:04</c:v>
                </c:pt>
                <c:pt idx="256">
                  <c:v>01:04</c:v>
                </c:pt>
                <c:pt idx="257">
                  <c:v>01:04</c:v>
                </c:pt>
                <c:pt idx="258">
                  <c:v>01:04</c:v>
                </c:pt>
                <c:pt idx="259">
                  <c:v>01:05</c:v>
                </c:pt>
                <c:pt idx="260">
                  <c:v>01:05</c:v>
                </c:pt>
                <c:pt idx="261">
                  <c:v>01:05</c:v>
                </c:pt>
                <c:pt idx="262">
                  <c:v>01:05</c:v>
                </c:pt>
                <c:pt idx="263">
                  <c:v>01:06</c:v>
                </c:pt>
                <c:pt idx="264">
                  <c:v>01:06</c:v>
                </c:pt>
                <c:pt idx="265">
                  <c:v>01:06</c:v>
                </c:pt>
                <c:pt idx="266">
                  <c:v>01:06</c:v>
                </c:pt>
                <c:pt idx="267">
                  <c:v>01:07</c:v>
                </c:pt>
                <c:pt idx="268">
                  <c:v>01:07</c:v>
                </c:pt>
                <c:pt idx="269">
                  <c:v>01:07</c:v>
                </c:pt>
                <c:pt idx="270">
                  <c:v>01:07</c:v>
                </c:pt>
                <c:pt idx="271">
                  <c:v>01:08</c:v>
                </c:pt>
                <c:pt idx="272">
                  <c:v>01:08</c:v>
                </c:pt>
                <c:pt idx="273">
                  <c:v>01:08</c:v>
                </c:pt>
                <c:pt idx="274">
                  <c:v>01:08</c:v>
                </c:pt>
                <c:pt idx="275">
                  <c:v>01:09</c:v>
                </c:pt>
                <c:pt idx="276">
                  <c:v>01:09</c:v>
                </c:pt>
                <c:pt idx="277">
                  <c:v>01:09</c:v>
                </c:pt>
                <c:pt idx="278">
                  <c:v>01:09</c:v>
                </c:pt>
                <c:pt idx="279">
                  <c:v>01:10</c:v>
                </c:pt>
                <c:pt idx="280">
                  <c:v>01:10</c:v>
                </c:pt>
                <c:pt idx="281">
                  <c:v>01:10</c:v>
                </c:pt>
                <c:pt idx="282">
                  <c:v>01:10</c:v>
                </c:pt>
                <c:pt idx="283">
                  <c:v>01:11</c:v>
                </c:pt>
                <c:pt idx="284">
                  <c:v>01:11</c:v>
                </c:pt>
                <c:pt idx="285">
                  <c:v>01:11</c:v>
                </c:pt>
                <c:pt idx="286">
                  <c:v>01:11</c:v>
                </c:pt>
                <c:pt idx="287">
                  <c:v>01:12</c:v>
                </c:pt>
                <c:pt idx="288">
                  <c:v>01:12</c:v>
                </c:pt>
                <c:pt idx="289">
                  <c:v>01:12</c:v>
                </c:pt>
                <c:pt idx="290">
                  <c:v>01:12</c:v>
                </c:pt>
                <c:pt idx="291">
                  <c:v>01:13</c:v>
                </c:pt>
                <c:pt idx="292">
                  <c:v>01:13</c:v>
                </c:pt>
                <c:pt idx="293">
                  <c:v>01:13</c:v>
                </c:pt>
                <c:pt idx="294">
                  <c:v>01:13</c:v>
                </c:pt>
                <c:pt idx="295">
                  <c:v>01:14</c:v>
                </c:pt>
                <c:pt idx="296">
                  <c:v>01:14</c:v>
                </c:pt>
                <c:pt idx="297">
                  <c:v>01:14</c:v>
                </c:pt>
                <c:pt idx="298">
                  <c:v>01:14</c:v>
                </c:pt>
                <c:pt idx="299">
                  <c:v>01:15</c:v>
                </c:pt>
                <c:pt idx="300">
                  <c:v>01:15</c:v>
                </c:pt>
                <c:pt idx="301">
                  <c:v>01:15</c:v>
                </c:pt>
                <c:pt idx="302">
                  <c:v>01:15</c:v>
                </c:pt>
                <c:pt idx="303">
                  <c:v>01:16</c:v>
                </c:pt>
                <c:pt idx="304">
                  <c:v>01:16</c:v>
                </c:pt>
                <c:pt idx="305">
                  <c:v>01:16</c:v>
                </c:pt>
                <c:pt idx="306">
                  <c:v>01:16</c:v>
                </c:pt>
                <c:pt idx="307">
                  <c:v>01:17</c:v>
                </c:pt>
                <c:pt idx="308">
                  <c:v>01:17</c:v>
                </c:pt>
                <c:pt idx="309">
                  <c:v>01:17</c:v>
                </c:pt>
                <c:pt idx="310">
                  <c:v>01:17</c:v>
                </c:pt>
                <c:pt idx="311">
                  <c:v>01:18</c:v>
                </c:pt>
                <c:pt idx="312">
                  <c:v>01:18</c:v>
                </c:pt>
                <c:pt idx="313">
                  <c:v>01:18</c:v>
                </c:pt>
                <c:pt idx="314">
                  <c:v>01:18</c:v>
                </c:pt>
                <c:pt idx="315">
                  <c:v>01:19</c:v>
                </c:pt>
                <c:pt idx="316">
                  <c:v>01:19</c:v>
                </c:pt>
                <c:pt idx="317">
                  <c:v>01:19</c:v>
                </c:pt>
                <c:pt idx="318">
                  <c:v>01:19</c:v>
                </c:pt>
                <c:pt idx="319">
                  <c:v>01:20</c:v>
                </c:pt>
                <c:pt idx="320">
                  <c:v>01:20</c:v>
                </c:pt>
                <c:pt idx="321">
                  <c:v>01:20</c:v>
                </c:pt>
                <c:pt idx="322">
                  <c:v>01:20</c:v>
                </c:pt>
                <c:pt idx="323">
                  <c:v>01:21</c:v>
                </c:pt>
                <c:pt idx="324">
                  <c:v>01:21</c:v>
                </c:pt>
                <c:pt idx="325">
                  <c:v>01:21</c:v>
                </c:pt>
                <c:pt idx="326">
                  <c:v>01:21</c:v>
                </c:pt>
                <c:pt idx="327">
                  <c:v>01:22</c:v>
                </c:pt>
                <c:pt idx="328">
                  <c:v>01:22</c:v>
                </c:pt>
                <c:pt idx="329">
                  <c:v>01:22</c:v>
                </c:pt>
                <c:pt idx="330">
                  <c:v>01:22</c:v>
                </c:pt>
                <c:pt idx="331">
                  <c:v>01:23</c:v>
                </c:pt>
                <c:pt idx="332">
                  <c:v>01:23</c:v>
                </c:pt>
                <c:pt idx="333">
                  <c:v>01:23</c:v>
                </c:pt>
                <c:pt idx="334">
                  <c:v>01:23</c:v>
                </c:pt>
                <c:pt idx="335">
                  <c:v>01:24</c:v>
                </c:pt>
                <c:pt idx="336">
                  <c:v>01:24</c:v>
                </c:pt>
                <c:pt idx="337">
                  <c:v>01:24</c:v>
                </c:pt>
                <c:pt idx="338">
                  <c:v>01:24</c:v>
                </c:pt>
                <c:pt idx="339">
                  <c:v>01:25</c:v>
                </c:pt>
                <c:pt idx="340">
                  <c:v>01:25</c:v>
                </c:pt>
                <c:pt idx="341">
                  <c:v>01:25</c:v>
                </c:pt>
                <c:pt idx="342">
                  <c:v>01:25</c:v>
                </c:pt>
                <c:pt idx="343">
                  <c:v>01:26</c:v>
                </c:pt>
                <c:pt idx="344">
                  <c:v>01:26</c:v>
                </c:pt>
                <c:pt idx="345">
                  <c:v>01:26</c:v>
                </c:pt>
                <c:pt idx="346">
                  <c:v>01:26</c:v>
                </c:pt>
                <c:pt idx="347">
                  <c:v>01:27</c:v>
                </c:pt>
                <c:pt idx="348">
                  <c:v>01:27</c:v>
                </c:pt>
                <c:pt idx="349">
                  <c:v>01:27</c:v>
                </c:pt>
                <c:pt idx="350">
                  <c:v>01:27</c:v>
                </c:pt>
                <c:pt idx="351">
                  <c:v>01:28</c:v>
                </c:pt>
                <c:pt idx="352">
                  <c:v>01:28</c:v>
                </c:pt>
                <c:pt idx="353">
                  <c:v>01:28</c:v>
                </c:pt>
                <c:pt idx="354">
                  <c:v>01:28</c:v>
                </c:pt>
                <c:pt idx="355">
                  <c:v>01:29</c:v>
                </c:pt>
                <c:pt idx="356">
                  <c:v>01:29</c:v>
                </c:pt>
                <c:pt idx="357">
                  <c:v>01:29</c:v>
                </c:pt>
                <c:pt idx="358">
                  <c:v>01:29</c:v>
                </c:pt>
                <c:pt idx="359">
                  <c:v>01:30</c:v>
                </c:pt>
                <c:pt idx="360">
                  <c:v>01:30</c:v>
                </c:pt>
                <c:pt idx="361">
                  <c:v>01:30</c:v>
                </c:pt>
                <c:pt idx="362">
                  <c:v>01:30</c:v>
                </c:pt>
                <c:pt idx="363">
                  <c:v>01:31</c:v>
                </c:pt>
                <c:pt idx="364">
                  <c:v>01:31</c:v>
                </c:pt>
                <c:pt idx="365">
                  <c:v>01:31</c:v>
                </c:pt>
                <c:pt idx="366">
                  <c:v>01:31</c:v>
                </c:pt>
                <c:pt idx="367">
                  <c:v>01:32</c:v>
                </c:pt>
                <c:pt idx="368">
                  <c:v>01:32</c:v>
                </c:pt>
                <c:pt idx="369">
                  <c:v>01:32</c:v>
                </c:pt>
                <c:pt idx="370">
                  <c:v>01:33</c:v>
                </c:pt>
                <c:pt idx="371">
                  <c:v>01:33</c:v>
                </c:pt>
                <c:pt idx="372">
                  <c:v>01:33</c:v>
                </c:pt>
                <c:pt idx="373">
                  <c:v>01:33</c:v>
                </c:pt>
                <c:pt idx="374">
                  <c:v>01:34</c:v>
                </c:pt>
                <c:pt idx="375">
                  <c:v>01:34</c:v>
                </c:pt>
                <c:pt idx="376">
                  <c:v>01:34</c:v>
                </c:pt>
                <c:pt idx="377">
                  <c:v>01:34</c:v>
                </c:pt>
                <c:pt idx="378">
                  <c:v>01:35</c:v>
                </c:pt>
                <c:pt idx="379">
                  <c:v>01:35</c:v>
                </c:pt>
                <c:pt idx="380">
                  <c:v>01:35</c:v>
                </c:pt>
                <c:pt idx="381">
                  <c:v>01:35</c:v>
                </c:pt>
                <c:pt idx="382">
                  <c:v>01:36</c:v>
                </c:pt>
                <c:pt idx="383">
                  <c:v>01:36</c:v>
                </c:pt>
                <c:pt idx="384">
                  <c:v>01:36</c:v>
                </c:pt>
                <c:pt idx="385">
                  <c:v>01:36</c:v>
                </c:pt>
                <c:pt idx="386">
                  <c:v>01:37</c:v>
                </c:pt>
                <c:pt idx="387">
                  <c:v>01:37</c:v>
                </c:pt>
                <c:pt idx="388">
                  <c:v>01:37</c:v>
                </c:pt>
                <c:pt idx="389">
                  <c:v>01:37</c:v>
                </c:pt>
                <c:pt idx="390">
                  <c:v>01:38</c:v>
                </c:pt>
                <c:pt idx="391">
                  <c:v>01:38</c:v>
                </c:pt>
                <c:pt idx="392">
                  <c:v>01:38</c:v>
                </c:pt>
                <c:pt idx="393">
                  <c:v>01:38</c:v>
                </c:pt>
                <c:pt idx="394">
                  <c:v>01:39</c:v>
                </c:pt>
                <c:pt idx="395">
                  <c:v>01:39</c:v>
                </c:pt>
                <c:pt idx="396">
                  <c:v>01:39</c:v>
                </c:pt>
                <c:pt idx="397">
                  <c:v>01:39</c:v>
                </c:pt>
                <c:pt idx="398">
                  <c:v>01:40</c:v>
                </c:pt>
                <c:pt idx="399">
                  <c:v>01:40</c:v>
                </c:pt>
                <c:pt idx="400">
                  <c:v>01:40</c:v>
                </c:pt>
                <c:pt idx="401">
                  <c:v>01:40</c:v>
                </c:pt>
                <c:pt idx="402">
                  <c:v>01:41</c:v>
                </c:pt>
                <c:pt idx="403">
                  <c:v>01:41</c:v>
                </c:pt>
                <c:pt idx="404">
                  <c:v>01:41</c:v>
                </c:pt>
                <c:pt idx="405">
                  <c:v>01:41</c:v>
                </c:pt>
                <c:pt idx="406">
                  <c:v>01:42</c:v>
                </c:pt>
                <c:pt idx="407">
                  <c:v>01:42</c:v>
                </c:pt>
                <c:pt idx="408">
                  <c:v>01:42</c:v>
                </c:pt>
                <c:pt idx="409">
                  <c:v>01:42</c:v>
                </c:pt>
                <c:pt idx="410">
                  <c:v>01:43</c:v>
                </c:pt>
                <c:pt idx="411">
                  <c:v>01:43</c:v>
                </c:pt>
                <c:pt idx="412">
                  <c:v>01:43</c:v>
                </c:pt>
                <c:pt idx="413">
                  <c:v>01:43</c:v>
                </c:pt>
                <c:pt idx="414">
                  <c:v>01:44</c:v>
                </c:pt>
                <c:pt idx="415">
                  <c:v>01:44</c:v>
                </c:pt>
                <c:pt idx="416">
                  <c:v>01:44</c:v>
                </c:pt>
                <c:pt idx="417">
                  <c:v>01:44</c:v>
                </c:pt>
                <c:pt idx="418">
                  <c:v>01:45</c:v>
                </c:pt>
                <c:pt idx="419">
                  <c:v>01:45</c:v>
                </c:pt>
                <c:pt idx="420">
                  <c:v>01:45</c:v>
                </c:pt>
                <c:pt idx="421">
                  <c:v>01:45</c:v>
                </c:pt>
                <c:pt idx="422">
                  <c:v>01:46</c:v>
                </c:pt>
                <c:pt idx="423">
                  <c:v>01:46</c:v>
                </c:pt>
                <c:pt idx="424">
                  <c:v>01:46</c:v>
                </c:pt>
                <c:pt idx="425">
                  <c:v>01:46</c:v>
                </c:pt>
                <c:pt idx="426">
                  <c:v>01:47</c:v>
                </c:pt>
                <c:pt idx="427">
                  <c:v>01:47</c:v>
                </c:pt>
                <c:pt idx="428">
                  <c:v>01:47</c:v>
                </c:pt>
                <c:pt idx="429">
                  <c:v>01:47</c:v>
                </c:pt>
                <c:pt idx="430">
                  <c:v>01:48</c:v>
                </c:pt>
                <c:pt idx="431">
                  <c:v>01:48</c:v>
                </c:pt>
                <c:pt idx="432">
                  <c:v>01:48</c:v>
                </c:pt>
                <c:pt idx="433">
                  <c:v>01:48</c:v>
                </c:pt>
                <c:pt idx="434">
                  <c:v>01:49</c:v>
                </c:pt>
                <c:pt idx="435">
                  <c:v>01:49</c:v>
                </c:pt>
                <c:pt idx="436">
                  <c:v>01:49</c:v>
                </c:pt>
                <c:pt idx="437">
                  <c:v>01:49</c:v>
                </c:pt>
                <c:pt idx="438">
                  <c:v>01:50</c:v>
                </c:pt>
                <c:pt idx="439">
                  <c:v>01:50</c:v>
                </c:pt>
                <c:pt idx="440">
                  <c:v>01:50</c:v>
                </c:pt>
                <c:pt idx="441">
                  <c:v>01:50</c:v>
                </c:pt>
                <c:pt idx="442">
                  <c:v>01:51</c:v>
                </c:pt>
                <c:pt idx="443">
                  <c:v>01:51</c:v>
                </c:pt>
                <c:pt idx="444">
                  <c:v>01:51</c:v>
                </c:pt>
                <c:pt idx="445">
                  <c:v>01:51</c:v>
                </c:pt>
                <c:pt idx="446">
                  <c:v>01:52</c:v>
                </c:pt>
                <c:pt idx="447">
                  <c:v>01:52</c:v>
                </c:pt>
                <c:pt idx="448">
                  <c:v>01:52</c:v>
                </c:pt>
                <c:pt idx="449">
                  <c:v>01:52</c:v>
                </c:pt>
                <c:pt idx="450">
                  <c:v>01:53</c:v>
                </c:pt>
                <c:pt idx="451">
                  <c:v>01:53</c:v>
                </c:pt>
                <c:pt idx="452">
                  <c:v>01:53</c:v>
                </c:pt>
                <c:pt idx="453">
                  <c:v>01:53</c:v>
                </c:pt>
                <c:pt idx="454">
                  <c:v>01:54</c:v>
                </c:pt>
                <c:pt idx="455">
                  <c:v>01:54</c:v>
                </c:pt>
                <c:pt idx="456">
                  <c:v>01:54</c:v>
                </c:pt>
                <c:pt idx="457">
                  <c:v>01:54</c:v>
                </c:pt>
                <c:pt idx="458">
                  <c:v>01:55</c:v>
                </c:pt>
                <c:pt idx="459">
                  <c:v>01:55</c:v>
                </c:pt>
                <c:pt idx="460">
                  <c:v>01:55</c:v>
                </c:pt>
                <c:pt idx="461">
                  <c:v>01:55</c:v>
                </c:pt>
                <c:pt idx="462">
                  <c:v>01:56</c:v>
                </c:pt>
                <c:pt idx="463">
                  <c:v>01:56</c:v>
                </c:pt>
                <c:pt idx="464">
                  <c:v>01:56</c:v>
                </c:pt>
                <c:pt idx="465">
                  <c:v>01:56</c:v>
                </c:pt>
                <c:pt idx="466">
                  <c:v>01:57</c:v>
                </c:pt>
                <c:pt idx="467">
                  <c:v>01:57</c:v>
                </c:pt>
                <c:pt idx="468">
                  <c:v>01:57</c:v>
                </c:pt>
                <c:pt idx="469">
                  <c:v>01:57</c:v>
                </c:pt>
                <c:pt idx="470">
                  <c:v>01:58</c:v>
                </c:pt>
                <c:pt idx="471">
                  <c:v>01:58</c:v>
                </c:pt>
                <c:pt idx="472">
                  <c:v>01:58</c:v>
                </c:pt>
                <c:pt idx="473">
                  <c:v>01:58</c:v>
                </c:pt>
                <c:pt idx="474">
                  <c:v>01:59</c:v>
                </c:pt>
                <c:pt idx="475">
                  <c:v>01:59</c:v>
                </c:pt>
                <c:pt idx="476">
                  <c:v>01:59</c:v>
                </c:pt>
                <c:pt idx="477">
                  <c:v>01:59</c:v>
                </c:pt>
                <c:pt idx="478">
                  <c:v>02:00</c:v>
                </c:pt>
                <c:pt idx="479">
                  <c:v>02:00</c:v>
                </c:pt>
                <c:pt idx="480">
                  <c:v>02:00</c:v>
                </c:pt>
                <c:pt idx="481">
                  <c:v>02:00</c:v>
                </c:pt>
                <c:pt idx="482">
                  <c:v>02:01</c:v>
                </c:pt>
                <c:pt idx="483">
                  <c:v>02:01</c:v>
                </c:pt>
                <c:pt idx="484">
                  <c:v>02:01</c:v>
                </c:pt>
                <c:pt idx="485">
                  <c:v>02:01</c:v>
                </c:pt>
                <c:pt idx="486">
                  <c:v>02:02</c:v>
                </c:pt>
                <c:pt idx="487">
                  <c:v>02:02</c:v>
                </c:pt>
                <c:pt idx="488">
                  <c:v>02:02</c:v>
                </c:pt>
                <c:pt idx="489">
                  <c:v>02:02</c:v>
                </c:pt>
                <c:pt idx="490">
                  <c:v>02:03</c:v>
                </c:pt>
                <c:pt idx="491">
                  <c:v>02:03</c:v>
                </c:pt>
                <c:pt idx="492">
                  <c:v>02:03</c:v>
                </c:pt>
                <c:pt idx="493">
                  <c:v>02:03</c:v>
                </c:pt>
                <c:pt idx="494">
                  <c:v>02:04</c:v>
                </c:pt>
                <c:pt idx="495">
                  <c:v>02:04</c:v>
                </c:pt>
                <c:pt idx="496">
                  <c:v>02:04</c:v>
                </c:pt>
                <c:pt idx="497">
                  <c:v>02:04</c:v>
                </c:pt>
                <c:pt idx="498">
                  <c:v>02:05</c:v>
                </c:pt>
                <c:pt idx="499">
                  <c:v>02:05</c:v>
                </c:pt>
                <c:pt idx="500">
                  <c:v>02:05</c:v>
                </c:pt>
                <c:pt idx="501">
                  <c:v>02:05</c:v>
                </c:pt>
                <c:pt idx="502">
                  <c:v>02:06</c:v>
                </c:pt>
                <c:pt idx="503">
                  <c:v>02:06</c:v>
                </c:pt>
                <c:pt idx="504">
                  <c:v>02:06</c:v>
                </c:pt>
                <c:pt idx="505">
                  <c:v>02:06</c:v>
                </c:pt>
                <c:pt idx="506">
                  <c:v>02:07</c:v>
                </c:pt>
                <c:pt idx="507">
                  <c:v>02:07</c:v>
                </c:pt>
                <c:pt idx="508">
                  <c:v>02:07</c:v>
                </c:pt>
                <c:pt idx="509">
                  <c:v>02:07</c:v>
                </c:pt>
                <c:pt idx="510">
                  <c:v>02:08</c:v>
                </c:pt>
                <c:pt idx="511">
                  <c:v>02:08</c:v>
                </c:pt>
                <c:pt idx="512">
                  <c:v>02:08</c:v>
                </c:pt>
                <c:pt idx="513">
                  <c:v>02:08</c:v>
                </c:pt>
                <c:pt idx="514">
                  <c:v>02:09</c:v>
                </c:pt>
                <c:pt idx="515">
                  <c:v>02:09</c:v>
                </c:pt>
                <c:pt idx="516">
                  <c:v>02:09</c:v>
                </c:pt>
                <c:pt idx="517">
                  <c:v>02:09</c:v>
                </c:pt>
                <c:pt idx="518">
                  <c:v>02:10</c:v>
                </c:pt>
                <c:pt idx="519">
                  <c:v>02:10</c:v>
                </c:pt>
                <c:pt idx="520">
                  <c:v>02:10</c:v>
                </c:pt>
                <c:pt idx="521">
                  <c:v>02:10</c:v>
                </c:pt>
                <c:pt idx="522">
                  <c:v>02:11</c:v>
                </c:pt>
                <c:pt idx="523">
                  <c:v>02:11</c:v>
                </c:pt>
                <c:pt idx="524">
                  <c:v>02:11</c:v>
                </c:pt>
                <c:pt idx="525">
                  <c:v>02:11</c:v>
                </c:pt>
                <c:pt idx="526">
                  <c:v>02:12</c:v>
                </c:pt>
                <c:pt idx="527">
                  <c:v>02:12</c:v>
                </c:pt>
                <c:pt idx="528">
                  <c:v>02:12</c:v>
                </c:pt>
                <c:pt idx="529">
                  <c:v>02:12</c:v>
                </c:pt>
                <c:pt idx="530">
                  <c:v>02:13</c:v>
                </c:pt>
                <c:pt idx="531">
                  <c:v>02:13</c:v>
                </c:pt>
                <c:pt idx="532">
                  <c:v>02:13</c:v>
                </c:pt>
                <c:pt idx="533">
                  <c:v>02:13</c:v>
                </c:pt>
                <c:pt idx="534">
                  <c:v>02:14</c:v>
                </c:pt>
                <c:pt idx="535">
                  <c:v>02:14</c:v>
                </c:pt>
                <c:pt idx="536">
                  <c:v>02:14</c:v>
                </c:pt>
                <c:pt idx="537">
                  <c:v>02:14</c:v>
                </c:pt>
                <c:pt idx="538">
                  <c:v>02:15</c:v>
                </c:pt>
                <c:pt idx="539">
                  <c:v>02:15</c:v>
                </c:pt>
                <c:pt idx="540">
                  <c:v>02:15</c:v>
                </c:pt>
                <c:pt idx="541">
                  <c:v>02:15</c:v>
                </c:pt>
                <c:pt idx="542">
                  <c:v>02:16</c:v>
                </c:pt>
                <c:pt idx="543">
                  <c:v>02:16</c:v>
                </c:pt>
                <c:pt idx="544">
                  <c:v>02:16</c:v>
                </c:pt>
                <c:pt idx="545">
                  <c:v>02:16</c:v>
                </c:pt>
                <c:pt idx="546">
                  <c:v>02:17</c:v>
                </c:pt>
                <c:pt idx="547">
                  <c:v>02:17</c:v>
                </c:pt>
                <c:pt idx="548">
                  <c:v>02:17</c:v>
                </c:pt>
                <c:pt idx="549">
                  <c:v>02:17</c:v>
                </c:pt>
                <c:pt idx="550">
                  <c:v>02:18</c:v>
                </c:pt>
                <c:pt idx="551">
                  <c:v>02:18</c:v>
                </c:pt>
                <c:pt idx="552">
                  <c:v>02:18</c:v>
                </c:pt>
                <c:pt idx="553">
                  <c:v>02:18</c:v>
                </c:pt>
                <c:pt idx="554">
                  <c:v>02:19</c:v>
                </c:pt>
                <c:pt idx="555">
                  <c:v>02:19</c:v>
                </c:pt>
                <c:pt idx="556">
                  <c:v>02:19</c:v>
                </c:pt>
                <c:pt idx="557">
                  <c:v>02:19</c:v>
                </c:pt>
                <c:pt idx="558">
                  <c:v>02:20</c:v>
                </c:pt>
                <c:pt idx="559">
                  <c:v>02:20</c:v>
                </c:pt>
                <c:pt idx="560">
                  <c:v>02:20</c:v>
                </c:pt>
                <c:pt idx="561">
                  <c:v>02:20</c:v>
                </c:pt>
                <c:pt idx="562">
                  <c:v>02:21</c:v>
                </c:pt>
                <c:pt idx="563">
                  <c:v>02:21</c:v>
                </c:pt>
                <c:pt idx="564">
                  <c:v>02:21</c:v>
                </c:pt>
                <c:pt idx="565">
                  <c:v>02:21</c:v>
                </c:pt>
                <c:pt idx="566">
                  <c:v>02:22</c:v>
                </c:pt>
                <c:pt idx="567">
                  <c:v>02:22</c:v>
                </c:pt>
                <c:pt idx="568">
                  <c:v>02:22</c:v>
                </c:pt>
                <c:pt idx="569">
                  <c:v>02:22</c:v>
                </c:pt>
                <c:pt idx="570">
                  <c:v>02:23</c:v>
                </c:pt>
                <c:pt idx="571">
                  <c:v>02:23</c:v>
                </c:pt>
                <c:pt idx="572">
                  <c:v>02:23</c:v>
                </c:pt>
                <c:pt idx="573">
                  <c:v>02:23</c:v>
                </c:pt>
                <c:pt idx="574">
                  <c:v>02:24</c:v>
                </c:pt>
                <c:pt idx="575">
                  <c:v>02:24</c:v>
                </c:pt>
                <c:pt idx="576">
                  <c:v>02:24</c:v>
                </c:pt>
                <c:pt idx="577">
                  <c:v>02:24</c:v>
                </c:pt>
                <c:pt idx="578">
                  <c:v>02:25</c:v>
                </c:pt>
                <c:pt idx="579">
                  <c:v>02:25</c:v>
                </c:pt>
                <c:pt idx="580">
                  <c:v>02:25</c:v>
                </c:pt>
                <c:pt idx="581">
                  <c:v>02:25</c:v>
                </c:pt>
                <c:pt idx="582">
                  <c:v>02:26</c:v>
                </c:pt>
                <c:pt idx="583">
                  <c:v>02:26</c:v>
                </c:pt>
                <c:pt idx="584">
                  <c:v>02:26</c:v>
                </c:pt>
                <c:pt idx="585">
                  <c:v>02:26</c:v>
                </c:pt>
                <c:pt idx="586">
                  <c:v>02:27</c:v>
                </c:pt>
                <c:pt idx="587">
                  <c:v>02:27</c:v>
                </c:pt>
                <c:pt idx="588">
                  <c:v>02:27</c:v>
                </c:pt>
                <c:pt idx="589">
                  <c:v>02:27</c:v>
                </c:pt>
                <c:pt idx="590">
                  <c:v>02:28</c:v>
                </c:pt>
                <c:pt idx="591">
                  <c:v>02:28</c:v>
                </c:pt>
                <c:pt idx="592">
                  <c:v>02:28</c:v>
                </c:pt>
                <c:pt idx="593">
                  <c:v>02:28</c:v>
                </c:pt>
                <c:pt idx="594">
                  <c:v>02:29</c:v>
                </c:pt>
                <c:pt idx="595">
                  <c:v>02:29</c:v>
                </c:pt>
                <c:pt idx="596">
                  <c:v>02:29</c:v>
                </c:pt>
                <c:pt idx="597">
                  <c:v>02:29</c:v>
                </c:pt>
                <c:pt idx="598">
                  <c:v>02:30</c:v>
                </c:pt>
                <c:pt idx="599">
                  <c:v>02:30</c:v>
                </c:pt>
                <c:pt idx="600">
                  <c:v>02:30</c:v>
                </c:pt>
                <c:pt idx="601">
                  <c:v>02:30</c:v>
                </c:pt>
                <c:pt idx="602">
                  <c:v>02:31</c:v>
                </c:pt>
              </c:strCache>
            </c:strRef>
          </c:cat>
          <c:val>
            <c:numRef>
              <c:f>'[3]Charing Profile'!$J$13:$J$615</c:f>
              <c:numCache>
                <c:formatCode>General</c:formatCode>
                <c:ptCount val="603"/>
                <c:pt idx="0">
                  <c:v>0.09</c:v>
                </c:pt>
                <c:pt idx="1">
                  <c:v>9.0986615930999493E-2</c:v>
                </c:pt>
                <c:pt idx="2">
                  <c:v>9.2102599780145442E-2</c:v>
                </c:pt>
                <c:pt idx="3">
                  <c:v>9.3385896118721459E-2</c:v>
                </c:pt>
                <c:pt idx="4">
                  <c:v>9.4908215055809236E-2</c:v>
                </c:pt>
                <c:pt idx="5">
                  <c:v>9.6469556591408753E-2</c:v>
                </c:pt>
                <c:pt idx="6">
                  <c:v>9.8022725985117548E-2</c:v>
                </c:pt>
                <c:pt idx="7">
                  <c:v>9.9577235117537632E-2</c:v>
                </c:pt>
                <c:pt idx="8">
                  <c:v>0.10113019839759851</c:v>
                </c:pt>
                <c:pt idx="9">
                  <c:v>0.1026927829570438</c:v>
                </c:pt>
                <c:pt idx="10">
                  <c:v>0.10423901266277694</c:v>
                </c:pt>
                <c:pt idx="11">
                  <c:v>0.10579321262472517</c:v>
                </c:pt>
                <c:pt idx="12">
                  <c:v>0.10731563250465076</c:v>
                </c:pt>
                <c:pt idx="13">
                  <c:v>0.108869832466599</c:v>
                </c:pt>
                <c:pt idx="14">
                  <c:v>0.11042413548537119</c:v>
                </c:pt>
                <c:pt idx="15">
                  <c:v>0.11196117093691862</c:v>
                </c:pt>
                <c:pt idx="16">
                  <c:v>0.11351568006933874</c:v>
                </c:pt>
                <c:pt idx="17">
                  <c:v>0.11506190977507186</c:v>
                </c:pt>
                <c:pt idx="18">
                  <c:v>0.11661610973702011</c:v>
                </c:pt>
                <c:pt idx="19">
                  <c:v>0.11817703693133771</c:v>
                </c:pt>
                <c:pt idx="20">
                  <c:v>0.11974655272281412</c:v>
                </c:pt>
                <c:pt idx="21">
                  <c:v>0.12133294922205309</c:v>
                </c:pt>
                <c:pt idx="22">
                  <c:v>0.12289522302553693</c:v>
                </c:pt>
                <c:pt idx="23">
                  <c:v>0.12448130401234567</c:v>
                </c:pt>
                <c:pt idx="24">
                  <c:v>0.12605847296211736</c:v>
                </c:pt>
                <c:pt idx="25">
                  <c:v>0.12763689761965161</c:v>
                </c:pt>
                <c:pt idx="26">
                  <c:v>0.12920703809403009</c:v>
                </c:pt>
                <c:pt idx="27">
                  <c:v>0.13078514882462369</c:v>
                </c:pt>
                <c:pt idx="28">
                  <c:v>0.13235528929900217</c:v>
                </c:pt>
                <c:pt idx="29">
                  <c:v>0.13391745951716552</c:v>
                </c:pt>
                <c:pt idx="30">
                  <c:v>0.1354796297353289</c:v>
                </c:pt>
                <c:pt idx="31">
                  <c:v>0.13706571072213761</c:v>
                </c:pt>
                <c:pt idx="32">
                  <c:v>0.13865179170894634</c:v>
                </c:pt>
                <c:pt idx="33">
                  <c:v>0.14022193218332482</c:v>
                </c:pt>
                <c:pt idx="34">
                  <c:v>0.14180004291391843</c:v>
                </c:pt>
                <c:pt idx="35">
                  <c:v>0.14337028750211395</c:v>
                </c:pt>
                <c:pt idx="36">
                  <c:v>0.14494042797649243</c:v>
                </c:pt>
                <c:pt idx="37">
                  <c:v>0.14651056845087093</c:v>
                </c:pt>
                <c:pt idx="38">
                  <c:v>0.1481046196938948</c:v>
                </c:pt>
                <c:pt idx="39">
                  <c:v>0.1496827304244884</c:v>
                </c:pt>
                <c:pt idx="40">
                  <c:v>0.15127678166751224</c:v>
                </c:pt>
                <c:pt idx="41">
                  <c:v>0.15285499704041941</c:v>
                </c:pt>
                <c:pt idx="42">
                  <c:v>0.1544252416286149</c:v>
                </c:pt>
                <c:pt idx="43">
                  <c:v>0.15600345700152207</c:v>
                </c:pt>
                <c:pt idx="44">
                  <c:v>0.15758156773211565</c:v>
                </c:pt>
                <c:pt idx="45">
                  <c:v>0.15915978310502282</c:v>
                </c:pt>
                <c:pt idx="46">
                  <c:v>0.16072195332318617</c:v>
                </c:pt>
                <c:pt idx="47">
                  <c:v>0.16228288051750378</c:v>
                </c:pt>
                <c:pt idx="48">
                  <c:v>0.16384670810079482</c:v>
                </c:pt>
                <c:pt idx="49">
                  <c:v>0.16543289425841365</c:v>
                </c:pt>
                <c:pt idx="50">
                  <c:v>0.16701792353712158</c:v>
                </c:pt>
                <c:pt idx="51">
                  <c:v>0.16861250327667848</c:v>
                </c:pt>
                <c:pt idx="52">
                  <c:v>0.1701823314096059</c:v>
                </c:pt>
                <c:pt idx="53">
                  <c:v>0.17174419087180781</c:v>
                </c:pt>
                <c:pt idx="54">
                  <c:v>0.17331339432183321</c:v>
                </c:pt>
                <c:pt idx="55">
                  <c:v>0.17490881965584301</c:v>
                </c:pt>
                <c:pt idx="56">
                  <c:v>0.17647885601640448</c:v>
                </c:pt>
                <c:pt idx="57">
                  <c:v>0.17805581568154907</c:v>
                </c:pt>
                <c:pt idx="58">
                  <c:v>0.1796269972940977</c:v>
                </c:pt>
                <c:pt idx="59">
                  <c:v>0.18120510802469131</c:v>
                </c:pt>
                <c:pt idx="60">
                  <c:v>0.18277524849906981</c:v>
                </c:pt>
                <c:pt idx="61">
                  <c:v>0.18436038294858781</c:v>
                </c:pt>
                <c:pt idx="62">
                  <c:v>0.18592151731354636</c:v>
                </c:pt>
                <c:pt idx="63">
                  <c:v>0.18749072076357176</c:v>
                </c:pt>
                <c:pt idx="64">
                  <c:v>0.18908445649416536</c:v>
                </c:pt>
                <c:pt idx="65">
                  <c:v>0.19064772545662095</c:v>
                </c:pt>
                <c:pt idx="66">
                  <c:v>0.19221786593099946</c:v>
                </c:pt>
                <c:pt idx="67">
                  <c:v>0.19381202287332991</c:v>
                </c:pt>
                <c:pt idx="68">
                  <c:v>0.19539013360392354</c:v>
                </c:pt>
                <c:pt idx="69">
                  <c:v>0.19697610941992216</c:v>
                </c:pt>
                <c:pt idx="70">
                  <c:v>0.19855432479282933</c:v>
                </c:pt>
                <c:pt idx="71">
                  <c:v>0.20014040577963807</c:v>
                </c:pt>
                <c:pt idx="72">
                  <c:v>0.20170247241248096</c:v>
                </c:pt>
                <c:pt idx="73">
                  <c:v>0.20329525526382547</c:v>
                </c:pt>
                <c:pt idx="74">
                  <c:v>0.20488835521308982</c:v>
                </c:pt>
                <c:pt idx="75">
                  <c:v>0.20648272355403349</c:v>
                </c:pt>
                <c:pt idx="76">
                  <c:v>0.20807592920260445</c:v>
                </c:pt>
                <c:pt idx="77">
                  <c:v>0.20963841017672924</c:v>
                </c:pt>
                <c:pt idx="78">
                  <c:v>0.21120855065110775</c:v>
                </c:pt>
                <c:pt idx="79">
                  <c:v>0.2127866613817013</c:v>
                </c:pt>
                <c:pt idx="80">
                  <c:v>0.21436477211229493</c:v>
                </c:pt>
                <c:pt idx="81">
                  <c:v>0.21594173177743956</c:v>
                </c:pt>
                <c:pt idx="82">
                  <c:v>0.2175361001183832</c:v>
                </c:pt>
                <c:pt idx="83">
                  <c:v>0.21913015136140707</c:v>
                </c:pt>
                <c:pt idx="84">
                  <c:v>0.22069904246998137</c:v>
                </c:pt>
                <c:pt idx="85">
                  <c:v>0.22228417691949942</c:v>
                </c:pt>
                <c:pt idx="86">
                  <c:v>0.22393401995602905</c:v>
                </c:pt>
                <c:pt idx="87">
                  <c:v>0.22551978543040752</c:v>
                </c:pt>
                <c:pt idx="88">
                  <c:v>0.22710586641721628</c:v>
                </c:pt>
                <c:pt idx="89">
                  <c:v>0.22870756923304583</c:v>
                </c:pt>
                <c:pt idx="90">
                  <c:v>0.23027729325215632</c:v>
                </c:pt>
                <c:pt idx="91">
                  <c:v>0.23186316389734485</c:v>
                </c:pt>
                <c:pt idx="92">
                  <c:v>0.23343288791645533</c:v>
                </c:pt>
                <c:pt idx="93">
                  <c:v>0.23501173114324375</c:v>
                </c:pt>
                <c:pt idx="94">
                  <c:v>0.23658260041434134</c:v>
                </c:pt>
                <c:pt idx="95">
                  <c:v>0.23816029257568075</c:v>
                </c:pt>
                <c:pt idx="96">
                  <c:v>0.23971428642398113</c:v>
                </c:pt>
                <c:pt idx="97">
                  <c:v>0.24129239715457473</c:v>
                </c:pt>
                <c:pt idx="98">
                  <c:v>0.24285404944613573</c:v>
                </c:pt>
                <c:pt idx="99">
                  <c:v>0.24442377346524613</c:v>
                </c:pt>
                <c:pt idx="100">
                  <c:v>0.24598573651276853</c:v>
                </c:pt>
                <c:pt idx="101">
                  <c:v>0.24754863182817527</c:v>
                </c:pt>
                <c:pt idx="102">
                  <c:v>0.2491099733637748</c:v>
                </c:pt>
                <c:pt idx="103">
                  <c:v>0.25068797945205484</c:v>
                </c:pt>
                <c:pt idx="104">
                  <c:v>0.25226682267884326</c:v>
                </c:pt>
                <c:pt idx="105">
                  <c:v>0.25381284732792153</c:v>
                </c:pt>
                <c:pt idx="106">
                  <c:v>0.25539169055471</c:v>
                </c:pt>
                <c:pt idx="107">
                  <c:v>0.2569774560290885</c:v>
                </c:pt>
                <c:pt idx="108">
                  <c:v>0.25856427321156777</c:v>
                </c:pt>
                <c:pt idx="109">
                  <c:v>0.26014311643835619</c:v>
                </c:pt>
                <c:pt idx="110">
                  <c:v>0.26172091324200919</c:v>
                </c:pt>
                <c:pt idx="111">
                  <c:v>0.26330667871638763</c:v>
                </c:pt>
                <c:pt idx="112">
                  <c:v>0.26488552194317611</c:v>
                </c:pt>
                <c:pt idx="113">
                  <c:v>0.26647128741755455</c:v>
                </c:pt>
                <c:pt idx="114">
                  <c:v>0.26807415873921869</c:v>
                </c:pt>
                <c:pt idx="115">
                  <c:v>0.26965992421359714</c:v>
                </c:pt>
                <c:pt idx="116">
                  <c:v>0.27122975234652458</c:v>
                </c:pt>
                <c:pt idx="117">
                  <c:v>0.27281551782090308</c:v>
                </c:pt>
                <c:pt idx="118">
                  <c:v>0.27440128329528152</c:v>
                </c:pt>
                <c:pt idx="119">
                  <c:v>0.27594823069930657</c:v>
                </c:pt>
                <c:pt idx="120">
                  <c:v>0.27754196484441057</c:v>
                </c:pt>
                <c:pt idx="121">
                  <c:v>0.27912867685607973</c:v>
                </c:pt>
                <c:pt idx="122">
                  <c:v>0.28069860910282418</c:v>
                </c:pt>
                <c:pt idx="123">
                  <c:v>0.28227745232961265</c:v>
                </c:pt>
                <c:pt idx="124">
                  <c:v>0.28385671412565527</c:v>
                </c:pt>
                <c:pt idx="125">
                  <c:v>0.28543461557162175</c:v>
                </c:pt>
                <c:pt idx="126">
                  <c:v>0.28701220309064762</c:v>
                </c:pt>
                <c:pt idx="127">
                  <c:v>0.28858999989430056</c:v>
                </c:pt>
                <c:pt idx="128">
                  <c:v>0.29017681707677989</c:v>
                </c:pt>
                <c:pt idx="129">
                  <c:v>0.2917618463554878</c:v>
                </c:pt>
                <c:pt idx="130">
                  <c:v>0.29334771700067641</c:v>
                </c:pt>
                <c:pt idx="131">
                  <c:v>0.29492551380432935</c:v>
                </c:pt>
                <c:pt idx="132">
                  <c:v>0.29650467095805838</c:v>
                </c:pt>
                <c:pt idx="133">
                  <c:v>0.29809022609081676</c:v>
                </c:pt>
                <c:pt idx="134">
                  <c:v>0.29969299118467774</c:v>
                </c:pt>
                <c:pt idx="135">
                  <c:v>0.30126281931760518</c:v>
                </c:pt>
                <c:pt idx="136">
                  <c:v>0.30286452213343473</c:v>
                </c:pt>
                <c:pt idx="137">
                  <c:v>0.30445028760781317</c:v>
                </c:pt>
                <c:pt idx="138">
                  <c:v>0.30602808441146617</c:v>
                </c:pt>
                <c:pt idx="139">
                  <c:v>0.30759895368256368</c:v>
                </c:pt>
                <c:pt idx="140">
                  <c:v>0.30917779690935215</c:v>
                </c:pt>
                <c:pt idx="141">
                  <c:v>0.3107555937130051</c:v>
                </c:pt>
                <c:pt idx="142">
                  <c:v>0.31235038485117528</c:v>
                </c:pt>
                <c:pt idx="143">
                  <c:v>0.31393615032555372</c:v>
                </c:pt>
                <c:pt idx="144">
                  <c:v>0.31552988447065772</c:v>
                </c:pt>
                <c:pt idx="145">
                  <c:v>0.31711564994503616</c:v>
                </c:pt>
                <c:pt idx="146">
                  <c:v>0.3186934467486891</c:v>
                </c:pt>
                <c:pt idx="147">
                  <c:v>0.32028823788685923</c:v>
                </c:pt>
                <c:pt idx="148">
                  <c:v>0.32185009734906117</c:v>
                </c:pt>
                <c:pt idx="149">
                  <c:v>0.32343691453154044</c:v>
                </c:pt>
                <c:pt idx="150">
                  <c:v>0.32503064867664444</c:v>
                </c:pt>
                <c:pt idx="151">
                  <c:v>0.32660949190343291</c:v>
                </c:pt>
                <c:pt idx="152">
                  <c:v>0.32820322604853691</c:v>
                </c:pt>
                <c:pt idx="153">
                  <c:v>0.32978217391763887</c:v>
                </c:pt>
                <c:pt idx="154">
                  <c:v>0.33137590806274281</c:v>
                </c:pt>
                <c:pt idx="155">
                  <c:v>0.33295475128953128</c:v>
                </c:pt>
                <c:pt idx="156">
                  <c:v>0.33454051676390978</c:v>
                </c:pt>
                <c:pt idx="157">
                  <c:v>0.33612628223828822</c:v>
                </c:pt>
                <c:pt idx="158">
                  <c:v>0.33771309942076749</c:v>
                </c:pt>
                <c:pt idx="159">
                  <c:v>0.33929089622442044</c:v>
                </c:pt>
                <c:pt idx="160">
                  <c:v>0.34086072435734788</c:v>
                </c:pt>
                <c:pt idx="161">
                  <c:v>0.34245551549551806</c:v>
                </c:pt>
                <c:pt idx="162">
                  <c:v>0.34404233267799733</c:v>
                </c:pt>
                <c:pt idx="163">
                  <c:v>0.34565349875274787</c:v>
                </c:pt>
                <c:pt idx="164">
                  <c:v>0.34723119091408733</c:v>
                </c:pt>
                <c:pt idx="165">
                  <c:v>0.34881737707170613</c:v>
                </c:pt>
                <c:pt idx="166">
                  <c:v>0.35042024839337022</c:v>
                </c:pt>
                <c:pt idx="167">
                  <c:v>0.35200569835531853</c:v>
                </c:pt>
                <c:pt idx="168">
                  <c:v>0.3536004894934886</c:v>
                </c:pt>
                <c:pt idx="169">
                  <c:v>0.35520219230931815</c:v>
                </c:pt>
                <c:pt idx="170">
                  <c:v>0.35678795778369665</c:v>
                </c:pt>
                <c:pt idx="171">
                  <c:v>0.35836680101048507</c:v>
                </c:pt>
                <c:pt idx="172">
                  <c:v>0.35995256648486357</c:v>
                </c:pt>
                <c:pt idx="173">
                  <c:v>0.36153938366734284</c:v>
                </c:pt>
                <c:pt idx="174">
                  <c:v>0.36312630602063223</c:v>
                </c:pt>
                <c:pt idx="175">
                  <c:v>0.3647210971588023</c:v>
                </c:pt>
                <c:pt idx="176">
                  <c:v>0.3663068626331808</c:v>
                </c:pt>
                <c:pt idx="177">
                  <c:v>0.36790175947065756</c:v>
                </c:pt>
                <c:pt idx="178">
                  <c:v>0.36948752494503601</c:v>
                </c:pt>
                <c:pt idx="179">
                  <c:v>0.37108125909014</c:v>
                </c:pt>
                <c:pt idx="180">
                  <c:v>0.37269093057669506</c:v>
                </c:pt>
                <c:pt idx="181">
                  <c:v>0.37427669605107361</c:v>
                </c:pt>
                <c:pt idx="182">
                  <c:v>0.37587148718924368</c:v>
                </c:pt>
                <c:pt idx="183">
                  <c:v>0.37746522133434768</c:v>
                </c:pt>
                <c:pt idx="184">
                  <c:v>0.3790440645611361</c:v>
                </c:pt>
                <c:pt idx="185">
                  <c:v>0.38064502378234361</c:v>
                </c:pt>
                <c:pt idx="186">
                  <c:v>0.38223089442753222</c:v>
                </c:pt>
                <c:pt idx="187">
                  <c:v>0.38381771161001149</c:v>
                </c:pt>
                <c:pt idx="188">
                  <c:v>0.38542047670387247</c:v>
                </c:pt>
                <c:pt idx="189">
                  <c:v>0.38701421084897647</c:v>
                </c:pt>
                <c:pt idx="190">
                  <c:v>0.38860900198714654</c:v>
                </c:pt>
                <c:pt idx="191">
                  <c:v>0.39018784521393501</c:v>
                </c:pt>
                <c:pt idx="192">
                  <c:v>0.39176564201758796</c:v>
                </c:pt>
                <c:pt idx="193">
                  <c:v>0.39335937616269195</c:v>
                </c:pt>
                <c:pt idx="194">
                  <c:v>0.39495311030779595</c:v>
                </c:pt>
                <c:pt idx="195">
                  <c:v>0.39655587540165693</c:v>
                </c:pt>
                <c:pt idx="196">
                  <c:v>0.39815066653982706</c:v>
                </c:pt>
                <c:pt idx="197">
                  <c:v>0.399744400684931</c:v>
                </c:pt>
                <c:pt idx="198">
                  <c:v>0.401338134830035</c:v>
                </c:pt>
                <c:pt idx="199">
                  <c:v>0.40292495201251427</c:v>
                </c:pt>
                <c:pt idx="200">
                  <c:v>0.40452665482834377</c:v>
                </c:pt>
                <c:pt idx="201">
                  <c:v>0.40612144596651395</c:v>
                </c:pt>
                <c:pt idx="202">
                  <c:v>0.40771623710468408</c:v>
                </c:pt>
                <c:pt idx="203">
                  <c:v>0.40929403390833702</c:v>
                </c:pt>
                <c:pt idx="204">
                  <c:v>0.41085692922374373</c:v>
                </c:pt>
                <c:pt idx="205">
                  <c:v>0.41245066336884773</c:v>
                </c:pt>
                <c:pt idx="206">
                  <c:v>0.41404450321325831</c:v>
                </c:pt>
                <c:pt idx="207">
                  <c:v>0.41564620602908781</c:v>
                </c:pt>
                <c:pt idx="208">
                  <c:v>0.41723994017419186</c:v>
                </c:pt>
                <c:pt idx="209">
                  <c:v>0.41883473131236199</c:v>
                </c:pt>
                <c:pt idx="210">
                  <c:v>0.42042049678674043</c:v>
                </c:pt>
                <c:pt idx="211">
                  <c:v>0.4220073139692197</c:v>
                </c:pt>
                <c:pt idx="212">
                  <c:v>0.42357714210214714</c:v>
                </c:pt>
                <c:pt idx="213">
                  <c:v>0.42515493890580008</c:v>
                </c:pt>
                <c:pt idx="214">
                  <c:v>0.42674070438017858</c:v>
                </c:pt>
                <c:pt idx="215">
                  <c:v>0.42831954760696694</c:v>
                </c:pt>
                <c:pt idx="216">
                  <c:v>0.42990636478944622</c:v>
                </c:pt>
                <c:pt idx="217">
                  <c:v>0.43147619292237366</c:v>
                </c:pt>
                <c:pt idx="218">
                  <c:v>0.43307098406054384</c:v>
                </c:pt>
                <c:pt idx="219">
                  <c:v>0.43464081219347128</c:v>
                </c:pt>
                <c:pt idx="220">
                  <c:v>0.43621860899712422</c:v>
                </c:pt>
                <c:pt idx="221">
                  <c:v>0.43781234314222822</c:v>
                </c:pt>
                <c:pt idx="222">
                  <c:v>0.43939810861660666</c:v>
                </c:pt>
                <c:pt idx="223">
                  <c:v>0.44097590542025966</c:v>
                </c:pt>
                <c:pt idx="224">
                  <c:v>0.44256272260273893</c:v>
                </c:pt>
                <c:pt idx="225">
                  <c:v>0.4441654876965998</c:v>
                </c:pt>
                <c:pt idx="226">
                  <c:v>0.44572734715880175</c:v>
                </c:pt>
                <c:pt idx="227">
                  <c:v>0.44731311263318024</c:v>
                </c:pt>
                <c:pt idx="228">
                  <c:v>0.44889992981565952</c:v>
                </c:pt>
                <c:pt idx="229">
                  <c:v>0.45047877304244788</c:v>
                </c:pt>
                <c:pt idx="230">
                  <c:v>0.45204063250464976</c:v>
                </c:pt>
                <c:pt idx="231">
                  <c:v>0.45362744968712904</c:v>
                </c:pt>
                <c:pt idx="232">
                  <c:v>0.45521426686960836</c:v>
                </c:pt>
                <c:pt idx="233">
                  <c:v>0.45682500591916014</c:v>
                </c:pt>
                <c:pt idx="234">
                  <c:v>0.45839483405208759</c:v>
                </c:pt>
                <c:pt idx="235">
                  <c:v>0.45998856819719169</c:v>
                </c:pt>
                <c:pt idx="236">
                  <c:v>0.46155808398866804</c:v>
                </c:pt>
                <c:pt idx="237">
                  <c:v>0.46313535758075325</c:v>
                </c:pt>
                <c:pt idx="238">
                  <c:v>0.46469659553103232</c:v>
                </c:pt>
                <c:pt idx="239">
                  <c:v>0.46626819359884902</c:v>
                </c:pt>
                <c:pt idx="240">
                  <c:v>0.46783937521139768</c:v>
                </c:pt>
                <c:pt idx="241">
                  <c:v>0.4694253510273963</c:v>
                </c:pt>
                <c:pt idx="242">
                  <c:v>0.47100356640030344</c:v>
                </c:pt>
                <c:pt idx="243">
                  <c:v>0.47256573661846679</c:v>
                </c:pt>
                <c:pt idx="244">
                  <c:v>0.47415286931337636</c:v>
                </c:pt>
                <c:pt idx="245">
                  <c:v>0.47572280156012076</c:v>
                </c:pt>
                <c:pt idx="246">
                  <c:v>0.4772930461483163</c:v>
                </c:pt>
                <c:pt idx="247">
                  <c:v>0.47888709739134017</c:v>
                </c:pt>
                <c:pt idx="248">
                  <c:v>0.48046594061812853</c:v>
                </c:pt>
                <c:pt idx="249">
                  <c:v>0.48203608109250701</c:v>
                </c:pt>
                <c:pt idx="250">
                  <c:v>0.48361314539996514</c:v>
                </c:pt>
                <c:pt idx="251">
                  <c:v>0.48518234884999056</c:v>
                </c:pt>
                <c:pt idx="252">
                  <c:v>0.48675144818619892</c:v>
                </c:pt>
                <c:pt idx="253">
                  <c:v>0.48835474441907561</c:v>
                </c:pt>
                <c:pt idx="254">
                  <c:v>0.48992498900727116</c:v>
                </c:pt>
                <c:pt idx="255">
                  <c:v>0.49150320438017825</c:v>
                </c:pt>
                <c:pt idx="256">
                  <c:v>0.49308928536698698</c:v>
                </c:pt>
                <c:pt idx="257">
                  <c:v>0.49467536635379578</c:v>
                </c:pt>
                <c:pt idx="258">
                  <c:v>0.49623764015727961</c:v>
                </c:pt>
                <c:pt idx="259">
                  <c:v>0.49781575088787322</c:v>
                </c:pt>
                <c:pt idx="260">
                  <c:v>0.49939386161846677</c:v>
                </c:pt>
                <c:pt idx="261">
                  <c:v>0.50098896985455676</c:v>
                </c:pt>
                <c:pt idx="262">
                  <c:v>0.50256728986977739</c:v>
                </c:pt>
                <c:pt idx="263">
                  <c:v>0.50413743034415592</c:v>
                </c:pt>
                <c:pt idx="264">
                  <c:v>0.50570757081853435</c:v>
                </c:pt>
                <c:pt idx="265">
                  <c:v>0.50726974103669775</c:v>
                </c:pt>
                <c:pt idx="266">
                  <c:v>0.50884774712497771</c:v>
                </c:pt>
                <c:pt idx="267">
                  <c:v>0.51043403845340662</c:v>
                </c:pt>
                <c:pt idx="268">
                  <c:v>0.51202808969643043</c:v>
                </c:pt>
                <c:pt idx="269">
                  <c:v>0.51359937542279621</c:v>
                </c:pt>
                <c:pt idx="270">
                  <c:v>0.51519342666582013</c:v>
                </c:pt>
                <c:pt idx="271">
                  <c:v>0.51678747790884394</c:v>
                </c:pt>
                <c:pt idx="272">
                  <c:v>0.51836558863943749</c:v>
                </c:pt>
                <c:pt idx="273">
                  <c:v>0.51993572911381591</c:v>
                </c:pt>
                <c:pt idx="274">
                  <c:v>0.52152181010062471</c:v>
                </c:pt>
                <c:pt idx="275">
                  <c:v>0.52309992083121826</c:v>
                </c:pt>
                <c:pt idx="276">
                  <c:v>0.5246781362041254</c:v>
                </c:pt>
                <c:pt idx="277">
                  <c:v>0.52624827667850393</c:v>
                </c:pt>
                <c:pt idx="278">
                  <c:v>0.52781831303906535</c:v>
                </c:pt>
                <c:pt idx="279">
                  <c:v>0.52939757483510808</c:v>
                </c:pt>
                <c:pt idx="280">
                  <c:v>0.53095187785388021</c:v>
                </c:pt>
                <c:pt idx="281">
                  <c:v>0.53253806401149906</c:v>
                </c:pt>
                <c:pt idx="282">
                  <c:v>0.53412414499830785</c:v>
                </c:pt>
                <c:pt idx="283">
                  <c:v>0.53571022598511653</c:v>
                </c:pt>
                <c:pt idx="284">
                  <c:v>0.53731224748435547</c:v>
                </c:pt>
                <c:pt idx="285">
                  <c:v>0.5388824920725509</c:v>
                </c:pt>
                <c:pt idx="286">
                  <c:v>0.54046846788854952</c:v>
                </c:pt>
                <c:pt idx="287">
                  <c:v>0.54205465404616848</c:v>
                </c:pt>
                <c:pt idx="288">
                  <c:v>0.54362479452054691</c:v>
                </c:pt>
                <c:pt idx="289">
                  <c:v>0.54521066516573546</c:v>
                </c:pt>
                <c:pt idx="290">
                  <c:v>0.54678908982326968</c:v>
                </c:pt>
                <c:pt idx="291">
                  <c:v>0.54836740983849042</c:v>
                </c:pt>
                <c:pt idx="292">
                  <c:v>0.54993755031286895</c:v>
                </c:pt>
                <c:pt idx="293">
                  <c:v>0.55152321061643728</c:v>
                </c:pt>
                <c:pt idx="294">
                  <c:v>0.55311757895738101</c:v>
                </c:pt>
                <c:pt idx="295">
                  <c:v>0.55472757071283507</c:v>
                </c:pt>
                <c:pt idx="296">
                  <c:v>0.55630484430492033</c:v>
                </c:pt>
                <c:pt idx="297">
                  <c:v>0.55789197699982984</c:v>
                </c:pt>
                <c:pt idx="298">
                  <c:v>0.55947008773042339</c:v>
                </c:pt>
                <c:pt idx="299">
                  <c:v>0.56103929118044882</c:v>
                </c:pt>
                <c:pt idx="300">
                  <c:v>0.56262442562996684</c:v>
                </c:pt>
                <c:pt idx="301">
                  <c:v>0.56420991522915509</c:v>
                </c:pt>
                <c:pt idx="302">
                  <c:v>0.56578122420936827</c:v>
                </c:pt>
                <c:pt idx="303">
                  <c:v>0.56736741036698701</c:v>
                </c:pt>
                <c:pt idx="304">
                  <c:v>0.56895464823270669</c:v>
                </c:pt>
                <c:pt idx="305">
                  <c:v>0.57053286360561373</c:v>
                </c:pt>
                <c:pt idx="306">
                  <c:v>0.57213488510485266</c:v>
                </c:pt>
                <c:pt idx="307">
                  <c:v>0.57372861924995677</c:v>
                </c:pt>
                <c:pt idx="308">
                  <c:v>0.57531459506595539</c:v>
                </c:pt>
                <c:pt idx="309">
                  <c:v>0.57689291508117613</c:v>
                </c:pt>
                <c:pt idx="310">
                  <c:v>0.57849366184677742</c:v>
                </c:pt>
                <c:pt idx="311">
                  <c:v>0.5800802686876364</c:v>
                </c:pt>
                <c:pt idx="312">
                  <c:v>0.58165827477591658</c:v>
                </c:pt>
                <c:pt idx="313">
                  <c:v>0.58324446093353532</c:v>
                </c:pt>
                <c:pt idx="314">
                  <c:v>0.58482257166412888</c:v>
                </c:pt>
                <c:pt idx="315">
                  <c:v>0.58640886299255768</c:v>
                </c:pt>
                <c:pt idx="316">
                  <c:v>0.5880029142355816</c:v>
                </c:pt>
                <c:pt idx="317">
                  <c:v>0.58960493573482053</c:v>
                </c:pt>
                <c:pt idx="318">
                  <c:v>0.59119919837645762</c:v>
                </c:pt>
                <c:pt idx="319">
                  <c:v>0.59279994514205891</c:v>
                </c:pt>
                <c:pt idx="320">
                  <c:v>0.59438623647048783</c:v>
                </c:pt>
                <c:pt idx="321">
                  <c:v>0.59596434720108138</c:v>
                </c:pt>
                <c:pt idx="322">
                  <c:v>0.59754120222391249</c:v>
                </c:pt>
                <c:pt idx="323">
                  <c:v>0.5991263366734304</c:v>
                </c:pt>
                <c:pt idx="324">
                  <c:v>0.60071283834347955</c:v>
                </c:pt>
                <c:pt idx="325">
                  <c:v>0.6023149660705216</c:v>
                </c:pt>
                <c:pt idx="326">
                  <c:v>0.60389297215880156</c:v>
                </c:pt>
                <c:pt idx="327">
                  <c:v>0.60548712910113212</c:v>
                </c:pt>
                <c:pt idx="328">
                  <c:v>0.60706534447403926</c:v>
                </c:pt>
                <c:pt idx="329">
                  <c:v>0.6086276182775231</c:v>
                </c:pt>
                <c:pt idx="330">
                  <c:v>0.61020583365043024</c:v>
                </c:pt>
                <c:pt idx="331">
                  <c:v>0.61180774892186607</c:v>
                </c:pt>
                <c:pt idx="332">
                  <c:v>0.61340190586419652</c:v>
                </c:pt>
                <c:pt idx="333">
                  <c:v>0.61497215045239195</c:v>
                </c:pt>
                <c:pt idx="334">
                  <c:v>0.61655823143920074</c:v>
                </c:pt>
                <c:pt idx="335">
                  <c:v>0.61814305037628847</c:v>
                </c:pt>
                <c:pt idx="336">
                  <c:v>0.61972944687552745</c:v>
                </c:pt>
                <c:pt idx="337">
                  <c:v>0.62131563303314641</c:v>
                </c:pt>
                <c:pt idx="338">
                  <c:v>0.6229085215837975</c:v>
                </c:pt>
                <c:pt idx="339">
                  <c:v>0.62450288992474112</c:v>
                </c:pt>
                <c:pt idx="340">
                  <c:v>0.62608897091154991</c:v>
                </c:pt>
                <c:pt idx="341">
                  <c:v>0.62767515706916877</c:v>
                </c:pt>
                <c:pt idx="342">
                  <c:v>0.62926134322678751</c:v>
                </c:pt>
                <c:pt idx="343">
                  <c:v>0.63085550016911796</c:v>
                </c:pt>
                <c:pt idx="344">
                  <c:v>0.63244158115592675</c:v>
                </c:pt>
                <c:pt idx="345">
                  <c:v>0.63401979652883389</c:v>
                </c:pt>
                <c:pt idx="346">
                  <c:v>0.63561257938017834</c:v>
                </c:pt>
                <c:pt idx="347">
                  <c:v>0.63719100403771256</c:v>
                </c:pt>
                <c:pt idx="348">
                  <c:v>0.6388076786318273</c:v>
                </c:pt>
                <c:pt idx="349">
                  <c:v>0.64038631257398859</c:v>
                </c:pt>
                <c:pt idx="350">
                  <c:v>0.64197239356079738</c:v>
                </c:pt>
                <c:pt idx="351">
                  <c:v>0.64355050429139093</c:v>
                </c:pt>
                <c:pt idx="352">
                  <c:v>0.64515252579062987</c:v>
                </c:pt>
                <c:pt idx="353">
                  <c:v>0.6467393429731092</c:v>
                </c:pt>
                <c:pt idx="354">
                  <c:v>0.64832542395991799</c:v>
                </c:pt>
                <c:pt idx="355">
                  <c:v>0.64990353469051154</c:v>
                </c:pt>
                <c:pt idx="356">
                  <c:v>0.6514816454211052</c:v>
                </c:pt>
                <c:pt idx="357">
                  <c:v>0.65306772640791388</c:v>
                </c:pt>
                <c:pt idx="358">
                  <c:v>0.65466177765093769</c:v>
                </c:pt>
                <c:pt idx="359">
                  <c:v>0.65623264692203542</c:v>
                </c:pt>
                <c:pt idx="360">
                  <c:v>0.65780309973786488</c:v>
                </c:pt>
                <c:pt idx="361">
                  <c:v>0.6593971509808888</c:v>
                </c:pt>
                <c:pt idx="362">
                  <c:v>0.66098323196769759</c:v>
                </c:pt>
                <c:pt idx="363">
                  <c:v>0.66256941812531622</c:v>
                </c:pt>
                <c:pt idx="364">
                  <c:v>0.66413955859969476</c:v>
                </c:pt>
                <c:pt idx="365">
                  <c:v>0.66570172881785805</c:v>
                </c:pt>
                <c:pt idx="366">
                  <c:v>0.66729578006088197</c:v>
                </c:pt>
                <c:pt idx="367">
                  <c:v>0.66888196621850071</c:v>
                </c:pt>
                <c:pt idx="368">
                  <c:v>0.67045882124133183</c:v>
                </c:pt>
                <c:pt idx="369">
                  <c:v>0.6720611614239802</c:v>
                </c:pt>
                <c:pt idx="370">
                  <c:v>0.67363927215457375</c:v>
                </c:pt>
                <c:pt idx="371">
                  <c:v>0.6752095167427693</c:v>
                </c:pt>
                <c:pt idx="372">
                  <c:v>0.67679559772957809</c:v>
                </c:pt>
                <c:pt idx="373">
                  <c:v>0.67836573820395651</c:v>
                </c:pt>
                <c:pt idx="374">
                  <c:v>0.67996775970319545</c:v>
                </c:pt>
                <c:pt idx="375">
                  <c:v>0.68158507800608736</c:v>
                </c:pt>
                <c:pt idx="376">
                  <c:v>0.68317109610180871</c:v>
                </c:pt>
                <c:pt idx="377">
                  <c:v>0.68476525674361488</c:v>
                </c:pt>
                <c:pt idx="378">
                  <c:v>0.68635803959495945</c:v>
                </c:pt>
                <c:pt idx="379">
                  <c:v>0.68793510390241752</c:v>
                </c:pt>
                <c:pt idx="380">
                  <c:v>0.68951499355234136</c:v>
                </c:pt>
                <c:pt idx="381">
                  <c:v>0.69110904479536528</c:v>
                </c:pt>
                <c:pt idx="382">
                  <c:v>0.69267142218416955</c:v>
                </c:pt>
                <c:pt idx="383">
                  <c:v>0.6942496375570768</c:v>
                </c:pt>
                <c:pt idx="384">
                  <c:v>0.69584358310079397</c:v>
                </c:pt>
                <c:pt idx="385">
                  <c:v>0.6974379514417377</c:v>
                </c:pt>
                <c:pt idx="386">
                  <c:v>0.69902234969558508</c:v>
                </c:pt>
                <c:pt idx="387">
                  <c:v>0.70060895653644417</c:v>
                </c:pt>
                <c:pt idx="388">
                  <c:v>0.70219514269406302</c:v>
                </c:pt>
                <c:pt idx="389">
                  <c:v>0.70379035662945966</c:v>
                </c:pt>
                <c:pt idx="390">
                  <c:v>0.70536846736005321</c:v>
                </c:pt>
                <c:pt idx="391">
                  <c:v>0.706954548346862</c:v>
                </c:pt>
                <c:pt idx="392">
                  <c:v>0.70853381014290451</c:v>
                </c:pt>
                <c:pt idx="393">
                  <c:v>0.7101198911297133</c:v>
                </c:pt>
                <c:pt idx="394">
                  <c:v>0.71171394237273722</c:v>
                </c:pt>
                <c:pt idx="395">
                  <c:v>0.71332510844748775</c:v>
                </c:pt>
                <c:pt idx="396">
                  <c:v>0.71491118943429643</c:v>
                </c:pt>
                <c:pt idx="397">
                  <c:v>0.71650534637662688</c:v>
                </c:pt>
                <c:pt idx="398">
                  <c:v>0.71808460817266961</c:v>
                </c:pt>
                <c:pt idx="399">
                  <c:v>0.71967058398866823</c:v>
                </c:pt>
                <c:pt idx="400">
                  <c:v>0.72124072446304666</c:v>
                </c:pt>
                <c:pt idx="401">
                  <c:v>0.72281831198207258</c:v>
                </c:pt>
                <c:pt idx="402">
                  <c:v>0.7244209708481304</c:v>
                </c:pt>
                <c:pt idx="403">
                  <c:v>0.72600023264417302</c:v>
                </c:pt>
                <c:pt idx="404">
                  <c:v>0.72759438958650346</c:v>
                </c:pt>
                <c:pt idx="405">
                  <c:v>0.72919651731354551</c:v>
                </c:pt>
                <c:pt idx="406">
                  <c:v>0.73078154659225347</c:v>
                </c:pt>
                <c:pt idx="407">
                  <c:v>0.73236049446135543</c:v>
                </c:pt>
                <c:pt idx="408">
                  <c:v>0.73394552374006339</c:v>
                </c:pt>
                <c:pt idx="409">
                  <c:v>0.73553851799002112</c:v>
                </c:pt>
                <c:pt idx="410">
                  <c:v>0.73711568693979279</c:v>
                </c:pt>
                <c:pt idx="411">
                  <c:v>0.73870868118975053</c:v>
                </c:pt>
                <c:pt idx="412">
                  <c:v>0.74029381563926844</c:v>
                </c:pt>
                <c:pt idx="413">
                  <c:v>0.74186291497547685</c:v>
                </c:pt>
                <c:pt idx="414">
                  <c:v>0.74345025801200648</c:v>
                </c:pt>
                <c:pt idx="415">
                  <c:v>0.74502039848638502</c:v>
                </c:pt>
                <c:pt idx="416">
                  <c:v>0.74659053896076344</c:v>
                </c:pt>
                <c:pt idx="417">
                  <c:v>0.74814587254777509</c:v>
                </c:pt>
                <c:pt idx="418">
                  <c:v>0.74970007250972337</c:v>
                </c:pt>
                <c:pt idx="419">
                  <c:v>0.75128720520463288</c:v>
                </c:pt>
                <c:pt idx="420">
                  <c:v>0.75287454824116262</c:v>
                </c:pt>
                <c:pt idx="421">
                  <c:v>0.75443661487400548</c:v>
                </c:pt>
                <c:pt idx="422">
                  <c:v>0.75601472560459893</c:v>
                </c:pt>
                <c:pt idx="423">
                  <c:v>0.75760185829950855</c:v>
                </c:pt>
                <c:pt idx="424">
                  <c:v>0.75920387979874748</c:v>
                </c:pt>
                <c:pt idx="425">
                  <c:v>0.76078209517165463</c:v>
                </c:pt>
                <c:pt idx="426">
                  <c:v>0.76236807098765336</c:v>
                </c:pt>
                <c:pt idx="427">
                  <c:v>0.76394628636056039</c:v>
                </c:pt>
                <c:pt idx="428">
                  <c:v>0.76551642683493892</c:v>
                </c:pt>
                <c:pt idx="429">
                  <c:v>0.76708656730931746</c:v>
                </c:pt>
                <c:pt idx="430">
                  <c:v>0.76867391034584709</c:v>
                </c:pt>
                <c:pt idx="431">
                  <c:v>0.77027603807288914</c:v>
                </c:pt>
                <c:pt idx="432">
                  <c:v>0.77186211905969793</c:v>
                </c:pt>
                <c:pt idx="433">
                  <c:v>0.773440125147978</c:v>
                </c:pt>
                <c:pt idx="434">
                  <c:v>0.77501057796380746</c:v>
                </c:pt>
                <c:pt idx="435">
                  <c:v>0.77660452350752474</c:v>
                </c:pt>
                <c:pt idx="436">
                  <c:v>0.77819070966514359</c:v>
                </c:pt>
                <c:pt idx="437">
                  <c:v>0.77976882039573725</c:v>
                </c:pt>
                <c:pt idx="438">
                  <c:v>0.78135500655335599</c:v>
                </c:pt>
                <c:pt idx="439">
                  <c:v>0.78294905779637969</c:v>
                </c:pt>
                <c:pt idx="440">
                  <c:v>0.78451112442922255</c:v>
                </c:pt>
                <c:pt idx="441">
                  <c:v>0.78610633836461907</c:v>
                </c:pt>
                <c:pt idx="442">
                  <c:v>0.78770038960764288</c:v>
                </c:pt>
                <c:pt idx="443">
                  <c:v>0.78927860498055014</c:v>
                </c:pt>
                <c:pt idx="444">
                  <c:v>0.79086573767545965</c:v>
                </c:pt>
                <c:pt idx="445">
                  <c:v>0.7924438484060532</c:v>
                </c:pt>
                <c:pt idx="446">
                  <c:v>0.79402206377896034</c:v>
                </c:pt>
                <c:pt idx="447">
                  <c:v>0.7956002791518676</c:v>
                </c:pt>
                <c:pt idx="448">
                  <c:v>0.79717052374006292</c:v>
                </c:pt>
                <c:pt idx="449">
                  <c:v>0.79878848575173211</c:v>
                </c:pt>
                <c:pt idx="450">
                  <c:v>0.80037456673854079</c:v>
                </c:pt>
                <c:pt idx="451">
                  <c:v>0.80196745528919189</c:v>
                </c:pt>
                <c:pt idx="452">
                  <c:v>0.80353665873921731</c:v>
                </c:pt>
                <c:pt idx="453">
                  <c:v>0.80512168801792527</c:v>
                </c:pt>
                <c:pt idx="454">
                  <c:v>0.8067068224674433</c:v>
                </c:pt>
                <c:pt idx="455">
                  <c:v>0.80827602591746872</c:v>
                </c:pt>
                <c:pt idx="456">
                  <c:v>0.80986252758751764</c:v>
                </c:pt>
                <c:pt idx="457">
                  <c:v>0.81143969653728942</c:v>
                </c:pt>
                <c:pt idx="458">
                  <c:v>0.81301686548706109</c:v>
                </c:pt>
                <c:pt idx="459">
                  <c:v>0.81461853025114028</c:v>
                </c:pt>
                <c:pt idx="460">
                  <c:v>0.81618994387366695</c:v>
                </c:pt>
                <c:pt idx="461">
                  <c:v>0.81776008434804548</c:v>
                </c:pt>
                <c:pt idx="462">
                  <c:v>0.81936210584728442</c:v>
                </c:pt>
                <c:pt idx="463">
                  <c:v>0.82094021657787797</c:v>
                </c:pt>
                <c:pt idx="464">
                  <c:v>0.82252629756468665</c:v>
                </c:pt>
                <c:pt idx="465">
                  <c:v>0.82411237855149533</c:v>
                </c:pt>
                <c:pt idx="466">
                  <c:v>0.82565860825722825</c:v>
                </c:pt>
                <c:pt idx="467">
                  <c:v>0.82724479441484722</c:v>
                </c:pt>
                <c:pt idx="468">
                  <c:v>0.82882290514544088</c:v>
                </c:pt>
                <c:pt idx="469">
                  <c:v>0.83040091123372095</c:v>
                </c:pt>
                <c:pt idx="470">
                  <c:v>0.83196194201335905</c:v>
                </c:pt>
                <c:pt idx="471">
                  <c:v>0.83353249894300563</c:v>
                </c:pt>
                <c:pt idx="472">
                  <c:v>0.83510253530356704</c:v>
                </c:pt>
                <c:pt idx="473">
                  <c:v>0.83668064603416059</c:v>
                </c:pt>
                <c:pt idx="474">
                  <c:v>0.83825089062235614</c:v>
                </c:pt>
                <c:pt idx="475">
                  <c:v>0.83982795492981432</c:v>
                </c:pt>
                <c:pt idx="476">
                  <c:v>0.84141308937933235</c:v>
                </c:pt>
                <c:pt idx="477">
                  <c:v>0.84300745772027608</c:v>
                </c:pt>
                <c:pt idx="478">
                  <c:v>0.84458567309318322</c:v>
                </c:pt>
                <c:pt idx="479">
                  <c:v>0.84617185925080196</c:v>
                </c:pt>
                <c:pt idx="480">
                  <c:v>0.84774871427363296</c:v>
                </c:pt>
                <c:pt idx="481">
                  <c:v>0.84934181422289723</c:v>
                </c:pt>
                <c:pt idx="482">
                  <c:v>0.85092023888043145</c:v>
                </c:pt>
                <c:pt idx="483">
                  <c:v>0.85249027524099286</c:v>
                </c:pt>
                <c:pt idx="484">
                  <c:v>0.85407656656942177</c:v>
                </c:pt>
                <c:pt idx="485">
                  <c:v>0.85565467730001554</c:v>
                </c:pt>
                <c:pt idx="486">
                  <c:v>0.85724086345763439</c:v>
                </c:pt>
                <c:pt idx="487">
                  <c:v>0.85882694444444307</c:v>
                </c:pt>
                <c:pt idx="488">
                  <c:v>0.86040453196346889</c:v>
                </c:pt>
                <c:pt idx="489">
                  <c:v>0.86200687214611738</c:v>
                </c:pt>
                <c:pt idx="490">
                  <c:v>0.86358498287671093</c:v>
                </c:pt>
                <c:pt idx="491">
                  <c:v>0.8651722207424305</c:v>
                </c:pt>
                <c:pt idx="492">
                  <c:v>0.86675767070437881</c:v>
                </c:pt>
                <c:pt idx="493">
                  <c:v>0.86832801940639126</c:v>
                </c:pt>
                <c:pt idx="494">
                  <c:v>0.86992217634872171</c:v>
                </c:pt>
                <c:pt idx="495">
                  <c:v>0.87150039172162885</c:v>
                </c:pt>
                <c:pt idx="496">
                  <c:v>0.87310241322086779</c:v>
                </c:pt>
                <c:pt idx="497">
                  <c:v>0.87465671623964003</c:v>
                </c:pt>
                <c:pt idx="498">
                  <c:v>0.87621899004312387</c:v>
                </c:pt>
                <c:pt idx="499">
                  <c:v>0.87775602549467135</c:v>
                </c:pt>
                <c:pt idx="500">
                  <c:v>0.87925473173515845</c:v>
                </c:pt>
                <c:pt idx="501">
                  <c:v>0.88075323926094906</c:v>
                </c:pt>
                <c:pt idx="502">
                  <c:v>0.88225174678673968</c:v>
                </c:pt>
                <c:pt idx="503">
                  <c:v>0.88371710700997674</c:v>
                </c:pt>
                <c:pt idx="504">
                  <c:v>0.88519859166243753</c:v>
                </c:pt>
                <c:pt idx="505">
                  <c:v>0.88664840880263707</c:v>
                </c:pt>
                <c:pt idx="506">
                  <c:v>0.88811396351259808</c:v>
                </c:pt>
                <c:pt idx="507">
                  <c:v>0.88956358828005966</c:v>
                </c:pt>
                <c:pt idx="508">
                  <c:v>0.89098144723490502</c:v>
                </c:pt>
                <c:pt idx="509">
                  <c:v>0.89241647387113021</c:v>
                </c:pt>
                <c:pt idx="510">
                  <c:v>0.89378735794013076</c:v>
                </c:pt>
                <c:pt idx="511">
                  <c:v>0.89516621226534654</c:v>
                </c:pt>
                <c:pt idx="512">
                  <c:v>0.89653081849231009</c:v>
                </c:pt>
                <c:pt idx="513">
                  <c:v>0.89786748887160672</c:v>
                </c:pt>
                <c:pt idx="514">
                  <c:v>0.89917178855675228</c:v>
                </c:pt>
                <c:pt idx="515">
                  <c:v>0.9004561827048797</c:v>
                </c:pt>
                <c:pt idx="516">
                  <c:v>0.90171885979515753</c:v>
                </c:pt>
                <c:pt idx="517">
                  <c:v>0.90296799616129597</c:v>
                </c:pt>
                <c:pt idx="518">
                  <c:v>0.90419689317246532</c:v>
                </c:pt>
                <c:pt idx="519">
                  <c:v>0.90540558578417207</c:v>
                </c:pt>
                <c:pt idx="520">
                  <c:v>0.90661000214832688</c:v>
                </c:pt>
                <c:pt idx="521">
                  <c:v>0.9077981604823645</c:v>
                </c:pt>
                <c:pt idx="522">
                  <c:v>0.90897741524505782</c:v>
                </c:pt>
                <c:pt idx="523">
                  <c:v>0.91013098577325646</c:v>
                </c:pt>
                <c:pt idx="524">
                  <c:v>0.91125838781283963</c:v>
                </c:pt>
                <c:pt idx="525">
                  <c:v>0.91238203841041599</c:v>
                </c:pt>
                <c:pt idx="526">
                  <c:v>0.91348627098036139</c:v>
                </c:pt>
                <c:pt idx="527">
                  <c:v>0.91457393565851874</c:v>
                </c:pt>
                <c:pt idx="528">
                  <c:v>0.91564961398957545</c:v>
                </c:pt>
                <c:pt idx="529">
                  <c:v>0.91671138884970504</c:v>
                </c:pt>
                <c:pt idx="530">
                  <c:v>0.91774861711422795</c:v>
                </c:pt>
                <c:pt idx="531">
                  <c:v>0.91876905397472297</c:v>
                </c:pt>
                <c:pt idx="532">
                  <c:v>0.91976974950409351</c:v>
                </c:pt>
                <c:pt idx="533">
                  <c:v>0.92076195468580746</c:v>
                </c:pt>
                <c:pt idx="534">
                  <c:v>0.9217408009090291</c:v>
                </c:pt>
                <c:pt idx="535">
                  <c:v>0.92270024676550078</c:v>
                </c:pt>
                <c:pt idx="536">
                  <c:v>0.9236445824464754</c:v>
                </c:pt>
                <c:pt idx="537">
                  <c:v>0.92458094779501132</c:v>
                </c:pt>
                <c:pt idx="538">
                  <c:v>0.92550144080755814</c:v>
                </c:pt>
                <c:pt idx="539">
                  <c:v>0.92641069996554193</c:v>
                </c:pt>
                <c:pt idx="540">
                  <c:v>0.92730885945743446</c:v>
                </c:pt>
                <c:pt idx="541">
                  <c:v>0.92819272400349606</c:v>
                </c:pt>
                <c:pt idx="542">
                  <c:v>0.92905814405869658</c:v>
                </c:pt>
                <c:pt idx="543">
                  <c:v>0.92991582682047125</c:v>
                </c:pt>
                <c:pt idx="544">
                  <c:v>0.93075563956878082</c:v>
                </c:pt>
                <c:pt idx="545">
                  <c:v>0.93159367379575631</c:v>
                </c:pt>
                <c:pt idx="546">
                  <c:v>0.93240964070895949</c:v>
                </c:pt>
                <c:pt idx="547">
                  <c:v>0.93322456944021548</c:v>
                </c:pt>
                <c:pt idx="548">
                  <c:v>0.93401536947557984</c:v>
                </c:pt>
                <c:pt idx="549">
                  <c:v>0.93479899777374309</c:v>
                </c:pt>
                <c:pt idx="550">
                  <c:v>0.93557265495811304</c:v>
                </c:pt>
                <c:pt idx="551">
                  <c:v>0.93632783833798872</c:v>
                </c:pt>
                <c:pt idx="552">
                  <c:v>0.93707375539489357</c:v>
                </c:pt>
                <c:pt idx="553">
                  <c:v>0.93780901400745498</c:v>
                </c:pt>
                <c:pt idx="554">
                  <c:v>0.93853672382891951</c:v>
                </c:pt>
                <c:pt idx="555">
                  <c:v>0.93925023279746478</c:v>
                </c:pt>
                <c:pt idx="556">
                  <c:v>0.93995336012848352</c:v>
                </c:pt>
                <c:pt idx="557">
                  <c:v>0.94064456195146162</c:v>
                </c:pt>
                <c:pt idx="558">
                  <c:v>0.94132809625873148</c:v>
                </c:pt>
                <c:pt idx="559">
                  <c:v>0.94200251816456837</c:v>
                </c:pt>
                <c:pt idx="560">
                  <c:v>0.94267421764441039</c:v>
                </c:pt>
                <c:pt idx="561">
                  <c:v>0.94332849961123855</c:v>
                </c:pt>
                <c:pt idx="562">
                  <c:v>0.94396843047646961</c:v>
                </c:pt>
                <c:pt idx="563">
                  <c:v>0.94460253174451358</c:v>
                </c:pt>
                <c:pt idx="564">
                  <c:v>0.94523577978682582</c:v>
                </c:pt>
                <c:pt idx="565">
                  <c:v>0.94585440208892047</c:v>
                </c:pt>
                <c:pt idx="566">
                  <c:v>0.94645621186581419</c:v>
                </c:pt>
                <c:pt idx="567">
                  <c:v>0.94705752618130845</c:v>
                </c:pt>
                <c:pt idx="568">
                  <c:v>0.94763790132793679</c:v>
                </c:pt>
                <c:pt idx="569">
                  <c:v>0.94821910140047982</c:v>
                </c:pt>
                <c:pt idx="570">
                  <c:v>0.94878572572055975</c:v>
                </c:pt>
                <c:pt idx="571">
                  <c:v>0.94935194437901183</c:v>
                </c:pt>
                <c:pt idx="572">
                  <c:v>0.94990505226007538</c:v>
                </c:pt>
                <c:pt idx="573">
                  <c:v>0.95045673483946014</c:v>
                </c:pt>
                <c:pt idx="574">
                  <c:v>0.95098888426026762</c:v>
                </c:pt>
                <c:pt idx="575">
                  <c:v>0.95151289649764836</c:v>
                </c:pt>
                <c:pt idx="576">
                  <c:v>0.95204113309299165</c:v>
                </c:pt>
                <c:pt idx="577">
                  <c:v>0.95255103925475459</c:v>
                </c:pt>
                <c:pt idx="578">
                  <c:v>0.95306313966020428</c:v>
                </c:pt>
                <c:pt idx="579">
                  <c:v>0.95356529252301192</c:v>
                </c:pt>
                <c:pt idx="580">
                  <c:v>0.95405120544721567</c:v>
                </c:pt>
                <c:pt idx="581">
                  <c:v>0.95454102756989745</c:v>
                </c:pt>
                <c:pt idx="582">
                  <c:v>0.95502067652482281</c:v>
                </c:pt>
                <c:pt idx="583">
                  <c:v>0.95549026533695536</c:v>
                </c:pt>
                <c:pt idx="584">
                  <c:v>0.95594494775991168</c:v>
                </c:pt>
                <c:pt idx="585">
                  <c:v>0.95640237100733905</c:v>
                </c:pt>
                <c:pt idx="586">
                  <c:v>0.95685768323865628</c:v>
                </c:pt>
                <c:pt idx="587">
                  <c:v>0.95730460758909153</c:v>
                </c:pt>
                <c:pt idx="588">
                  <c:v>0.95773473993066194</c:v>
                </c:pt>
                <c:pt idx="589">
                  <c:v>0.95816873465423258</c:v>
                </c:pt>
                <c:pt idx="590">
                  <c:v>0.95859187729116702</c:v>
                </c:pt>
                <c:pt idx="591">
                  <c:v>0.95899969470308821</c:v>
                </c:pt>
                <c:pt idx="592">
                  <c:v>0.95940080188650501</c:v>
                </c:pt>
                <c:pt idx="593">
                  <c:v>0.95980370577486696</c:v>
                </c:pt>
                <c:pt idx="594">
                  <c:v>0.96019333810202212</c:v>
                </c:pt>
                <c:pt idx="595">
                  <c:v>0.96059445725312664</c:v>
                </c:pt>
                <c:pt idx="596">
                  <c:v>0.96098533741682723</c:v>
                </c:pt>
                <c:pt idx="597">
                  <c:v>0.96136836995580432</c:v>
                </c:pt>
                <c:pt idx="598">
                  <c:v>0.96176242697811953</c:v>
                </c:pt>
                <c:pt idx="599">
                  <c:v>0.96214029552894109</c:v>
                </c:pt>
                <c:pt idx="600">
                  <c:v>0.96251343326474093</c:v>
                </c:pt>
                <c:pt idx="601">
                  <c:v>0.96288579115469819</c:v>
                </c:pt>
                <c:pt idx="602">
                  <c:v>0.96326017095303051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C-4B51-9FE3-EBCD10BCE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6191"/>
        <c:axId val="110835311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480704"/>
        <c:axId val="14481733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Cumulative Capacity (mAh)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'[3]Charing Profile'!$I$13:$I$615</c15:sqref>
                        </c15:formulaRef>
                      </c:ext>
                    </c:extLst>
                    <c:strCache>
                      <c:ptCount val="603"/>
                      <c:pt idx="0">
                        <c:v>00:00</c:v>
                      </c:pt>
                      <c:pt idx="1">
                        <c:v>00:00</c:v>
                      </c:pt>
                      <c:pt idx="2">
                        <c:v>00:00</c:v>
                      </c:pt>
                      <c:pt idx="3">
                        <c:v>00:00</c:v>
                      </c:pt>
                      <c:pt idx="4">
                        <c:v>00:01</c:v>
                      </c:pt>
                      <c:pt idx="5">
                        <c:v>00:01</c:v>
                      </c:pt>
                      <c:pt idx="6">
                        <c:v>00:01</c:v>
                      </c:pt>
                      <c:pt idx="7">
                        <c:v>00:01</c:v>
                      </c:pt>
                      <c:pt idx="8">
                        <c:v>00:02</c:v>
                      </c:pt>
                      <c:pt idx="9">
                        <c:v>00:02</c:v>
                      </c:pt>
                      <c:pt idx="10">
                        <c:v>00:02</c:v>
                      </c:pt>
                      <c:pt idx="11">
                        <c:v>00:02</c:v>
                      </c:pt>
                      <c:pt idx="12">
                        <c:v>00:03</c:v>
                      </c:pt>
                      <c:pt idx="13">
                        <c:v>00:03</c:v>
                      </c:pt>
                      <c:pt idx="14">
                        <c:v>00:03</c:v>
                      </c:pt>
                      <c:pt idx="15">
                        <c:v>00:03</c:v>
                      </c:pt>
                      <c:pt idx="16">
                        <c:v>00:04</c:v>
                      </c:pt>
                      <c:pt idx="17">
                        <c:v>00:04</c:v>
                      </c:pt>
                      <c:pt idx="18">
                        <c:v>00:04</c:v>
                      </c:pt>
                      <c:pt idx="19">
                        <c:v>00:04</c:v>
                      </c:pt>
                      <c:pt idx="20">
                        <c:v>00:05</c:v>
                      </c:pt>
                      <c:pt idx="21">
                        <c:v>00:05</c:v>
                      </c:pt>
                      <c:pt idx="22">
                        <c:v>00:05</c:v>
                      </c:pt>
                      <c:pt idx="23">
                        <c:v>00:05</c:v>
                      </c:pt>
                      <c:pt idx="24">
                        <c:v>00:06</c:v>
                      </c:pt>
                      <c:pt idx="25">
                        <c:v>00:06</c:v>
                      </c:pt>
                      <c:pt idx="26">
                        <c:v>00:06</c:v>
                      </c:pt>
                      <c:pt idx="27">
                        <c:v>00:06</c:v>
                      </c:pt>
                      <c:pt idx="28">
                        <c:v>00:07</c:v>
                      </c:pt>
                      <c:pt idx="29">
                        <c:v>00:07</c:v>
                      </c:pt>
                      <c:pt idx="30">
                        <c:v>00:07</c:v>
                      </c:pt>
                      <c:pt idx="31">
                        <c:v>00:07</c:v>
                      </c:pt>
                      <c:pt idx="32">
                        <c:v>00:08</c:v>
                      </c:pt>
                      <c:pt idx="33">
                        <c:v>00:08</c:v>
                      </c:pt>
                      <c:pt idx="34">
                        <c:v>00:08</c:v>
                      </c:pt>
                      <c:pt idx="35">
                        <c:v>00:08</c:v>
                      </c:pt>
                      <c:pt idx="36">
                        <c:v>00:09</c:v>
                      </c:pt>
                      <c:pt idx="37">
                        <c:v>00:09</c:v>
                      </c:pt>
                      <c:pt idx="38">
                        <c:v>00:09</c:v>
                      </c:pt>
                      <c:pt idx="39">
                        <c:v>00:09</c:v>
                      </c:pt>
                      <c:pt idx="40">
                        <c:v>00:10</c:v>
                      </c:pt>
                      <c:pt idx="41">
                        <c:v>00:10</c:v>
                      </c:pt>
                      <c:pt idx="42">
                        <c:v>00:10</c:v>
                      </c:pt>
                      <c:pt idx="43">
                        <c:v>00:10</c:v>
                      </c:pt>
                      <c:pt idx="44">
                        <c:v>00:11</c:v>
                      </c:pt>
                      <c:pt idx="45">
                        <c:v>00:11</c:v>
                      </c:pt>
                      <c:pt idx="46">
                        <c:v>00:11</c:v>
                      </c:pt>
                      <c:pt idx="47">
                        <c:v>00:11</c:v>
                      </c:pt>
                      <c:pt idx="48">
                        <c:v>00:12</c:v>
                      </c:pt>
                      <c:pt idx="49">
                        <c:v>00:12</c:v>
                      </c:pt>
                      <c:pt idx="50">
                        <c:v>00:12</c:v>
                      </c:pt>
                      <c:pt idx="51">
                        <c:v>00:12</c:v>
                      </c:pt>
                      <c:pt idx="52">
                        <c:v>00:13</c:v>
                      </c:pt>
                      <c:pt idx="53">
                        <c:v>00:13</c:v>
                      </c:pt>
                      <c:pt idx="54">
                        <c:v>00:13</c:v>
                      </c:pt>
                      <c:pt idx="55">
                        <c:v>00:13</c:v>
                      </c:pt>
                      <c:pt idx="56">
                        <c:v>00:14</c:v>
                      </c:pt>
                      <c:pt idx="57">
                        <c:v>00:14</c:v>
                      </c:pt>
                      <c:pt idx="58">
                        <c:v>00:14</c:v>
                      </c:pt>
                      <c:pt idx="59">
                        <c:v>00:14</c:v>
                      </c:pt>
                      <c:pt idx="60">
                        <c:v>00:15</c:v>
                      </c:pt>
                      <c:pt idx="61">
                        <c:v>00:15</c:v>
                      </c:pt>
                      <c:pt idx="62">
                        <c:v>00:15</c:v>
                      </c:pt>
                      <c:pt idx="63">
                        <c:v>00:15</c:v>
                      </c:pt>
                      <c:pt idx="64">
                        <c:v>00:16</c:v>
                      </c:pt>
                      <c:pt idx="65">
                        <c:v>00:16</c:v>
                      </c:pt>
                      <c:pt idx="66">
                        <c:v>00:16</c:v>
                      </c:pt>
                      <c:pt idx="67">
                        <c:v>00:16</c:v>
                      </c:pt>
                      <c:pt idx="68">
                        <c:v>00:17</c:v>
                      </c:pt>
                      <c:pt idx="69">
                        <c:v>00:17</c:v>
                      </c:pt>
                      <c:pt idx="70">
                        <c:v>00:17</c:v>
                      </c:pt>
                      <c:pt idx="71">
                        <c:v>00:17</c:v>
                      </c:pt>
                      <c:pt idx="72">
                        <c:v>00:18</c:v>
                      </c:pt>
                      <c:pt idx="73">
                        <c:v>00:18</c:v>
                      </c:pt>
                      <c:pt idx="74">
                        <c:v>00:18</c:v>
                      </c:pt>
                      <c:pt idx="75">
                        <c:v>00:18</c:v>
                      </c:pt>
                      <c:pt idx="76">
                        <c:v>00:19</c:v>
                      </c:pt>
                      <c:pt idx="77">
                        <c:v>00:19</c:v>
                      </c:pt>
                      <c:pt idx="78">
                        <c:v>00:19</c:v>
                      </c:pt>
                      <c:pt idx="79">
                        <c:v>00:19</c:v>
                      </c:pt>
                      <c:pt idx="80">
                        <c:v>00:20</c:v>
                      </c:pt>
                      <c:pt idx="81">
                        <c:v>00:20</c:v>
                      </c:pt>
                      <c:pt idx="82">
                        <c:v>00:20</c:v>
                      </c:pt>
                      <c:pt idx="83">
                        <c:v>00:20</c:v>
                      </c:pt>
                      <c:pt idx="84">
                        <c:v>00:21</c:v>
                      </c:pt>
                      <c:pt idx="85">
                        <c:v>00:21</c:v>
                      </c:pt>
                      <c:pt idx="86">
                        <c:v>00:21</c:v>
                      </c:pt>
                      <c:pt idx="87">
                        <c:v>00:21</c:v>
                      </c:pt>
                      <c:pt idx="88">
                        <c:v>00:22</c:v>
                      </c:pt>
                      <c:pt idx="89">
                        <c:v>00:22</c:v>
                      </c:pt>
                      <c:pt idx="90">
                        <c:v>00:22</c:v>
                      </c:pt>
                      <c:pt idx="91">
                        <c:v>00:22</c:v>
                      </c:pt>
                      <c:pt idx="92">
                        <c:v>00:23</c:v>
                      </c:pt>
                      <c:pt idx="93">
                        <c:v>00:23</c:v>
                      </c:pt>
                      <c:pt idx="94">
                        <c:v>00:23</c:v>
                      </c:pt>
                      <c:pt idx="95">
                        <c:v>00:23</c:v>
                      </c:pt>
                      <c:pt idx="96">
                        <c:v>00:24</c:v>
                      </c:pt>
                      <c:pt idx="97">
                        <c:v>00:24</c:v>
                      </c:pt>
                      <c:pt idx="98">
                        <c:v>00:24</c:v>
                      </c:pt>
                      <c:pt idx="99">
                        <c:v>00:24</c:v>
                      </c:pt>
                      <c:pt idx="100">
                        <c:v>00:25</c:v>
                      </c:pt>
                      <c:pt idx="101">
                        <c:v>00:25</c:v>
                      </c:pt>
                      <c:pt idx="102">
                        <c:v>00:25</c:v>
                      </c:pt>
                      <c:pt idx="103">
                        <c:v>00:25</c:v>
                      </c:pt>
                      <c:pt idx="104">
                        <c:v>00:26</c:v>
                      </c:pt>
                      <c:pt idx="105">
                        <c:v>00:26</c:v>
                      </c:pt>
                      <c:pt idx="106">
                        <c:v>00:26</c:v>
                      </c:pt>
                      <c:pt idx="107">
                        <c:v>00:26</c:v>
                      </c:pt>
                      <c:pt idx="108">
                        <c:v>00:27</c:v>
                      </c:pt>
                      <c:pt idx="109">
                        <c:v>00:27</c:v>
                      </c:pt>
                      <c:pt idx="110">
                        <c:v>00:27</c:v>
                      </c:pt>
                      <c:pt idx="111">
                        <c:v>00:27</c:v>
                      </c:pt>
                      <c:pt idx="112">
                        <c:v>00:28</c:v>
                      </c:pt>
                      <c:pt idx="113">
                        <c:v>00:28</c:v>
                      </c:pt>
                      <c:pt idx="114">
                        <c:v>00:28</c:v>
                      </c:pt>
                      <c:pt idx="115">
                        <c:v>00:28</c:v>
                      </c:pt>
                      <c:pt idx="116">
                        <c:v>00:29</c:v>
                      </c:pt>
                      <c:pt idx="117">
                        <c:v>00:29</c:v>
                      </c:pt>
                      <c:pt idx="118">
                        <c:v>00:29</c:v>
                      </c:pt>
                      <c:pt idx="119">
                        <c:v>00:29</c:v>
                      </c:pt>
                      <c:pt idx="120">
                        <c:v>00:30</c:v>
                      </c:pt>
                      <c:pt idx="121">
                        <c:v>00:30</c:v>
                      </c:pt>
                      <c:pt idx="122">
                        <c:v>00:30</c:v>
                      </c:pt>
                      <c:pt idx="123">
                        <c:v>00:30</c:v>
                      </c:pt>
                      <c:pt idx="124">
                        <c:v>00:31</c:v>
                      </c:pt>
                      <c:pt idx="125">
                        <c:v>00:31</c:v>
                      </c:pt>
                      <c:pt idx="126">
                        <c:v>00:31</c:v>
                      </c:pt>
                      <c:pt idx="127">
                        <c:v>00:31</c:v>
                      </c:pt>
                      <c:pt idx="128">
                        <c:v>00:32</c:v>
                      </c:pt>
                      <c:pt idx="129">
                        <c:v>00:32</c:v>
                      </c:pt>
                      <c:pt idx="130">
                        <c:v>00:32</c:v>
                      </c:pt>
                      <c:pt idx="131">
                        <c:v>00:32</c:v>
                      </c:pt>
                      <c:pt idx="132">
                        <c:v>00:33</c:v>
                      </c:pt>
                      <c:pt idx="133">
                        <c:v>00:33</c:v>
                      </c:pt>
                      <c:pt idx="134">
                        <c:v>00:33</c:v>
                      </c:pt>
                      <c:pt idx="135">
                        <c:v>00:33</c:v>
                      </c:pt>
                      <c:pt idx="136">
                        <c:v>00:34</c:v>
                      </c:pt>
                      <c:pt idx="137">
                        <c:v>00:34</c:v>
                      </c:pt>
                      <c:pt idx="138">
                        <c:v>00:34</c:v>
                      </c:pt>
                      <c:pt idx="139">
                        <c:v>00:34</c:v>
                      </c:pt>
                      <c:pt idx="140">
                        <c:v>00:35</c:v>
                      </c:pt>
                      <c:pt idx="141">
                        <c:v>00:35</c:v>
                      </c:pt>
                      <c:pt idx="142">
                        <c:v>00:35</c:v>
                      </c:pt>
                      <c:pt idx="143">
                        <c:v>00:35</c:v>
                      </c:pt>
                      <c:pt idx="144">
                        <c:v>00:36</c:v>
                      </c:pt>
                      <c:pt idx="145">
                        <c:v>00:36</c:v>
                      </c:pt>
                      <c:pt idx="146">
                        <c:v>00:36</c:v>
                      </c:pt>
                      <c:pt idx="147">
                        <c:v>00:36</c:v>
                      </c:pt>
                      <c:pt idx="148">
                        <c:v>00:37</c:v>
                      </c:pt>
                      <c:pt idx="149">
                        <c:v>00:37</c:v>
                      </c:pt>
                      <c:pt idx="150">
                        <c:v>00:37</c:v>
                      </c:pt>
                      <c:pt idx="151">
                        <c:v>00:37</c:v>
                      </c:pt>
                      <c:pt idx="152">
                        <c:v>00:38</c:v>
                      </c:pt>
                      <c:pt idx="153">
                        <c:v>00:38</c:v>
                      </c:pt>
                      <c:pt idx="154">
                        <c:v>00:38</c:v>
                      </c:pt>
                      <c:pt idx="155">
                        <c:v>00:38</c:v>
                      </c:pt>
                      <c:pt idx="156">
                        <c:v>00:39</c:v>
                      </c:pt>
                      <c:pt idx="157">
                        <c:v>00:39</c:v>
                      </c:pt>
                      <c:pt idx="158">
                        <c:v>00:39</c:v>
                      </c:pt>
                      <c:pt idx="159">
                        <c:v>00:39</c:v>
                      </c:pt>
                      <c:pt idx="160">
                        <c:v>00:40</c:v>
                      </c:pt>
                      <c:pt idx="161">
                        <c:v>00:40</c:v>
                      </c:pt>
                      <c:pt idx="162">
                        <c:v>00:40</c:v>
                      </c:pt>
                      <c:pt idx="163">
                        <c:v>00:40</c:v>
                      </c:pt>
                      <c:pt idx="164">
                        <c:v>00:41</c:v>
                      </c:pt>
                      <c:pt idx="165">
                        <c:v>00:41</c:v>
                      </c:pt>
                      <c:pt idx="166">
                        <c:v>00:41</c:v>
                      </c:pt>
                      <c:pt idx="167">
                        <c:v>00:41</c:v>
                      </c:pt>
                      <c:pt idx="168">
                        <c:v>00:42</c:v>
                      </c:pt>
                      <c:pt idx="169">
                        <c:v>00:42</c:v>
                      </c:pt>
                      <c:pt idx="170">
                        <c:v>00:42</c:v>
                      </c:pt>
                      <c:pt idx="171">
                        <c:v>00:42</c:v>
                      </c:pt>
                      <c:pt idx="172">
                        <c:v>00:43</c:v>
                      </c:pt>
                      <c:pt idx="173">
                        <c:v>00:43</c:v>
                      </c:pt>
                      <c:pt idx="174">
                        <c:v>00:43</c:v>
                      </c:pt>
                      <c:pt idx="175">
                        <c:v>00:43</c:v>
                      </c:pt>
                      <c:pt idx="176">
                        <c:v>00:44</c:v>
                      </c:pt>
                      <c:pt idx="177">
                        <c:v>00:44</c:v>
                      </c:pt>
                      <c:pt idx="178">
                        <c:v>00:44</c:v>
                      </c:pt>
                      <c:pt idx="179">
                        <c:v>00:44</c:v>
                      </c:pt>
                      <c:pt idx="180">
                        <c:v>00:45</c:v>
                      </c:pt>
                      <c:pt idx="181">
                        <c:v>00:45</c:v>
                      </c:pt>
                      <c:pt idx="182">
                        <c:v>00:45</c:v>
                      </c:pt>
                      <c:pt idx="183">
                        <c:v>00:46</c:v>
                      </c:pt>
                      <c:pt idx="184">
                        <c:v>00:46</c:v>
                      </c:pt>
                      <c:pt idx="185">
                        <c:v>00:46</c:v>
                      </c:pt>
                      <c:pt idx="186">
                        <c:v>00:46</c:v>
                      </c:pt>
                      <c:pt idx="187">
                        <c:v>00:47</c:v>
                      </c:pt>
                      <c:pt idx="188">
                        <c:v>00:47</c:v>
                      </c:pt>
                      <c:pt idx="189">
                        <c:v>00:47</c:v>
                      </c:pt>
                      <c:pt idx="190">
                        <c:v>00:47</c:v>
                      </c:pt>
                      <c:pt idx="191">
                        <c:v>00:48</c:v>
                      </c:pt>
                      <c:pt idx="192">
                        <c:v>00:48</c:v>
                      </c:pt>
                      <c:pt idx="193">
                        <c:v>00:48</c:v>
                      </c:pt>
                      <c:pt idx="194">
                        <c:v>00:48</c:v>
                      </c:pt>
                      <c:pt idx="195">
                        <c:v>00:49</c:v>
                      </c:pt>
                      <c:pt idx="196">
                        <c:v>00:49</c:v>
                      </c:pt>
                      <c:pt idx="197">
                        <c:v>00:49</c:v>
                      </c:pt>
                      <c:pt idx="198">
                        <c:v>00:49</c:v>
                      </c:pt>
                      <c:pt idx="199">
                        <c:v>00:50</c:v>
                      </c:pt>
                      <c:pt idx="200">
                        <c:v>00:50</c:v>
                      </c:pt>
                      <c:pt idx="201">
                        <c:v>00:50</c:v>
                      </c:pt>
                      <c:pt idx="202">
                        <c:v>00:50</c:v>
                      </c:pt>
                      <c:pt idx="203">
                        <c:v>00:51</c:v>
                      </c:pt>
                      <c:pt idx="204">
                        <c:v>00:51</c:v>
                      </c:pt>
                      <c:pt idx="205">
                        <c:v>00:51</c:v>
                      </c:pt>
                      <c:pt idx="206">
                        <c:v>00:51</c:v>
                      </c:pt>
                      <c:pt idx="207">
                        <c:v>00:52</c:v>
                      </c:pt>
                      <c:pt idx="208">
                        <c:v>00:52</c:v>
                      </c:pt>
                      <c:pt idx="209">
                        <c:v>00:52</c:v>
                      </c:pt>
                      <c:pt idx="210">
                        <c:v>00:52</c:v>
                      </c:pt>
                      <c:pt idx="211">
                        <c:v>00:53</c:v>
                      </c:pt>
                      <c:pt idx="212">
                        <c:v>00:53</c:v>
                      </c:pt>
                      <c:pt idx="213">
                        <c:v>00:53</c:v>
                      </c:pt>
                      <c:pt idx="214">
                        <c:v>00:53</c:v>
                      </c:pt>
                      <c:pt idx="215">
                        <c:v>00:54</c:v>
                      </c:pt>
                      <c:pt idx="216">
                        <c:v>00:54</c:v>
                      </c:pt>
                      <c:pt idx="217">
                        <c:v>00:54</c:v>
                      </c:pt>
                      <c:pt idx="218">
                        <c:v>00:54</c:v>
                      </c:pt>
                      <c:pt idx="219">
                        <c:v>00:55</c:v>
                      </c:pt>
                      <c:pt idx="220">
                        <c:v>00:55</c:v>
                      </c:pt>
                      <c:pt idx="221">
                        <c:v>00:55</c:v>
                      </c:pt>
                      <c:pt idx="222">
                        <c:v>00:55</c:v>
                      </c:pt>
                      <c:pt idx="223">
                        <c:v>00:56</c:v>
                      </c:pt>
                      <c:pt idx="224">
                        <c:v>00:56</c:v>
                      </c:pt>
                      <c:pt idx="225">
                        <c:v>00:56</c:v>
                      </c:pt>
                      <c:pt idx="226">
                        <c:v>00:56</c:v>
                      </c:pt>
                      <c:pt idx="227">
                        <c:v>00:57</c:v>
                      </c:pt>
                      <c:pt idx="228">
                        <c:v>00:57</c:v>
                      </c:pt>
                      <c:pt idx="229">
                        <c:v>00:57</c:v>
                      </c:pt>
                      <c:pt idx="230">
                        <c:v>00:57</c:v>
                      </c:pt>
                      <c:pt idx="231">
                        <c:v>00:58</c:v>
                      </c:pt>
                      <c:pt idx="232">
                        <c:v>00:58</c:v>
                      </c:pt>
                      <c:pt idx="233">
                        <c:v>00:58</c:v>
                      </c:pt>
                      <c:pt idx="234">
                        <c:v>00:58</c:v>
                      </c:pt>
                      <c:pt idx="235">
                        <c:v>00:59</c:v>
                      </c:pt>
                      <c:pt idx="236">
                        <c:v>00:59</c:v>
                      </c:pt>
                      <c:pt idx="237">
                        <c:v>00:59</c:v>
                      </c:pt>
                      <c:pt idx="238">
                        <c:v>00:59</c:v>
                      </c:pt>
                      <c:pt idx="239">
                        <c:v>01:00</c:v>
                      </c:pt>
                      <c:pt idx="240">
                        <c:v>01:00</c:v>
                      </c:pt>
                      <c:pt idx="241">
                        <c:v>01:00</c:v>
                      </c:pt>
                      <c:pt idx="242">
                        <c:v>01:00</c:v>
                      </c:pt>
                      <c:pt idx="243">
                        <c:v>01:01</c:v>
                      </c:pt>
                      <c:pt idx="244">
                        <c:v>01:01</c:v>
                      </c:pt>
                      <c:pt idx="245">
                        <c:v>01:01</c:v>
                      </c:pt>
                      <c:pt idx="246">
                        <c:v>01:01</c:v>
                      </c:pt>
                      <c:pt idx="247">
                        <c:v>01:02</c:v>
                      </c:pt>
                      <c:pt idx="248">
                        <c:v>01:02</c:v>
                      </c:pt>
                      <c:pt idx="249">
                        <c:v>01:02</c:v>
                      </c:pt>
                      <c:pt idx="250">
                        <c:v>01:02</c:v>
                      </c:pt>
                      <c:pt idx="251">
                        <c:v>01:03</c:v>
                      </c:pt>
                      <c:pt idx="252">
                        <c:v>01:03</c:v>
                      </c:pt>
                      <c:pt idx="253">
                        <c:v>01:03</c:v>
                      </c:pt>
                      <c:pt idx="254">
                        <c:v>01:03</c:v>
                      </c:pt>
                      <c:pt idx="255">
                        <c:v>01:04</c:v>
                      </c:pt>
                      <c:pt idx="256">
                        <c:v>01:04</c:v>
                      </c:pt>
                      <c:pt idx="257">
                        <c:v>01:04</c:v>
                      </c:pt>
                      <c:pt idx="258">
                        <c:v>01:04</c:v>
                      </c:pt>
                      <c:pt idx="259">
                        <c:v>01:05</c:v>
                      </c:pt>
                      <c:pt idx="260">
                        <c:v>01:05</c:v>
                      </c:pt>
                      <c:pt idx="261">
                        <c:v>01:05</c:v>
                      </c:pt>
                      <c:pt idx="262">
                        <c:v>01:05</c:v>
                      </c:pt>
                      <c:pt idx="263">
                        <c:v>01:06</c:v>
                      </c:pt>
                      <c:pt idx="264">
                        <c:v>01:06</c:v>
                      </c:pt>
                      <c:pt idx="265">
                        <c:v>01:06</c:v>
                      </c:pt>
                      <c:pt idx="266">
                        <c:v>01:06</c:v>
                      </c:pt>
                      <c:pt idx="267">
                        <c:v>01:07</c:v>
                      </c:pt>
                      <c:pt idx="268">
                        <c:v>01:07</c:v>
                      </c:pt>
                      <c:pt idx="269">
                        <c:v>01:07</c:v>
                      </c:pt>
                      <c:pt idx="270">
                        <c:v>01:07</c:v>
                      </c:pt>
                      <c:pt idx="271">
                        <c:v>01:08</c:v>
                      </c:pt>
                      <c:pt idx="272">
                        <c:v>01:08</c:v>
                      </c:pt>
                      <c:pt idx="273">
                        <c:v>01:08</c:v>
                      </c:pt>
                      <c:pt idx="274">
                        <c:v>01:08</c:v>
                      </c:pt>
                      <c:pt idx="275">
                        <c:v>01:09</c:v>
                      </c:pt>
                      <c:pt idx="276">
                        <c:v>01:09</c:v>
                      </c:pt>
                      <c:pt idx="277">
                        <c:v>01:09</c:v>
                      </c:pt>
                      <c:pt idx="278">
                        <c:v>01:09</c:v>
                      </c:pt>
                      <c:pt idx="279">
                        <c:v>01:10</c:v>
                      </c:pt>
                      <c:pt idx="280">
                        <c:v>01:10</c:v>
                      </c:pt>
                      <c:pt idx="281">
                        <c:v>01:10</c:v>
                      </c:pt>
                      <c:pt idx="282">
                        <c:v>01:10</c:v>
                      </c:pt>
                      <c:pt idx="283">
                        <c:v>01:11</c:v>
                      </c:pt>
                      <c:pt idx="284">
                        <c:v>01:11</c:v>
                      </c:pt>
                      <c:pt idx="285">
                        <c:v>01:11</c:v>
                      </c:pt>
                      <c:pt idx="286">
                        <c:v>01:11</c:v>
                      </c:pt>
                      <c:pt idx="287">
                        <c:v>01:12</c:v>
                      </c:pt>
                      <c:pt idx="288">
                        <c:v>01:12</c:v>
                      </c:pt>
                      <c:pt idx="289">
                        <c:v>01:12</c:v>
                      </c:pt>
                      <c:pt idx="290">
                        <c:v>01:12</c:v>
                      </c:pt>
                      <c:pt idx="291">
                        <c:v>01:13</c:v>
                      </c:pt>
                      <c:pt idx="292">
                        <c:v>01:13</c:v>
                      </c:pt>
                      <c:pt idx="293">
                        <c:v>01:13</c:v>
                      </c:pt>
                      <c:pt idx="294">
                        <c:v>01:13</c:v>
                      </c:pt>
                      <c:pt idx="295">
                        <c:v>01:14</c:v>
                      </c:pt>
                      <c:pt idx="296">
                        <c:v>01:14</c:v>
                      </c:pt>
                      <c:pt idx="297">
                        <c:v>01:14</c:v>
                      </c:pt>
                      <c:pt idx="298">
                        <c:v>01:14</c:v>
                      </c:pt>
                      <c:pt idx="299">
                        <c:v>01:15</c:v>
                      </c:pt>
                      <c:pt idx="300">
                        <c:v>01:15</c:v>
                      </c:pt>
                      <c:pt idx="301">
                        <c:v>01:15</c:v>
                      </c:pt>
                      <c:pt idx="302">
                        <c:v>01:15</c:v>
                      </c:pt>
                      <c:pt idx="303">
                        <c:v>01:16</c:v>
                      </c:pt>
                      <c:pt idx="304">
                        <c:v>01:16</c:v>
                      </c:pt>
                      <c:pt idx="305">
                        <c:v>01:16</c:v>
                      </c:pt>
                      <c:pt idx="306">
                        <c:v>01:16</c:v>
                      </c:pt>
                      <c:pt idx="307">
                        <c:v>01:17</c:v>
                      </c:pt>
                      <c:pt idx="308">
                        <c:v>01:17</c:v>
                      </c:pt>
                      <c:pt idx="309">
                        <c:v>01:17</c:v>
                      </c:pt>
                      <c:pt idx="310">
                        <c:v>01:17</c:v>
                      </c:pt>
                      <c:pt idx="311">
                        <c:v>01:18</c:v>
                      </c:pt>
                      <c:pt idx="312">
                        <c:v>01:18</c:v>
                      </c:pt>
                      <c:pt idx="313">
                        <c:v>01:18</c:v>
                      </c:pt>
                      <c:pt idx="314">
                        <c:v>01:18</c:v>
                      </c:pt>
                      <c:pt idx="315">
                        <c:v>01:19</c:v>
                      </c:pt>
                      <c:pt idx="316">
                        <c:v>01:19</c:v>
                      </c:pt>
                      <c:pt idx="317">
                        <c:v>01:19</c:v>
                      </c:pt>
                      <c:pt idx="318">
                        <c:v>01:19</c:v>
                      </c:pt>
                      <c:pt idx="319">
                        <c:v>01:20</c:v>
                      </c:pt>
                      <c:pt idx="320">
                        <c:v>01:20</c:v>
                      </c:pt>
                      <c:pt idx="321">
                        <c:v>01:20</c:v>
                      </c:pt>
                      <c:pt idx="322">
                        <c:v>01:20</c:v>
                      </c:pt>
                      <c:pt idx="323">
                        <c:v>01:21</c:v>
                      </c:pt>
                      <c:pt idx="324">
                        <c:v>01:21</c:v>
                      </c:pt>
                      <c:pt idx="325">
                        <c:v>01:21</c:v>
                      </c:pt>
                      <c:pt idx="326">
                        <c:v>01:21</c:v>
                      </c:pt>
                      <c:pt idx="327">
                        <c:v>01:22</c:v>
                      </c:pt>
                      <c:pt idx="328">
                        <c:v>01:22</c:v>
                      </c:pt>
                      <c:pt idx="329">
                        <c:v>01:22</c:v>
                      </c:pt>
                      <c:pt idx="330">
                        <c:v>01:22</c:v>
                      </c:pt>
                      <c:pt idx="331">
                        <c:v>01:23</c:v>
                      </c:pt>
                      <c:pt idx="332">
                        <c:v>01:23</c:v>
                      </c:pt>
                      <c:pt idx="333">
                        <c:v>01:23</c:v>
                      </c:pt>
                      <c:pt idx="334">
                        <c:v>01:23</c:v>
                      </c:pt>
                      <c:pt idx="335">
                        <c:v>01:24</c:v>
                      </c:pt>
                      <c:pt idx="336">
                        <c:v>01:24</c:v>
                      </c:pt>
                      <c:pt idx="337">
                        <c:v>01:24</c:v>
                      </c:pt>
                      <c:pt idx="338">
                        <c:v>01:24</c:v>
                      </c:pt>
                      <c:pt idx="339">
                        <c:v>01:25</c:v>
                      </c:pt>
                      <c:pt idx="340">
                        <c:v>01:25</c:v>
                      </c:pt>
                      <c:pt idx="341">
                        <c:v>01:25</c:v>
                      </c:pt>
                      <c:pt idx="342">
                        <c:v>01:25</c:v>
                      </c:pt>
                      <c:pt idx="343">
                        <c:v>01:26</c:v>
                      </c:pt>
                      <c:pt idx="344">
                        <c:v>01:26</c:v>
                      </c:pt>
                      <c:pt idx="345">
                        <c:v>01:26</c:v>
                      </c:pt>
                      <c:pt idx="346">
                        <c:v>01:26</c:v>
                      </c:pt>
                      <c:pt idx="347">
                        <c:v>01:27</c:v>
                      </c:pt>
                      <c:pt idx="348">
                        <c:v>01:27</c:v>
                      </c:pt>
                      <c:pt idx="349">
                        <c:v>01:27</c:v>
                      </c:pt>
                      <c:pt idx="350">
                        <c:v>01:27</c:v>
                      </c:pt>
                      <c:pt idx="351">
                        <c:v>01:28</c:v>
                      </c:pt>
                      <c:pt idx="352">
                        <c:v>01:28</c:v>
                      </c:pt>
                      <c:pt idx="353">
                        <c:v>01:28</c:v>
                      </c:pt>
                      <c:pt idx="354">
                        <c:v>01:28</c:v>
                      </c:pt>
                      <c:pt idx="355">
                        <c:v>01:29</c:v>
                      </c:pt>
                      <c:pt idx="356">
                        <c:v>01:29</c:v>
                      </c:pt>
                      <c:pt idx="357">
                        <c:v>01:29</c:v>
                      </c:pt>
                      <c:pt idx="358">
                        <c:v>01:29</c:v>
                      </c:pt>
                      <c:pt idx="359">
                        <c:v>01:30</c:v>
                      </c:pt>
                      <c:pt idx="360">
                        <c:v>01:30</c:v>
                      </c:pt>
                      <c:pt idx="361">
                        <c:v>01:30</c:v>
                      </c:pt>
                      <c:pt idx="362">
                        <c:v>01:30</c:v>
                      </c:pt>
                      <c:pt idx="363">
                        <c:v>01:31</c:v>
                      </c:pt>
                      <c:pt idx="364">
                        <c:v>01:31</c:v>
                      </c:pt>
                      <c:pt idx="365">
                        <c:v>01:31</c:v>
                      </c:pt>
                      <c:pt idx="366">
                        <c:v>01:31</c:v>
                      </c:pt>
                      <c:pt idx="367">
                        <c:v>01:32</c:v>
                      </c:pt>
                      <c:pt idx="368">
                        <c:v>01:32</c:v>
                      </c:pt>
                      <c:pt idx="369">
                        <c:v>01:32</c:v>
                      </c:pt>
                      <c:pt idx="370">
                        <c:v>01:33</c:v>
                      </c:pt>
                      <c:pt idx="371">
                        <c:v>01:33</c:v>
                      </c:pt>
                      <c:pt idx="372">
                        <c:v>01:33</c:v>
                      </c:pt>
                      <c:pt idx="373">
                        <c:v>01:33</c:v>
                      </c:pt>
                      <c:pt idx="374">
                        <c:v>01:34</c:v>
                      </c:pt>
                      <c:pt idx="375">
                        <c:v>01:34</c:v>
                      </c:pt>
                      <c:pt idx="376">
                        <c:v>01:34</c:v>
                      </c:pt>
                      <c:pt idx="377">
                        <c:v>01:34</c:v>
                      </c:pt>
                      <c:pt idx="378">
                        <c:v>01:35</c:v>
                      </c:pt>
                      <c:pt idx="379">
                        <c:v>01:35</c:v>
                      </c:pt>
                      <c:pt idx="380">
                        <c:v>01:35</c:v>
                      </c:pt>
                      <c:pt idx="381">
                        <c:v>01:35</c:v>
                      </c:pt>
                      <c:pt idx="382">
                        <c:v>01:36</c:v>
                      </c:pt>
                      <c:pt idx="383">
                        <c:v>01:36</c:v>
                      </c:pt>
                      <c:pt idx="384">
                        <c:v>01:36</c:v>
                      </c:pt>
                      <c:pt idx="385">
                        <c:v>01:36</c:v>
                      </c:pt>
                      <c:pt idx="386">
                        <c:v>01:37</c:v>
                      </c:pt>
                      <c:pt idx="387">
                        <c:v>01:37</c:v>
                      </c:pt>
                      <c:pt idx="388">
                        <c:v>01:37</c:v>
                      </c:pt>
                      <c:pt idx="389">
                        <c:v>01:37</c:v>
                      </c:pt>
                      <c:pt idx="390">
                        <c:v>01:38</c:v>
                      </c:pt>
                      <c:pt idx="391">
                        <c:v>01:38</c:v>
                      </c:pt>
                      <c:pt idx="392">
                        <c:v>01:38</c:v>
                      </c:pt>
                      <c:pt idx="393">
                        <c:v>01:38</c:v>
                      </c:pt>
                      <c:pt idx="394">
                        <c:v>01:39</c:v>
                      </c:pt>
                      <c:pt idx="395">
                        <c:v>01:39</c:v>
                      </c:pt>
                      <c:pt idx="396">
                        <c:v>01:39</c:v>
                      </c:pt>
                      <c:pt idx="397">
                        <c:v>01:39</c:v>
                      </c:pt>
                      <c:pt idx="398">
                        <c:v>01:40</c:v>
                      </c:pt>
                      <c:pt idx="399">
                        <c:v>01:40</c:v>
                      </c:pt>
                      <c:pt idx="400">
                        <c:v>01:40</c:v>
                      </c:pt>
                      <c:pt idx="401">
                        <c:v>01:40</c:v>
                      </c:pt>
                      <c:pt idx="402">
                        <c:v>01:41</c:v>
                      </c:pt>
                      <c:pt idx="403">
                        <c:v>01:41</c:v>
                      </c:pt>
                      <c:pt idx="404">
                        <c:v>01:41</c:v>
                      </c:pt>
                      <c:pt idx="405">
                        <c:v>01:41</c:v>
                      </c:pt>
                      <c:pt idx="406">
                        <c:v>01:42</c:v>
                      </c:pt>
                      <c:pt idx="407">
                        <c:v>01:42</c:v>
                      </c:pt>
                      <c:pt idx="408">
                        <c:v>01:42</c:v>
                      </c:pt>
                      <c:pt idx="409">
                        <c:v>01:42</c:v>
                      </c:pt>
                      <c:pt idx="410">
                        <c:v>01:43</c:v>
                      </c:pt>
                      <c:pt idx="411">
                        <c:v>01:43</c:v>
                      </c:pt>
                      <c:pt idx="412">
                        <c:v>01:43</c:v>
                      </c:pt>
                      <c:pt idx="413">
                        <c:v>01:43</c:v>
                      </c:pt>
                      <c:pt idx="414">
                        <c:v>01:44</c:v>
                      </c:pt>
                      <c:pt idx="415">
                        <c:v>01:44</c:v>
                      </c:pt>
                      <c:pt idx="416">
                        <c:v>01:44</c:v>
                      </c:pt>
                      <c:pt idx="417">
                        <c:v>01:44</c:v>
                      </c:pt>
                      <c:pt idx="418">
                        <c:v>01:45</c:v>
                      </c:pt>
                      <c:pt idx="419">
                        <c:v>01:45</c:v>
                      </c:pt>
                      <c:pt idx="420">
                        <c:v>01:45</c:v>
                      </c:pt>
                      <c:pt idx="421">
                        <c:v>01:45</c:v>
                      </c:pt>
                      <c:pt idx="422">
                        <c:v>01:46</c:v>
                      </c:pt>
                      <c:pt idx="423">
                        <c:v>01:46</c:v>
                      </c:pt>
                      <c:pt idx="424">
                        <c:v>01:46</c:v>
                      </c:pt>
                      <c:pt idx="425">
                        <c:v>01:46</c:v>
                      </c:pt>
                      <c:pt idx="426">
                        <c:v>01:47</c:v>
                      </c:pt>
                      <c:pt idx="427">
                        <c:v>01:47</c:v>
                      </c:pt>
                      <c:pt idx="428">
                        <c:v>01:47</c:v>
                      </c:pt>
                      <c:pt idx="429">
                        <c:v>01:47</c:v>
                      </c:pt>
                      <c:pt idx="430">
                        <c:v>01:48</c:v>
                      </c:pt>
                      <c:pt idx="431">
                        <c:v>01:48</c:v>
                      </c:pt>
                      <c:pt idx="432">
                        <c:v>01:48</c:v>
                      </c:pt>
                      <c:pt idx="433">
                        <c:v>01:48</c:v>
                      </c:pt>
                      <c:pt idx="434">
                        <c:v>01:49</c:v>
                      </c:pt>
                      <c:pt idx="435">
                        <c:v>01:49</c:v>
                      </c:pt>
                      <c:pt idx="436">
                        <c:v>01:49</c:v>
                      </c:pt>
                      <c:pt idx="437">
                        <c:v>01:49</c:v>
                      </c:pt>
                      <c:pt idx="438">
                        <c:v>01:50</c:v>
                      </c:pt>
                      <c:pt idx="439">
                        <c:v>01:50</c:v>
                      </c:pt>
                      <c:pt idx="440">
                        <c:v>01:50</c:v>
                      </c:pt>
                      <c:pt idx="441">
                        <c:v>01:50</c:v>
                      </c:pt>
                      <c:pt idx="442">
                        <c:v>01:51</c:v>
                      </c:pt>
                      <c:pt idx="443">
                        <c:v>01:51</c:v>
                      </c:pt>
                      <c:pt idx="444">
                        <c:v>01:51</c:v>
                      </c:pt>
                      <c:pt idx="445">
                        <c:v>01:51</c:v>
                      </c:pt>
                      <c:pt idx="446">
                        <c:v>01:52</c:v>
                      </c:pt>
                      <c:pt idx="447">
                        <c:v>01:52</c:v>
                      </c:pt>
                      <c:pt idx="448">
                        <c:v>01:52</c:v>
                      </c:pt>
                      <c:pt idx="449">
                        <c:v>01:52</c:v>
                      </c:pt>
                      <c:pt idx="450">
                        <c:v>01:53</c:v>
                      </c:pt>
                      <c:pt idx="451">
                        <c:v>01:53</c:v>
                      </c:pt>
                      <c:pt idx="452">
                        <c:v>01:53</c:v>
                      </c:pt>
                      <c:pt idx="453">
                        <c:v>01:53</c:v>
                      </c:pt>
                      <c:pt idx="454">
                        <c:v>01:54</c:v>
                      </c:pt>
                      <c:pt idx="455">
                        <c:v>01:54</c:v>
                      </c:pt>
                      <c:pt idx="456">
                        <c:v>01:54</c:v>
                      </c:pt>
                      <c:pt idx="457">
                        <c:v>01:54</c:v>
                      </c:pt>
                      <c:pt idx="458">
                        <c:v>01:55</c:v>
                      </c:pt>
                      <c:pt idx="459">
                        <c:v>01:55</c:v>
                      </c:pt>
                      <c:pt idx="460">
                        <c:v>01:55</c:v>
                      </c:pt>
                      <c:pt idx="461">
                        <c:v>01:55</c:v>
                      </c:pt>
                      <c:pt idx="462">
                        <c:v>01:56</c:v>
                      </c:pt>
                      <c:pt idx="463">
                        <c:v>01:56</c:v>
                      </c:pt>
                      <c:pt idx="464">
                        <c:v>01:56</c:v>
                      </c:pt>
                      <c:pt idx="465">
                        <c:v>01:56</c:v>
                      </c:pt>
                      <c:pt idx="466">
                        <c:v>01:57</c:v>
                      </c:pt>
                      <c:pt idx="467">
                        <c:v>01:57</c:v>
                      </c:pt>
                      <c:pt idx="468">
                        <c:v>01:57</c:v>
                      </c:pt>
                      <c:pt idx="469">
                        <c:v>01:57</c:v>
                      </c:pt>
                      <c:pt idx="470">
                        <c:v>01:58</c:v>
                      </c:pt>
                      <c:pt idx="471">
                        <c:v>01:58</c:v>
                      </c:pt>
                      <c:pt idx="472">
                        <c:v>01:58</c:v>
                      </c:pt>
                      <c:pt idx="473">
                        <c:v>01:58</c:v>
                      </c:pt>
                      <c:pt idx="474">
                        <c:v>01:59</c:v>
                      </c:pt>
                      <c:pt idx="475">
                        <c:v>01:59</c:v>
                      </c:pt>
                      <c:pt idx="476">
                        <c:v>01:59</c:v>
                      </c:pt>
                      <c:pt idx="477">
                        <c:v>01:59</c:v>
                      </c:pt>
                      <c:pt idx="478">
                        <c:v>02:00</c:v>
                      </c:pt>
                      <c:pt idx="479">
                        <c:v>02:00</c:v>
                      </c:pt>
                      <c:pt idx="480">
                        <c:v>02:00</c:v>
                      </c:pt>
                      <c:pt idx="481">
                        <c:v>02:00</c:v>
                      </c:pt>
                      <c:pt idx="482">
                        <c:v>02:01</c:v>
                      </c:pt>
                      <c:pt idx="483">
                        <c:v>02:01</c:v>
                      </c:pt>
                      <c:pt idx="484">
                        <c:v>02:01</c:v>
                      </c:pt>
                      <c:pt idx="485">
                        <c:v>02:01</c:v>
                      </c:pt>
                      <c:pt idx="486">
                        <c:v>02:02</c:v>
                      </c:pt>
                      <c:pt idx="487">
                        <c:v>02:02</c:v>
                      </c:pt>
                      <c:pt idx="488">
                        <c:v>02:02</c:v>
                      </c:pt>
                      <c:pt idx="489">
                        <c:v>02:02</c:v>
                      </c:pt>
                      <c:pt idx="490">
                        <c:v>02:03</c:v>
                      </c:pt>
                      <c:pt idx="491">
                        <c:v>02:03</c:v>
                      </c:pt>
                      <c:pt idx="492">
                        <c:v>02:03</c:v>
                      </c:pt>
                      <c:pt idx="493">
                        <c:v>02:03</c:v>
                      </c:pt>
                      <c:pt idx="494">
                        <c:v>02:04</c:v>
                      </c:pt>
                      <c:pt idx="495">
                        <c:v>02:04</c:v>
                      </c:pt>
                      <c:pt idx="496">
                        <c:v>02:04</c:v>
                      </c:pt>
                      <c:pt idx="497">
                        <c:v>02:04</c:v>
                      </c:pt>
                      <c:pt idx="498">
                        <c:v>02:05</c:v>
                      </c:pt>
                      <c:pt idx="499">
                        <c:v>02:05</c:v>
                      </c:pt>
                      <c:pt idx="500">
                        <c:v>02:05</c:v>
                      </c:pt>
                      <c:pt idx="501">
                        <c:v>02:05</c:v>
                      </c:pt>
                      <c:pt idx="502">
                        <c:v>02:06</c:v>
                      </c:pt>
                      <c:pt idx="503">
                        <c:v>02:06</c:v>
                      </c:pt>
                      <c:pt idx="504">
                        <c:v>02:06</c:v>
                      </c:pt>
                      <c:pt idx="505">
                        <c:v>02:06</c:v>
                      </c:pt>
                      <c:pt idx="506">
                        <c:v>02:07</c:v>
                      </c:pt>
                      <c:pt idx="507">
                        <c:v>02:07</c:v>
                      </c:pt>
                      <c:pt idx="508">
                        <c:v>02:07</c:v>
                      </c:pt>
                      <c:pt idx="509">
                        <c:v>02:07</c:v>
                      </c:pt>
                      <c:pt idx="510">
                        <c:v>02:08</c:v>
                      </c:pt>
                      <c:pt idx="511">
                        <c:v>02:08</c:v>
                      </c:pt>
                      <c:pt idx="512">
                        <c:v>02:08</c:v>
                      </c:pt>
                      <c:pt idx="513">
                        <c:v>02:08</c:v>
                      </c:pt>
                      <c:pt idx="514">
                        <c:v>02:09</c:v>
                      </c:pt>
                      <c:pt idx="515">
                        <c:v>02:09</c:v>
                      </c:pt>
                      <c:pt idx="516">
                        <c:v>02:09</c:v>
                      </c:pt>
                      <c:pt idx="517">
                        <c:v>02:09</c:v>
                      </c:pt>
                      <c:pt idx="518">
                        <c:v>02:10</c:v>
                      </c:pt>
                      <c:pt idx="519">
                        <c:v>02:10</c:v>
                      </c:pt>
                      <c:pt idx="520">
                        <c:v>02:10</c:v>
                      </c:pt>
                      <c:pt idx="521">
                        <c:v>02:10</c:v>
                      </c:pt>
                      <c:pt idx="522">
                        <c:v>02:11</c:v>
                      </c:pt>
                      <c:pt idx="523">
                        <c:v>02:11</c:v>
                      </c:pt>
                      <c:pt idx="524">
                        <c:v>02:11</c:v>
                      </c:pt>
                      <c:pt idx="525">
                        <c:v>02:11</c:v>
                      </c:pt>
                      <c:pt idx="526">
                        <c:v>02:12</c:v>
                      </c:pt>
                      <c:pt idx="527">
                        <c:v>02:12</c:v>
                      </c:pt>
                      <c:pt idx="528">
                        <c:v>02:12</c:v>
                      </c:pt>
                      <c:pt idx="529">
                        <c:v>02:12</c:v>
                      </c:pt>
                      <c:pt idx="530">
                        <c:v>02:13</c:v>
                      </c:pt>
                      <c:pt idx="531">
                        <c:v>02:13</c:v>
                      </c:pt>
                      <c:pt idx="532">
                        <c:v>02:13</c:v>
                      </c:pt>
                      <c:pt idx="533">
                        <c:v>02:13</c:v>
                      </c:pt>
                      <c:pt idx="534">
                        <c:v>02:14</c:v>
                      </c:pt>
                      <c:pt idx="535">
                        <c:v>02:14</c:v>
                      </c:pt>
                      <c:pt idx="536">
                        <c:v>02:14</c:v>
                      </c:pt>
                      <c:pt idx="537">
                        <c:v>02:14</c:v>
                      </c:pt>
                      <c:pt idx="538">
                        <c:v>02:15</c:v>
                      </c:pt>
                      <c:pt idx="539">
                        <c:v>02:15</c:v>
                      </c:pt>
                      <c:pt idx="540">
                        <c:v>02:15</c:v>
                      </c:pt>
                      <c:pt idx="541">
                        <c:v>02:15</c:v>
                      </c:pt>
                      <c:pt idx="542">
                        <c:v>02:16</c:v>
                      </c:pt>
                      <c:pt idx="543">
                        <c:v>02:16</c:v>
                      </c:pt>
                      <c:pt idx="544">
                        <c:v>02:16</c:v>
                      </c:pt>
                      <c:pt idx="545">
                        <c:v>02:16</c:v>
                      </c:pt>
                      <c:pt idx="546">
                        <c:v>02:17</c:v>
                      </c:pt>
                      <c:pt idx="547">
                        <c:v>02:17</c:v>
                      </c:pt>
                      <c:pt idx="548">
                        <c:v>02:17</c:v>
                      </c:pt>
                      <c:pt idx="549">
                        <c:v>02:17</c:v>
                      </c:pt>
                      <c:pt idx="550">
                        <c:v>02:18</c:v>
                      </c:pt>
                      <c:pt idx="551">
                        <c:v>02:18</c:v>
                      </c:pt>
                      <c:pt idx="552">
                        <c:v>02:18</c:v>
                      </c:pt>
                      <c:pt idx="553">
                        <c:v>02:18</c:v>
                      </c:pt>
                      <c:pt idx="554">
                        <c:v>02:19</c:v>
                      </c:pt>
                      <c:pt idx="555">
                        <c:v>02:19</c:v>
                      </c:pt>
                      <c:pt idx="556">
                        <c:v>02:19</c:v>
                      </c:pt>
                      <c:pt idx="557">
                        <c:v>02:19</c:v>
                      </c:pt>
                      <c:pt idx="558">
                        <c:v>02:20</c:v>
                      </c:pt>
                      <c:pt idx="559">
                        <c:v>02:20</c:v>
                      </c:pt>
                      <c:pt idx="560">
                        <c:v>02:20</c:v>
                      </c:pt>
                      <c:pt idx="561">
                        <c:v>02:20</c:v>
                      </c:pt>
                      <c:pt idx="562">
                        <c:v>02:21</c:v>
                      </c:pt>
                      <c:pt idx="563">
                        <c:v>02:21</c:v>
                      </c:pt>
                      <c:pt idx="564">
                        <c:v>02:21</c:v>
                      </c:pt>
                      <c:pt idx="565">
                        <c:v>02:21</c:v>
                      </c:pt>
                      <c:pt idx="566">
                        <c:v>02:22</c:v>
                      </c:pt>
                      <c:pt idx="567">
                        <c:v>02:22</c:v>
                      </c:pt>
                      <c:pt idx="568">
                        <c:v>02:22</c:v>
                      </c:pt>
                      <c:pt idx="569">
                        <c:v>02:22</c:v>
                      </c:pt>
                      <c:pt idx="570">
                        <c:v>02:23</c:v>
                      </c:pt>
                      <c:pt idx="571">
                        <c:v>02:23</c:v>
                      </c:pt>
                      <c:pt idx="572">
                        <c:v>02:23</c:v>
                      </c:pt>
                      <c:pt idx="573">
                        <c:v>02:23</c:v>
                      </c:pt>
                      <c:pt idx="574">
                        <c:v>02:24</c:v>
                      </c:pt>
                      <c:pt idx="575">
                        <c:v>02:24</c:v>
                      </c:pt>
                      <c:pt idx="576">
                        <c:v>02:24</c:v>
                      </c:pt>
                      <c:pt idx="577">
                        <c:v>02:24</c:v>
                      </c:pt>
                      <c:pt idx="578">
                        <c:v>02:25</c:v>
                      </c:pt>
                      <c:pt idx="579">
                        <c:v>02:25</c:v>
                      </c:pt>
                      <c:pt idx="580">
                        <c:v>02:25</c:v>
                      </c:pt>
                      <c:pt idx="581">
                        <c:v>02:25</c:v>
                      </c:pt>
                      <c:pt idx="582">
                        <c:v>02:26</c:v>
                      </c:pt>
                      <c:pt idx="583">
                        <c:v>02:26</c:v>
                      </c:pt>
                      <c:pt idx="584">
                        <c:v>02:26</c:v>
                      </c:pt>
                      <c:pt idx="585">
                        <c:v>02:26</c:v>
                      </c:pt>
                      <c:pt idx="586">
                        <c:v>02:27</c:v>
                      </c:pt>
                      <c:pt idx="587">
                        <c:v>02:27</c:v>
                      </c:pt>
                      <c:pt idx="588">
                        <c:v>02:27</c:v>
                      </c:pt>
                      <c:pt idx="589">
                        <c:v>02:27</c:v>
                      </c:pt>
                      <c:pt idx="590">
                        <c:v>02:28</c:v>
                      </c:pt>
                      <c:pt idx="591">
                        <c:v>02:28</c:v>
                      </c:pt>
                      <c:pt idx="592">
                        <c:v>02:28</c:v>
                      </c:pt>
                      <c:pt idx="593">
                        <c:v>02:28</c:v>
                      </c:pt>
                      <c:pt idx="594">
                        <c:v>02:29</c:v>
                      </c:pt>
                      <c:pt idx="595">
                        <c:v>02:29</c:v>
                      </c:pt>
                      <c:pt idx="596">
                        <c:v>02:29</c:v>
                      </c:pt>
                      <c:pt idx="597">
                        <c:v>02:29</c:v>
                      </c:pt>
                      <c:pt idx="598">
                        <c:v>02:30</c:v>
                      </c:pt>
                      <c:pt idx="599">
                        <c:v>02:30</c:v>
                      </c:pt>
                      <c:pt idx="600">
                        <c:v>02:30</c:v>
                      </c:pt>
                      <c:pt idx="601">
                        <c:v>02:30</c:v>
                      </c:pt>
                      <c:pt idx="602">
                        <c:v>02:31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'[3]Charing Profile'!$L$13:$L$615</c15:sqref>
                        </c15:formulaRef>
                      </c:ext>
                    </c:extLst>
                    <c:numCache>
                      <c:formatCode>General</c:formatCode>
                      <c:ptCount val="603"/>
                      <c:pt idx="0">
                        <c:v>473.01732000000004</c:v>
                      </c:pt>
                      <c:pt idx="1">
                        <c:v>478.22565333333336</c:v>
                      </c:pt>
                      <c:pt idx="2">
                        <c:v>484.09126444444445</c:v>
                      </c:pt>
                      <c:pt idx="3">
                        <c:v>490.83627000000001</c:v>
                      </c:pt>
                      <c:pt idx="4">
                        <c:v>498.83757833333334</c:v>
                      </c:pt>
                      <c:pt idx="5">
                        <c:v>507.04398944444443</c:v>
                      </c:pt>
                      <c:pt idx="6">
                        <c:v>515.20744777777782</c:v>
                      </c:pt>
                      <c:pt idx="7">
                        <c:v>523.37794777777776</c:v>
                      </c:pt>
                      <c:pt idx="8">
                        <c:v>531.54032277777776</c:v>
                      </c:pt>
                      <c:pt idx="9">
                        <c:v>539.75326722222223</c:v>
                      </c:pt>
                      <c:pt idx="10">
                        <c:v>547.88025055555556</c:v>
                      </c:pt>
                      <c:pt idx="11">
                        <c:v>556.04912555555552</c:v>
                      </c:pt>
                      <c:pt idx="12">
                        <c:v>564.05096444444439</c:v>
                      </c:pt>
                      <c:pt idx="13">
                        <c:v>572.21983944444435</c:v>
                      </c:pt>
                      <c:pt idx="14">
                        <c:v>580.38925611111097</c:v>
                      </c:pt>
                      <c:pt idx="15">
                        <c:v>588.46791444444432</c:v>
                      </c:pt>
                      <c:pt idx="16">
                        <c:v>596.63841444444438</c:v>
                      </c:pt>
                      <c:pt idx="17">
                        <c:v>604.76539777777771</c:v>
                      </c:pt>
                      <c:pt idx="18">
                        <c:v>612.93427277777766</c:v>
                      </c:pt>
                      <c:pt idx="19">
                        <c:v>621.13850611111104</c:v>
                      </c:pt>
                      <c:pt idx="20">
                        <c:v>629.38788111111103</c:v>
                      </c:pt>
                      <c:pt idx="21">
                        <c:v>637.72598111111108</c:v>
                      </c:pt>
                      <c:pt idx="22">
                        <c:v>645.93729222222214</c:v>
                      </c:pt>
                      <c:pt idx="23">
                        <c:v>654.27373388888884</c:v>
                      </c:pt>
                      <c:pt idx="24">
                        <c:v>662.56333388888879</c:v>
                      </c:pt>
                      <c:pt idx="25">
                        <c:v>670.85953388888879</c:v>
                      </c:pt>
                      <c:pt idx="26">
                        <c:v>679.11219222222212</c:v>
                      </c:pt>
                      <c:pt idx="27">
                        <c:v>687.40674222222208</c:v>
                      </c:pt>
                      <c:pt idx="28">
                        <c:v>695.65940055555541</c:v>
                      </c:pt>
                      <c:pt idx="29">
                        <c:v>703.87016722222199</c:v>
                      </c:pt>
                      <c:pt idx="30">
                        <c:v>712.08093388888869</c:v>
                      </c:pt>
                      <c:pt idx="31">
                        <c:v>720.41737555555528</c:v>
                      </c:pt>
                      <c:pt idx="32">
                        <c:v>728.75381722222198</c:v>
                      </c:pt>
                      <c:pt idx="33">
                        <c:v>737.00647555555531</c:v>
                      </c:pt>
                      <c:pt idx="34">
                        <c:v>745.30102555555527</c:v>
                      </c:pt>
                      <c:pt idx="35">
                        <c:v>753.55423111111088</c:v>
                      </c:pt>
                      <c:pt idx="36">
                        <c:v>761.80688944444421</c:v>
                      </c:pt>
                      <c:pt idx="37">
                        <c:v>770.05954777777765</c:v>
                      </c:pt>
                      <c:pt idx="38">
                        <c:v>778.43788111111098</c:v>
                      </c:pt>
                      <c:pt idx="39">
                        <c:v>786.73243111111105</c:v>
                      </c:pt>
                      <c:pt idx="40">
                        <c:v>795.11076444444438</c:v>
                      </c:pt>
                      <c:pt idx="41">
                        <c:v>803.40586444444443</c:v>
                      </c:pt>
                      <c:pt idx="42">
                        <c:v>811.65906999999993</c:v>
                      </c:pt>
                      <c:pt idx="43">
                        <c:v>819.95416999999998</c:v>
                      </c:pt>
                      <c:pt idx="44">
                        <c:v>828.24871999999993</c:v>
                      </c:pt>
                      <c:pt idx="45">
                        <c:v>836.54381999999998</c:v>
                      </c:pt>
                      <c:pt idx="46">
                        <c:v>844.75458666666657</c:v>
                      </c:pt>
                      <c:pt idx="47">
                        <c:v>852.95881999999983</c:v>
                      </c:pt>
                      <c:pt idx="48">
                        <c:v>861.17829777777763</c:v>
                      </c:pt>
                      <c:pt idx="49">
                        <c:v>869.51529222222212</c:v>
                      </c:pt>
                      <c:pt idx="50">
                        <c:v>877.84620611111097</c:v>
                      </c:pt>
                      <c:pt idx="51">
                        <c:v>886.22731722222204</c:v>
                      </c:pt>
                      <c:pt idx="52">
                        <c:v>894.47833388888864</c:v>
                      </c:pt>
                      <c:pt idx="53">
                        <c:v>902.68746722222193</c:v>
                      </c:pt>
                      <c:pt idx="54">
                        <c:v>910.9352005555553</c:v>
                      </c:pt>
                      <c:pt idx="55">
                        <c:v>919.32075611111088</c:v>
                      </c:pt>
                      <c:pt idx="56">
                        <c:v>927.57286722222193</c:v>
                      </c:pt>
                      <c:pt idx="57">
                        <c:v>935.86136722222193</c:v>
                      </c:pt>
                      <c:pt idx="58">
                        <c:v>944.1194977777775</c:v>
                      </c:pt>
                      <c:pt idx="59">
                        <c:v>952.41404777777745</c:v>
                      </c:pt>
                      <c:pt idx="60">
                        <c:v>960.6667061111109</c:v>
                      </c:pt>
                      <c:pt idx="61">
                        <c:v>968.99817277777754</c:v>
                      </c:pt>
                      <c:pt idx="62">
                        <c:v>977.20349499999975</c:v>
                      </c:pt>
                      <c:pt idx="63">
                        <c:v>985.45122833333312</c:v>
                      </c:pt>
                      <c:pt idx="64">
                        <c:v>993.8279033333331</c:v>
                      </c:pt>
                      <c:pt idx="65">
                        <c:v>1002.0444449999998</c:v>
                      </c:pt>
                      <c:pt idx="66">
                        <c:v>1010.2971033333331</c:v>
                      </c:pt>
                      <c:pt idx="67">
                        <c:v>1018.675992222222</c:v>
                      </c:pt>
                      <c:pt idx="68">
                        <c:v>1026.9705422222221</c:v>
                      </c:pt>
                      <c:pt idx="69">
                        <c:v>1035.3064311111109</c:v>
                      </c:pt>
                      <c:pt idx="70">
                        <c:v>1043.6015311111109</c:v>
                      </c:pt>
                      <c:pt idx="71">
                        <c:v>1051.9379727777778</c:v>
                      </c:pt>
                      <c:pt idx="72">
                        <c:v>1060.148195</c:v>
                      </c:pt>
                      <c:pt idx="73">
                        <c:v>1068.5198616666667</c:v>
                      </c:pt>
                      <c:pt idx="74">
                        <c:v>1076.8931950000001</c:v>
                      </c:pt>
                      <c:pt idx="75">
                        <c:v>1085.273195</c:v>
                      </c:pt>
                      <c:pt idx="76">
                        <c:v>1093.647083888889</c:v>
                      </c:pt>
                      <c:pt idx="77">
                        <c:v>1101.8594838888889</c:v>
                      </c:pt>
                      <c:pt idx="78">
                        <c:v>1110.1121422222222</c:v>
                      </c:pt>
                      <c:pt idx="79">
                        <c:v>1118.4066922222221</c:v>
                      </c:pt>
                      <c:pt idx="80">
                        <c:v>1126.7012422222222</c:v>
                      </c:pt>
                      <c:pt idx="81">
                        <c:v>1134.9897422222223</c:v>
                      </c:pt>
                      <c:pt idx="82">
                        <c:v>1143.3697422222222</c:v>
                      </c:pt>
                      <c:pt idx="83">
                        <c:v>1151.7480755555555</c:v>
                      </c:pt>
                      <c:pt idx="84">
                        <c:v>1159.9941672222221</c:v>
                      </c:pt>
                      <c:pt idx="85">
                        <c:v>1168.3256338888889</c:v>
                      </c:pt>
                      <c:pt idx="86">
                        <c:v>1176.9972088888887</c:v>
                      </c:pt>
                      <c:pt idx="87">
                        <c:v>1185.331992222222</c:v>
                      </c:pt>
                      <c:pt idx="88">
                        <c:v>1193.6684338888888</c:v>
                      </c:pt>
                      <c:pt idx="89">
                        <c:v>1202.0869838888889</c:v>
                      </c:pt>
                      <c:pt idx="90">
                        <c:v>1210.3374533333335</c:v>
                      </c:pt>
                      <c:pt idx="91">
                        <c:v>1218.6727894444446</c:v>
                      </c:pt>
                      <c:pt idx="92">
                        <c:v>1226.9232588888892</c:v>
                      </c:pt>
                      <c:pt idx="93">
                        <c:v>1235.2216588888891</c:v>
                      </c:pt>
                      <c:pt idx="94">
                        <c:v>1243.4781477777781</c:v>
                      </c:pt>
                      <c:pt idx="95">
                        <c:v>1251.770497777778</c:v>
                      </c:pt>
                      <c:pt idx="96">
                        <c:v>1259.9382894444448</c:v>
                      </c:pt>
                      <c:pt idx="97">
                        <c:v>1268.2328394444448</c:v>
                      </c:pt>
                      <c:pt idx="98">
                        <c:v>1276.4408838888894</c:v>
                      </c:pt>
                      <c:pt idx="99">
                        <c:v>1284.6913533333336</c:v>
                      </c:pt>
                      <c:pt idx="100">
                        <c:v>1292.9010311111115</c:v>
                      </c:pt>
                      <c:pt idx="101">
                        <c:v>1301.1156088888893</c:v>
                      </c:pt>
                      <c:pt idx="102">
                        <c:v>1309.3220200000003</c:v>
                      </c:pt>
                      <c:pt idx="103">
                        <c:v>1317.6160200000002</c:v>
                      </c:pt>
                      <c:pt idx="104">
                        <c:v>1325.9144200000003</c:v>
                      </c:pt>
                      <c:pt idx="105">
                        <c:v>1334.0403255555557</c:v>
                      </c:pt>
                      <c:pt idx="106">
                        <c:v>1342.3387255555558</c:v>
                      </c:pt>
                      <c:pt idx="107">
                        <c:v>1350.673508888889</c:v>
                      </c:pt>
                      <c:pt idx="108">
                        <c:v>1359.0138200000004</c:v>
                      </c:pt>
                      <c:pt idx="109">
                        <c:v>1367.3122200000003</c:v>
                      </c:pt>
                      <c:pt idx="110">
                        <c:v>1375.6051200000002</c:v>
                      </c:pt>
                      <c:pt idx="111">
                        <c:v>1383.9399033333334</c:v>
                      </c:pt>
                      <c:pt idx="112">
                        <c:v>1392.2383033333335</c:v>
                      </c:pt>
                      <c:pt idx="113">
                        <c:v>1400.5730866666668</c:v>
                      </c:pt>
                      <c:pt idx="114">
                        <c:v>1408.9977783333334</c:v>
                      </c:pt>
                      <c:pt idx="115">
                        <c:v>1417.3325616666666</c:v>
                      </c:pt>
                      <c:pt idx="116">
                        <c:v>1425.5835783333332</c:v>
                      </c:pt>
                      <c:pt idx="117">
                        <c:v>1433.9183616666664</c:v>
                      </c:pt>
                      <c:pt idx="118">
                        <c:v>1442.2531449999997</c:v>
                      </c:pt>
                      <c:pt idx="119">
                        <c:v>1450.3839005555553</c:v>
                      </c:pt>
                      <c:pt idx="120">
                        <c:v>1458.7605672222219</c:v>
                      </c:pt>
                      <c:pt idx="121">
                        <c:v>1467.1003255555552</c:v>
                      </c:pt>
                      <c:pt idx="122">
                        <c:v>1475.3518894444439</c:v>
                      </c:pt>
                      <c:pt idx="123">
                        <c:v>1483.6502894444441</c:v>
                      </c:pt>
                      <c:pt idx="124">
                        <c:v>1491.9508894444441</c:v>
                      </c:pt>
                      <c:pt idx="125">
                        <c:v>1500.244339444444</c:v>
                      </c:pt>
                      <c:pt idx="126">
                        <c:v>1508.536139444444</c:v>
                      </c:pt>
                      <c:pt idx="127">
                        <c:v>1516.8290394444439</c:v>
                      </c:pt>
                      <c:pt idx="128">
                        <c:v>1525.1693505555552</c:v>
                      </c:pt>
                      <c:pt idx="129">
                        <c:v>1533.5002644444439</c:v>
                      </c:pt>
                      <c:pt idx="130">
                        <c:v>1541.8356005555552</c:v>
                      </c:pt>
                      <c:pt idx="131">
                        <c:v>1550.1285005555551</c:v>
                      </c:pt>
                      <c:pt idx="132">
                        <c:v>1558.4285505555549</c:v>
                      </c:pt>
                      <c:pt idx="133">
                        <c:v>1566.7622283333328</c:v>
                      </c:pt>
                      <c:pt idx="134">
                        <c:v>1575.1863616666662</c:v>
                      </c:pt>
                      <c:pt idx="135">
                        <c:v>1583.4373783333328</c:v>
                      </c:pt>
                      <c:pt idx="136">
                        <c:v>1591.8559283333329</c:v>
                      </c:pt>
                      <c:pt idx="137">
                        <c:v>1600.1907116666662</c:v>
                      </c:pt>
                      <c:pt idx="138">
                        <c:v>1608.4836116666661</c:v>
                      </c:pt>
                      <c:pt idx="139">
                        <c:v>1616.7401005555548</c:v>
                      </c:pt>
                      <c:pt idx="140">
                        <c:v>1625.0385005555549</c:v>
                      </c:pt>
                      <c:pt idx="141">
                        <c:v>1633.3314005555549</c:v>
                      </c:pt>
                      <c:pt idx="142">
                        <c:v>1641.7136227777771</c:v>
                      </c:pt>
                      <c:pt idx="143">
                        <c:v>1650.0484061111104</c:v>
                      </c:pt>
                      <c:pt idx="144">
                        <c:v>1658.4250727777769</c:v>
                      </c:pt>
                      <c:pt idx="145">
                        <c:v>1666.7598561111101</c:v>
                      </c:pt>
                      <c:pt idx="146">
                        <c:v>1675.0527561111101</c:v>
                      </c:pt>
                      <c:pt idx="147">
                        <c:v>1683.4349783333321</c:v>
                      </c:pt>
                      <c:pt idx="148">
                        <c:v>1691.6441116666654</c:v>
                      </c:pt>
                      <c:pt idx="149">
                        <c:v>1699.9844227777767</c:v>
                      </c:pt>
                      <c:pt idx="150">
                        <c:v>1708.3610894444432</c:v>
                      </c:pt>
                      <c:pt idx="151">
                        <c:v>1716.6594894444434</c:v>
                      </c:pt>
                      <c:pt idx="152">
                        <c:v>1725.0361561111099</c:v>
                      </c:pt>
                      <c:pt idx="153">
                        <c:v>1733.3351061111098</c:v>
                      </c:pt>
                      <c:pt idx="154">
                        <c:v>1741.7117727777763</c:v>
                      </c:pt>
                      <c:pt idx="155">
                        <c:v>1750.0101727777765</c:v>
                      </c:pt>
                      <c:pt idx="156">
                        <c:v>1758.3449561111097</c:v>
                      </c:pt>
                      <c:pt idx="157">
                        <c:v>1766.6797394444429</c:v>
                      </c:pt>
                      <c:pt idx="158">
                        <c:v>1775.020050555554</c:v>
                      </c:pt>
                      <c:pt idx="159">
                        <c:v>1783.3129505555539</c:v>
                      </c:pt>
                      <c:pt idx="160">
                        <c:v>1791.5639672222205</c:v>
                      </c:pt>
                      <c:pt idx="161">
                        <c:v>1799.9461894444428</c:v>
                      </c:pt>
                      <c:pt idx="162">
                        <c:v>1808.2865005555539</c:v>
                      </c:pt>
                      <c:pt idx="163">
                        <c:v>1816.7547894444428</c:v>
                      </c:pt>
                      <c:pt idx="164">
                        <c:v>1825.047139444443</c:v>
                      </c:pt>
                      <c:pt idx="165">
                        <c:v>1833.3841338888874</c:v>
                      </c:pt>
                      <c:pt idx="166">
                        <c:v>1841.808825555554</c:v>
                      </c:pt>
                      <c:pt idx="167">
                        <c:v>1850.1419505555541</c:v>
                      </c:pt>
                      <c:pt idx="168">
                        <c:v>1858.5241727777761</c:v>
                      </c:pt>
                      <c:pt idx="169">
                        <c:v>1866.9427227777762</c:v>
                      </c:pt>
                      <c:pt idx="170">
                        <c:v>1875.2775061111095</c:v>
                      </c:pt>
                      <c:pt idx="171">
                        <c:v>1883.5759061111096</c:v>
                      </c:pt>
                      <c:pt idx="172">
                        <c:v>1891.9106894444428</c:v>
                      </c:pt>
                      <c:pt idx="173">
                        <c:v>1900.2510005555539</c:v>
                      </c:pt>
                      <c:pt idx="174">
                        <c:v>1908.591864444443</c:v>
                      </c:pt>
                      <c:pt idx="175">
                        <c:v>1916.974086666665</c:v>
                      </c:pt>
                      <c:pt idx="176">
                        <c:v>1925.3088699999983</c:v>
                      </c:pt>
                      <c:pt idx="177">
                        <c:v>1933.6916477777761</c:v>
                      </c:pt>
                      <c:pt idx="178">
                        <c:v>1942.0264311111093</c:v>
                      </c:pt>
                      <c:pt idx="179">
                        <c:v>1950.4030977777759</c:v>
                      </c:pt>
                      <c:pt idx="180">
                        <c:v>1958.8635311111093</c:v>
                      </c:pt>
                      <c:pt idx="181">
                        <c:v>1967.1983144444428</c:v>
                      </c:pt>
                      <c:pt idx="182">
                        <c:v>1975.5805366666648</c:v>
                      </c:pt>
                      <c:pt idx="183">
                        <c:v>1983.9572033333313</c:v>
                      </c:pt>
                      <c:pt idx="184">
                        <c:v>1992.2556033333315</c:v>
                      </c:pt>
                      <c:pt idx="185">
                        <c:v>2000.670244999998</c:v>
                      </c:pt>
                      <c:pt idx="186">
                        <c:v>2009.0055811111092</c:v>
                      </c:pt>
                      <c:pt idx="187">
                        <c:v>2017.3458922222203</c:v>
                      </c:pt>
                      <c:pt idx="188">
                        <c:v>2025.7700255555537</c:v>
                      </c:pt>
                      <c:pt idx="189">
                        <c:v>2034.1466922222203</c:v>
                      </c:pt>
                      <c:pt idx="190">
                        <c:v>2042.5289144444423</c:v>
                      </c:pt>
                      <c:pt idx="191">
                        <c:v>2050.8273144444424</c:v>
                      </c:pt>
                      <c:pt idx="192">
                        <c:v>2059.1202144444424</c:v>
                      </c:pt>
                      <c:pt idx="193">
                        <c:v>2067.4968811111089</c:v>
                      </c:pt>
                      <c:pt idx="194">
                        <c:v>2075.8735477777755</c:v>
                      </c:pt>
                      <c:pt idx="195">
                        <c:v>2084.2976811111089</c:v>
                      </c:pt>
                      <c:pt idx="196">
                        <c:v>2092.6799033333309</c:v>
                      </c:pt>
                      <c:pt idx="197">
                        <c:v>2101.0565699999975</c:v>
                      </c:pt>
                      <c:pt idx="198">
                        <c:v>2109.433236666664</c:v>
                      </c:pt>
                      <c:pt idx="199">
                        <c:v>2117.7735477777751</c:v>
                      </c:pt>
                      <c:pt idx="200">
                        <c:v>2126.192097777775</c:v>
                      </c:pt>
                      <c:pt idx="201">
                        <c:v>2134.5743199999974</c:v>
                      </c:pt>
                      <c:pt idx="202">
                        <c:v>2142.9565422222195</c:v>
                      </c:pt>
                      <c:pt idx="203">
                        <c:v>2151.2494422222194</c:v>
                      </c:pt>
                      <c:pt idx="204">
                        <c:v>2159.4640199999972</c:v>
                      </c:pt>
                      <c:pt idx="205">
                        <c:v>2167.8406866666637</c:v>
                      </c:pt>
                      <c:pt idx="206">
                        <c:v>2176.2179088888856</c:v>
                      </c:pt>
                      <c:pt idx="207">
                        <c:v>2184.6364588888855</c:v>
                      </c:pt>
                      <c:pt idx="208">
                        <c:v>2193.0131255555525</c:v>
                      </c:pt>
                      <c:pt idx="209">
                        <c:v>2201.3953477777745</c:v>
                      </c:pt>
                      <c:pt idx="210">
                        <c:v>2209.7301311111078</c:v>
                      </c:pt>
                      <c:pt idx="211">
                        <c:v>2218.0704422222188</c:v>
                      </c:pt>
                      <c:pt idx="212">
                        <c:v>2226.3214588888854</c:v>
                      </c:pt>
                      <c:pt idx="213">
                        <c:v>2234.6143588888854</c:v>
                      </c:pt>
                      <c:pt idx="214">
                        <c:v>2242.9491422222186</c:v>
                      </c:pt>
                      <c:pt idx="215">
                        <c:v>2251.2475422222183</c:v>
                      </c:pt>
                      <c:pt idx="216">
                        <c:v>2259.5878533333293</c:v>
                      </c:pt>
                      <c:pt idx="217">
                        <c:v>2267.8388699999959</c:v>
                      </c:pt>
                      <c:pt idx="218">
                        <c:v>2276.2210922222184</c:v>
                      </c:pt>
                      <c:pt idx="219">
                        <c:v>2284.472108888885</c:v>
                      </c:pt>
                      <c:pt idx="220">
                        <c:v>2292.7650088888849</c:v>
                      </c:pt>
                      <c:pt idx="221">
                        <c:v>2301.1416755555515</c:v>
                      </c:pt>
                      <c:pt idx="222">
                        <c:v>2309.4764588888847</c:v>
                      </c:pt>
                      <c:pt idx="223">
                        <c:v>2317.7693588888847</c:v>
                      </c:pt>
                      <c:pt idx="224">
                        <c:v>2326.1096699999957</c:v>
                      </c:pt>
                      <c:pt idx="225">
                        <c:v>2334.5338033333287</c:v>
                      </c:pt>
                      <c:pt idx="226">
                        <c:v>2342.742936666662</c:v>
                      </c:pt>
                      <c:pt idx="227">
                        <c:v>2351.0777199999952</c:v>
                      </c:pt>
                      <c:pt idx="228">
                        <c:v>2359.4180311111063</c:v>
                      </c:pt>
                      <c:pt idx="229">
                        <c:v>2367.716431111106</c:v>
                      </c:pt>
                      <c:pt idx="230">
                        <c:v>2375.9255644444393</c:v>
                      </c:pt>
                      <c:pt idx="231">
                        <c:v>2384.2658755555503</c:v>
                      </c:pt>
                      <c:pt idx="232">
                        <c:v>2392.6061866666614</c:v>
                      </c:pt>
                      <c:pt idx="233">
                        <c:v>2401.0722311111058</c:v>
                      </c:pt>
                      <c:pt idx="234">
                        <c:v>2409.3232477777724</c:v>
                      </c:pt>
                      <c:pt idx="235">
                        <c:v>2417.6999144444394</c:v>
                      </c:pt>
                      <c:pt idx="236">
                        <c:v>2425.9492894444393</c:v>
                      </c:pt>
                      <c:pt idx="237">
                        <c:v>2434.2394394444391</c:v>
                      </c:pt>
                      <c:pt idx="238">
                        <c:v>2442.4453061111058</c:v>
                      </c:pt>
                      <c:pt idx="239">
                        <c:v>2450.7056255555503</c:v>
                      </c:pt>
                      <c:pt idx="240">
                        <c:v>2458.9637561111062</c:v>
                      </c:pt>
                      <c:pt idx="241">
                        <c:v>2467.2996449999951</c:v>
                      </c:pt>
                      <c:pt idx="242">
                        <c:v>2475.5947449999949</c:v>
                      </c:pt>
                      <c:pt idx="243">
                        <c:v>2483.8055116666615</c:v>
                      </c:pt>
                      <c:pt idx="244">
                        <c:v>2492.1474811111061</c:v>
                      </c:pt>
                      <c:pt idx="245">
                        <c:v>2500.3990449999947</c:v>
                      </c:pt>
                      <c:pt idx="246">
                        <c:v>2508.6522505555504</c:v>
                      </c:pt>
                      <c:pt idx="247">
                        <c:v>2517.0305838888839</c:v>
                      </c:pt>
                      <c:pt idx="248">
                        <c:v>2525.3289838888836</c:v>
                      </c:pt>
                      <c:pt idx="249">
                        <c:v>2533.5816422222169</c:v>
                      </c:pt>
                      <c:pt idx="250">
                        <c:v>2541.8706922222168</c:v>
                      </c:pt>
                      <c:pt idx="251">
                        <c:v>2550.1184255555504</c:v>
                      </c:pt>
                      <c:pt idx="252">
                        <c:v>2558.3656116666616</c:v>
                      </c:pt>
                      <c:pt idx="253">
                        <c:v>2566.7925366666614</c:v>
                      </c:pt>
                      <c:pt idx="254">
                        <c:v>2575.0457422222171</c:v>
                      </c:pt>
                      <c:pt idx="255">
                        <c:v>2583.3408422222169</c:v>
                      </c:pt>
                      <c:pt idx="256">
                        <c:v>2591.6772838888837</c:v>
                      </c:pt>
                      <c:pt idx="257">
                        <c:v>2600.0137255555505</c:v>
                      </c:pt>
                      <c:pt idx="258">
                        <c:v>2608.2250366666617</c:v>
                      </c:pt>
                      <c:pt idx="259">
                        <c:v>2616.5195866666618</c:v>
                      </c:pt>
                      <c:pt idx="260">
                        <c:v>2624.8141366666614</c:v>
                      </c:pt>
                      <c:pt idx="261">
                        <c:v>2633.1980255555504</c:v>
                      </c:pt>
                      <c:pt idx="262">
                        <c:v>2641.49367555555</c:v>
                      </c:pt>
                      <c:pt idx="263">
                        <c:v>2649.7463338888833</c:v>
                      </c:pt>
                      <c:pt idx="264">
                        <c:v>2657.9989922222167</c:v>
                      </c:pt>
                      <c:pt idx="265">
                        <c:v>2666.2097588888832</c:v>
                      </c:pt>
                      <c:pt idx="266">
                        <c:v>2674.5037588888831</c:v>
                      </c:pt>
                      <c:pt idx="267">
                        <c:v>2682.841306111105</c:v>
                      </c:pt>
                      <c:pt idx="268">
                        <c:v>2691.2196394444386</c:v>
                      </c:pt>
                      <c:pt idx="269">
                        <c:v>2699.4783172222169</c:v>
                      </c:pt>
                      <c:pt idx="270">
                        <c:v>2707.8566505555505</c:v>
                      </c:pt>
                      <c:pt idx="271">
                        <c:v>2716.2349838888836</c:v>
                      </c:pt>
                      <c:pt idx="272">
                        <c:v>2724.5295338888832</c:v>
                      </c:pt>
                      <c:pt idx="273">
                        <c:v>2732.7821922222165</c:v>
                      </c:pt>
                      <c:pt idx="274">
                        <c:v>2741.1186338888833</c:v>
                      </c:pt>
                      <c:pt idx="275">
                        <c:v>2749.4131838888834</c:v>
                      </c:pt>
                      <c:pt idx="276">
                        <c:v>2757.7082838888832</c:v>
                      </c:pt>
                      <c:pt idx="277">
                        <c:v>2765.9609422222165</c:v>
                      </c:pt>
                      <c:pt idx="278">
                        <c:v>2774.2130533333275</c:v>
                      </c:pt>
                      <c:pt idx="279">
                        <c:v>2782.513653333328</c:v>
                      </c:pt>
                      <c:pt idx="280">
                        <c:v>2790.6830699999941</c:v>
                      </c:pt>
                      <c:pt idx="281">
                        <c:v>2799.020064444439</c:v>
                      </c:pt>
                      <c:pt idx="282">
                        <c:v>2807.3565061111058</c:v>
                      </c:pt>
                      <c:pt idx="283">
                        <c:v>2815.6929477777726</c:v>
                      </c:pt>
                      <c:pt idx="284">
                        <c:v>2824.1131727777724</c:v>
                      </c:pt>
                      <c:pt idx="285">
                        <c:v>2832.3663783333277</c:v>
                      </c:pt>
                      <c:pt idx="286">
                        <c:v>2840.7022672222165</c:v>
                      </c:pt>
                      <c:pt idx="287">
                        <c:v>2849.0392616666613</c:v>
                      </c:pt>
                      <c:pt idx="288">
                        <c:v>2857.2919199999947</c:v>
                      </c:pt>
                      <c:pt idx="289">
                        <c:v>2865.6272561111055</c:v>
                      </c:pt>
                      <c:pt idx="290">
                        <c:v>2873.9234561111052</c:v>
                      </c:pt>
                      <c:pt idx="291">
                        <c:v>2882.2191061111057</c:v>
                      </c:pt>
                      <c:pt idx="292">
                        <c:v>2890.471764444439</c:v>
                      </c:pt>
                      <c:pt idx="293">
                        <c:v>2898.8059949999943</c:v>
                      </c:pt>
                      <c:pt idx="294">
                        <c:v>2907.1859949999948</c:v>
                      </c:pt>
                      <c:pt idx="295">
                        <c:v>2915.648111666661</c:v>
                      </c:pt>
                      <c:pt idx="296">
                        <c:v>2923.9382616666612</c:v>
                      </c:pt>
                      <c:pt idx="297">
                        <c:v>2932.2802311111059</c:v>
                      </c:pt>
                      <c:pt idx="298">
                        <c:v>2940.5747811111055</c:v>
                      </c:pt>
                      <c:pt idx="299">
                        <c:v>2948.8225144444391</c:v>
                      </c:pt>
                      <c:pt idx="300">
                        <c:v>2957.1539811111056</c:v>
                      </c:pt>
                      <c:pt idx="301">
                        <c:v>2965.4873144444391</c:v>
                      </c:pt>
                      <c:pt idx="302">
                        <c:v>2973.7461144444396</c:v>
                      </c:pt>
                      <c:pt idx="303">
                        <c:v>2982.0831088888835</c:v>
                      </c:pt>
                      <c:pt idx="304">
                        <c:v>2990.4256311111062</c:v>
                      </c:pt>
                      <c:pt idx="305">
                        <c:v>2998.720731111106</c:v>
                      </c:pt>
                      <c:pt idx="306">
                        <c:v>3007.1409561111059</c:v>
                      </c:pt>
                      <c:pt idx="307">
                        <c:v>3015.5176227777729</c:v>
                      </c:pt>
                      <c:pt idx="308">
                        <c:v>3023.8535116666617</c:v>
                      </c:pt>
                      <c:pt idx="309">
                        <c:v>3032.1491616666617</c:v>
                      </c:pt>
                      <c:pt idx="310">
                        <c:v>3040.5626866666621</c:v>
                      </c:pt>
                      <c:pt idx="311">
                        <c:v>3048.9018922222172</c:v>
                      </c:pt>
                      <c:pt idx="312">
                        <c:v>3057.1958922222175</c:v>
                      </c:pt>
                      <c:pt idx="313">
                        <c:v>3065.5328866666614</c:v>
                      </c:pt>
                      <c:pt idx="314">
                        <c:v>3073.8274366666615</c:v>
                      </c:pt>
                      <c:pt idx="315">
                        <c:v>3082.1649838888834</c:v>
                      </c:pt>
                      <c:pt idx="316">
                        <c:v>3090.543317222217</c:v>
                      </c:pt>
                      <c:pt idx="317">
                        <c:v>3098.9635422222168</c:v>
                      </c:pt>
                      <c:pt idx="318">
                        <c:v>3107.3429866666615</c:v>
                      </c:pt>
                      <c:pt idx="319">
                        <c:v>3115.7565116666615</c:v>
                      </c:pt>
                      <c:pt idx="320">
                        <c:v>3124.0940588888839</c:v>
                      </c:pt>
                      <c:pt idx="321">
                        <c:v>3132.3886088888835</c:v>
                      </c:pt>
                      <c:pt idx="322">
                        <c:v>3140.6765588888838</c:v>
                      </c:pt>
                      <c:pt idx="323">
                        <c:v>3149.0080255555504</c:v>
                      </c:pt>
                      <c:pt idx="324">
                        <c:v>3157.3466783333283</c:v>
                      </c:pt>
                      <c:pt idx="325">
                        <c:v>3165.7674616666613</c:v>
                      </c:pt>
                      <c:pt idx="326">
                        <c:v>3174.0614616666612</c:v>
                      </c:pt>
                      <c:pt idx="327">
                        <c:v>3182.4403505555501</c:v>
                      </c:pt>
                      <c:pt idx="328">
                        <c:v>3190.7354505555504</c:v>
                      </c:pt>
                      <c:pt idx="329">
                        <c:v>3198.9467616666611</c:v>
                      </c:pt>
                      <c:pt idx="330">
                        <c:v>3207.2418616666614</c:v>
                      </c:pt>
                      <c:pt idx="331">
                        <c:v>3215.6615283333281</c:v>
                      </c:pt>
                      <c:pt idx="332">
                        <c:v>3224.040417222217</c:v>
                      </c:pt>
                      <c:pt idx="333">
                        <c:v>3232.2936227777723</c:v>
                      </c:pt>
                      <c:pt idx="334">
                        <c:v>3240.6300644444391</c:v>
                      </c:pt>
                      <c:pt idx="335">
                        <c:v>3248.9598727777725</c:v>
                      </c:pt>
                      <c:pt idx="336">
                        <c:v>3257.2979727777724</c:v>
                      </c:pt>
                      <c:pt idx="337">
                        <c:v>3265.6349672222173</c:v>
                      </c:pt>
                      <c:pt idx="338">
                        <c:v>3274.0071894444395</c:v>
                      </c:pt>
                      <c:pt idx="339">
                        <c:v>3282.3871894444396</c:v>
                      </c:pt>
                      <c:pt idx="340">
                        <c:v>3290.7236311111064</c:v>
                      </c:pt>
                      <c:pt idx="341">
                        <c:v>3299.0606255555513</c:v>
                      </c:pt>
                      <c:pt idx="342">
                        <c:v>3307.3976199999952</c:v>
                      </c:pt>
                      <c:pt idx="343">
                        <c:v>3315.7765088888841</c:v>
                      </c:pt>
                      <c:pt idx="344">
                        <c:v>3324.1129505555509</c:v>
                      </c:pt>
                      <c:pt idx="345">
                        <c:v>3332.4080505555507</c:v>
                      </c:pt>
                      <c:pt idx="346">
                        <c:v>3340.7797172222176</c:v>
                      </c:pt>
                      <c:pt idx="347">
                        <c:v>3349.0759172222174</c:v>
                      </c:pt>
                      <c:pt idx="348">
                        <c:v>3357.5731588888843</c:v>
                      </c:pt>
                      <c:pt idx="349">
                        <c:v>3365.8704588888841</c:v>
                      </c:pt>
                      <c:pt idx="350">
                        <c:v>3374.2069005555509</c:v>
                      </c:pt>
                      <c:pt idx="351">
                        <c:v>3382.5014505555509</c:v>
                      </c:pt>
                      <c:pt idx="352">
                        <c:v>3390.9216755555508</c:v>
                      </c:pt>
                      <c:pt idx="353">
                        <c:v>3399.2619866666619</c:v>
                      </c:pt>
                      <c:pt idx="354">
                        <c:v>3407.5984283333287</c:v>
                      </c:pt>
                      <c:pt idx="355">
                        <c:v>3415.8929783333288</c:v>
                      </c:pt>
                      <c:pt idx="356">
                        <c:v>3424.1875283333288</c:v>
                      </c:pt>
                      <c:pt idx="357">
                        <c:v>3432.5239699999956</c:v>
                      </c:pt>
                      <c:pt idx="358">
                        <c:v>3440.9023033333287</c:v>
                      </c:pt>
                      <c:pt idx="359">
                        <c:v>3449.1587922222179</c:v>
                      </c:pt>
                      <c:pt idx="360">
                        <c:v>3457.413092222218</c:v>
                      </c:pt>
                      <c:pt idx="361">
                        <c:v>3465.7914255555515</c:v>
                      </c:pt>
                      <c:pt idx="362">
                        <c:v>3474.1278672222184</c:v>
                      </c:pt>
                      <c:pt idx="363">
                        <c:v>3482.4648616666623</c:v>
                      </c:pt>
                      <c:pt idx="364">
                        <c:v>3490.7175199999956</c:v>
                      </c:pt>
                      <c:pt idx="365">
                        <c:v>3498.9282866666622</c:v>
                      </c:pt>
                      <c:pt idx="366">
                        <c:v>3507.3066199999957</c:v>
                      </c:pt>
                      <c:pt idx="367">
                        <c:v>3515.6436144444397</c:v>
                      </c:pt>
                      <c:pt idx="368">
                        <c:v>3523.93156444444</c:v>
                      </c:pt>
                      <c:pt idx="369">
                        <c:v>3532.3534644444399</c:v>
                      </c:pt>
                      <c:pt idx="370">
                        <c:v>3540.6480144444399</c:v>
                      </c:pt>
                      <c:pt idx="371">
                        <c:v>3548.9012199999956</c:v>
                      </c:pt>
                      <c:pt idx="372">
                        <c:v>3557.2376616666625</c:v>
                      </c:pt>
                      <c:pt idx="373">
                        <c:v>3565.4903199999953</c:v>
                      </c:pt>
                      <c:pt idx="374">
                        <c:v>3573.9105449999952</c:v>
                      </c:pt>
                      <c:pt idx="375">
                        <c:v>3582.4111699999953</c:v>
                      </c:pt>
                      <c:pt idx="376">
                        <c:v>3590.7472811111065</c:v>
                      </c:pt>
                      <c:pt idx="377">
                        <c:v>3599.1261894444397</c:v>
                      </c:pt>
                      <c:pt idx="378">
                        <c:v>3607.4978561111066</c:v>
                      </c:pt>
                      <c:pt idx="379">
                        <c:v>3615.7869061111064</c:v>
                      </c:pt>
                      <c:pt idx="380">
                        <c:v>3624.0908061111063</c:v>
                      </c:pt>
                      <c:pt idx="381">
                        <c:v>3632.4691394444399</c:v>
                      </c:pt>
                      <c:pt idx="382">
                        <c:v>3640.6809949999952</c:v>
                      </c:pt>
                      <c:pt idx="383">
                        <c:v>3648.9760949999954</c:v>
                      </c:pt>
                      <c:pt idx="384">
                        <c:v>3657.3538727777732</c:v>
                      </c:pt>
                      <c:pt idx="385">
                        <c:v>3665.7338727777733</c:v>
                      </c:pt>
                      <c:pt idx="386">
                        <c:v>3674.0614699999951</c:v>
                      </c:pt>
                      <c:pt idx="387">
                        <c:v>3682.4006755555506</c:v>
                      </c:pt>
                      <c:pt idx="388">
                        <c:v>3690.7376699999954</c:v>
                      </c:pt>
                      <c:pt idx="389">
                        <c:v>3699.1221144444398</c:v>
                      </c:pt>
                      <c:pt idx="390">
                        <c:v>3707.4166644444399</c:v>
                      </c:pt>
                      <c:pt idx="391">
                        <c:v>3715.7531061111067</c:v>
                      </c:pt>
                      <c:pt idx="392">
                        <c:v>3724.0537061111063</c:v>
                      </c:pt>
                      <c:pt idx="393">
                        <c:v>3732.3901477777731</c:v>
                      </c:pt>
                      <c:pt idx="394">
                        <c:v>3740.7684811111067</c:v>
                      </c:pt>
                      <c:pt idx="395">
                        <c:v>3749.2367699999954</c:v>
                      </c:pt>
                      <c:pt idx="396">
                        <c:v>3757.5732116666622</c:v>
                      </c:pt>
                      <c:pt idx="397">
                        <c:v>3765.9521005555512</c:v>
                      </c:pt>
                      <c:pt idx="398">
                        <c:v>3774.2527005555512</c:v>
                      </c:pt>
                      <c:pt idx="399">
                        <c:v>3782.58858944444</c:v>
                      </c:pt>
                      <c:pt idx="400">
                        <c:v>3790.8412477777733</c:v>
                      </c:pt>
                      <c:pt idx="401">
                        <c:v>3799.1330477777733</c:v>
                      </c:pt>
                      <c:pt idx="402">
                        <c:v>3807.5566227777736</c:v>
                      </c:pt>
                      <c:pt idx="403">
                        <c:v>3815.8572227777731</c:v>
                      </c:pt>
                      <c:pt idx="404">
                        <c:v>3824.2361116666621</c:v>
                      </c:pt>
                      <c:pt idx="405">
                        <c:v>3832.6568949999951</c:v>
                      </c:pt>
                      <c:pt idx="406">
                        <c:v>3840.987808888884</c:v>
                      </c:pt>
                      <c:pt idx="407">
                        <c:v>3849.2867588888844</c:v>
                      </c:pt>
                      <c:pt idx="408">
                        <c:v>3857.6176727777734</c:v>
                      </c:pt>
                      <c:pt idx="409">
                        <c:v>3865.990450555551</c:v>
                      </c:pt>
                      <c:pt idx="410">
                        <c:v>3874.280050555551</c:v>
                      </c:pt>
                      <c:pt idx="411">
                        <c:v>3882.6528283333287</c:v>
                      </c:pt>
                      <c:pt idx="412">
                        <c:v>3890.9842949999952</c:v>
                      </c:pt>
                      <c:pt idx="413">
                        <c:v>3899.2314811111064</c:v>
                      </c:pt>
                      <c:pt idx="414">
                        <c:v>3907.5745561111062</c:v>
                      </c:pt>
                      <c:pt idx="415">
                        <c:v>3915.8272144444395</c:v>
                      </c:pt>
                      <c:pt idx="416">
                        <c:v>3924.0798727777728</c:v>
                      </c:pt>
                      <c:pt idx="417">
                        <c:v>3932.2547061111059</c:v>
                      </c:pt>
                      <c:pt idx="418">
                        <c:v>3940.4235811111062</c:v>
                      </c:pt>
                      <c:pt idx="419">
                        <c:v>3948.7655505555504</c:v>
                      </c:pt>
                      <c:pt idx="420">
                        <c:v>3957.1086255555506</c:v>
                      </c:pt>
                      <c:pt idx="421">
                        <c:v>3965.3188477777726</c:v>
                      </c:pt>
                      <c:pt idx="422">
                        <c:v>3973.6133977777722</c:v>
                      </c:pt>
                      <c:pt idx="423">
                        <c:v>3981.9553672222169</c:v>
                      </c:pt>
                      <c:pt idx="424">
                        <c:v>3990.3755922222167</c:v>
                      </c:pt>
                      <c:pt idx="425">
                        <c:v>3998.670692222217</c:v>
                      </c:pt>
                      <c:pt idx="426">
                        <c:v>4007.0065811111058</c:v>
                      </c:pt>
                      <c:pt idx="427">
                        <c:v>4015.3016811111056</c:v>
                      </c:pt>
                      <c:pt idx="428">
                        <c:v>4023.5543394444389</c:v>
                      </c:pt>
                      <c:pt idx="429">
                        <c:v>4031.8069977777723</c:v>
                      </c:pt>
                      <c:pt idx="430">
                        <c:v>4040.150072777772</c:v>
                      </c:pt>
                      <c:pt idx="431">
                        <c:v>4048.5708561111055</c:v>
                      </c:pt>
                      <c:pt idx="432">
                        <c:v>4056.9072977777723</c:v>
                      </c:pt>
                      <c:pt idx="433">
                        <c:v>4065.2012977777722</c:v>
                      </c:pt>
                      <c:pt idx="434">
                        <c:v>4073.4555977777723</c:v>
                      </c:pt>
                      <c:pt idx="435">
                        <c:v>4081.83337555555</c:v>
                      </c:pt>
                      <c:pt idx="436">
                        <c:v>4090.1703699999948</c:v>
                      </c:pt>
                      <c:pt idx="437">
                        <c:v>4098.4649199999949</c:v>
                      </c:pt>
                      <c:pt idx="438">
                        <c:v>4106.8019144444388</c:v>
                      </c:pt>
                      <c:pt idx="439">
                        <c:v>4115.1802477777719</c:v>
                      </c:pt>
                      <c:pt idx="440">
                        <c:v>4123.3904699999939</c:v>
                      </c:pt>
                      <c:pt idx="441">
                        <c:v>4131.7749144444379</c:v>
                      </c:pt>
                      <c:pt idx="442">
                        <c:v>4140.153247777771</c:v>
                      </c:pt>
                      <c:pt idx="443">
                        <c:v>4148.4483477777712</c:v>
                      </c:pt>
                      <c:pt idx="444">
                        <c:v>4156.7903172222159</c:v>
                      </c:pt>
                      <c:pt idx="445">
                        <c:v>4165.0848672222155</c:v>
                      </c:pt>
                      <c:pt idx="446">
                        <c:v>4173.3799672222158</c:v>
                      </c:pt>
                      <c:pt idx="447">
                        <c:v>4181.6750672222161</c:v>
                      </c:pt>
                      <c:pt idx="448">
                        <c:v>4189.9282727777709</c:v>
                      </c:pt>
                      <c:pt idx="449">
                        <c:v>4198.4322811111042</c:v>
                      </c:pt>
                      <c:pt idx="450">
                        <c:v>4206.7687227777706</c:v>
                      </c:pt>
                      <c:pt idx="451">
                        <c:v>4215.1409449999928</c:v>
                      </c:pt>
                      <c:pt idx="452">
                        <c:v>4223.3886783333264</c:v>
                      </c:pt>
                      <c:pt idx="453">
                        <c:v>4231.7195922222154</c:v>
                      </c:pt>
                      <c:pt idx="454">
                        <c:v>4240.0510588888819</c:v>
                      </c:pt>
                      <c:pt idx="455">
                        <c:v>4248.2987922222155</c:v>
                      </c:pt>
                      <c:pt idx="456">
                        <c:v>4256.637444999993</c:v>
                      </c:pt>
                      <c:pt idx="457">
                        <c:v>4264.9270449999931</c:v>
                      </c:pt>
                      <c:pt idx="458">
                        <c:v>4273.2166449999932</c:v>
                      </c:pt>
                      <c:pt idx="459">
                        <c:v>4281.6349949999931</c:v>
                      </c:pt>
                      <c:pt idx="460">
                        <c:v>4289.8943449999933</c:v>
                      </c:pt>
                      <c:pt idx="461">
                        <c:v>4298.1470033333271</c:v>
                      </c:pt>
                      <c:pt idx="462">
                        <c:v>4306.567228333327</c:v>
                      </c:pt>
                      <c:pt idx="463">
                        <c:v>4314.8617783333266</c:v>
                      </c:pt>
                      <c:pt idx="464">
                        <c:v>4323.1982199999929</c:v>
                      </c:pt>
                      <c:pt idx="465">
                        <c:v>4331.5346616666593</c:v>
                      </c:pt>
                      <c:pt idx="466">
                        <c:v>4339.6616449999919</c:v>
                      </c:pt>
                      <c:pt idx="467">
                        <c:v>4347.9986394444368</c:v>
                      </c:pt>
                      <c:pt idx="468">
                        <c:v>4356.2931894444373</c:v>
                      </c:pt>
                      <c:pt idx="469">
                        <c:v>4364.5871894444372</c:v>
                      </c:pt>
                      <c:pt idx="470">
                        <c:v>4372.7919672222151</c:v>
                      </c:pt>
                      <c:pt idx="471">
                        <c:v>4381.0468144444376</c:v>
                      </c:pt>
                      <c:pt idx="472">
                        <c:v>4389.2989255555485</c:v>
                      </c:pt>
                      <c:pt idx="473">
                        <c:v>4397.5934755555481</c:v>
                      </c:pt>
                      <c:pt idx="474">
                        <c:v>4405.8466811111039</c:v>
                      </c:pt>
                      <c:pt idx="475">
                        <c:v>4414.1357311111042</c:v>
                      </c:pt>
                      <c:pt idx="476">
                        <c:v>4422.4671977777707</c:v>
                      </c:pt>
                      <c:pt idx="477">
                        <c:v>4430.8471977777708</c:v>
                      </c:pt>
                      <c:pt idx="478">
                        <c:v>4439.1422977777711</c:v>
                      </c:pt>
                      <c:pt idx="479">
                        <c:v>4447.479292222215</c:v>
                      </c:pt>
                      <c:pt idx="480">
                        <c:v>4455.7672422222149</c:v>
                      </c:pt>
                      <c:pt idx="481">
                        <c:v>4464.1405755555479</c:v>
                      </c:pt>
                      <c:pt idx="482">
                        <c:v>4472.4367755555477</c:v>
                      </c:pt>
                      <c:pt idx="483">
                        <c:v>4480.6888866666586</c:v>
                      </c:pt>
                      <c:pt idx="484">
                        <c:v>4489.026433888881</c:v>
                      </c:pt>
                      <c:pt idx="485">
                        <c:v>4497.3209838888815</c:v>
                      </c:pt>
                      <c:pt idx="486">
                        <c:v>4505.6579783333264</c:v>
                      </c:pt>
                      <c:pt idx="487">
                        <c:v>4513.9944199999927</c:v>
                      </c:pt>
                      <c:pt idx="488">
                        <c:v>4522.2862199999927</c:v>
                      </c:pt>
                      <c:pt idx="489">
                        <c:v>4530.708119999993</c:v>
                      </c:pt>
                      <c:pt idx="490">
                        <c:v>4539.0026699999926</c:v>
                      </c:pt>
                      <c:pt idx="491">
                        <c:v>4547.3451922222148</c:v>
                      </c:pt>
                      <c:pt idx="492">
                        <c:v>4555.6783172222149</c:v>
                      </c:pt>
                      <c:pt idx="493">
                        <c:v>4563.9320699999926</c:v>
                      </c:pt>
                      <c:pt idx="494">
                        <c:v>4572.310958888881</c:v>
                      </c:pt>
                      <c:pt idx="495">
                        <c:v>4580.6060588888813</c:v>
                      </c:pt>
                      <c:pt idx="496">
                        <c:v>4589.0262838888812</c:v>
                      </c:pt>
                      <c:pt idx="497">
                        <c:v>4597.1957005555478</c:v>
                      </c:pt>
                      <c:pt idx="498">
                        <c:v>4605.4070116666589</c:v>
                      </c:pt>
                      <c:pt idx="499">
                        <c:v>4613.4856699999928</c:v>
                      </c:pt>
                      <c:pt idx="500">
                        <c:v>4621.3628699999927</c:v>
                      </c:pt>
                      <c:pt idx="501">
                        <c:v>4629.2390255555483</c:v>
                      </c:pt>
                      <c:pt idx="502">
                        <c:v>4637.115181111104</c:v>
                      </c:pt>
                      <c:pt idx="503">
                        <c:v>4644.8171144444377</c:v>
                      </c:pt>
                      <c:pt idx="504">
                        <c:v>4652.6037977777714</c:v>
                      </c:pt>
                      <c:pt idx="505">
                        <c:v>4660.2240366666601</c:v>
                      </c:pt>
                      <c:pt idx="506">
                        <c:v>4667.9269922222156</c:v>
                      </c:pt>
                      <c:pt idx="507">
                        <c:v>4675.5462199999938</c:v>
                      </c:pt>
                      <c:pt idx="508">
                        <c:v>4682.9984866666609</c:v>
                      </c:pt>
                      <c:pt idx="509">
                        <c:v>4690.5409866666605</c:v>
                      </c:pt>
                      <c:pt idx="510">
                        <c:v>4697.7463533333275</c:v>
                      </c:pt>
                      <c:pt idx="511">
                        <c:v>4704.9936116666613</c:v>
                      </c:pt>
                      <c:pt idx="512">
                        <c:v>4712.1659819955821</c:v>
                      </c:pt>
                      <c:pt idx="513">
                        <c:v>4719.1915215091649</c:v>
                      </c:pt>
                      <c:pt idx="514">
                        <c:v>4726.0469206542903</c:v>
                      </c:pt>
                      <c:pt idx="515">
                        <c:v>4732.7976962968478</c:v>
                      </c:pt>
                      <c:pt idx="516">
                        <c:v>4739.4343270833479</c:v>
                      </c:pt>
                      <c:pt idx="517">
                        <c:v>4745.9997878237718</c:v>
                      </c:pt>
                      <c:pt idx="518">
                        <c:v>4752.4588705144779</c:v>
                      </c:pt>
                      <c:pt idx="519">
                        <c:v>4758.8117588816085</c:v>
                      </c:pt>
                      <c:pt idx="520">
                        <c:v>4765.1421712916062</c:v>
                      </c:pt>
                      <c:pt idx="521">
                        <c:v>4771.3871314953076</c:v>
                      </c:pt>
                      <c:pt idx="522">
                        <c:v>4777.585294528024</c:v>
                      </c:pt>
                      <c:pt idx="523">
                        <c:v>4783.6484612242357</c:v>
                      </c:pt>
                      <c:pt idx="524">
                        <c:v>4789.5740863442852</c:v>
                      </c:pt>
                      <c:pt idx="525">
                        <c:v>4795.4799938851465</c:v>
                      </c:pt>
                      <c:pt idx="526">
                        <c:v>4801.2838402727793</c:v>
                      </c:pt>
                      <c:pt idx="527">
                        <c:v>4807.0006058211748</c:v>
                      </c:pt>
                      <c:pt idx="528">
                        <c:v>4812.6543711292088</c:v>
                      </c:pt>
                      <c:pt idx="529">
                        <c:v>4818.2350597940494</c:v>
                      </c:pt>
                      <c:pt idx="530">
                        <c:v>4823.6867315523823</c:v>
                      </c:pt>
                      <c:pt idx="531">
                        <c:v>4829.050147691144</c:v>
                      </c:pt>
                      <c:pt idx="532">
                        <c:v>4834.3098033935157</c:v>
                      </c:pt>
                      <c:pt idx="533">
                        <c:v>4839.5248338286037</c:v>
                      </c:pt>
                      <c:pt idx="534">
                        <c:v>4844.6696495778569</c:v>
                      </c:pt>
                      <c:pt idx="535">
                        <c:v>4849.712496999472</c:v>
                      </c:pt>
                      <c:pt idx="536">
                        <c:v>4854.6759253386745</c:v>
                      </c:pt>
                      <c:pt idx="537">
                        <c:v>4859.5974616105796</c:v>
                      </c:pt>
                      <c:pt idx="538">
                        <c:v>4864.4355728845258</c:v>
                      </c:pt>
                      <c:pt idx="539">
                        <c:v>4869.2146390188882</c:v>
                      </c:pt>
                      <c:pt idx="540">
                        <c:v>4873.9353653082753</c:v>
                      </c:pt>
                      <c:pt idx="541">
                        <c:v>4878.5809573623756</c:v>
                      </c:pt>
                      <c:pt idx="542">
                        <c:v>4883.1296051725094</c:v>
                      </c:pt>
                      <c:pt idx="543">
                        <c:v>4887.637585768397</c:v>
                      </c:pt>
                      <c:pt idx="544">
                        <c:v>4892.0516415735119</c:v>
                      </c:pt>
                      <c:pt idx="545">
                        <c:v>4896.4563494704953</c:v>
                      </c:pt>
                      <c:pt idx="546">
                        <c:v>4900.7450715662908</c:v>
                      </c:pt>
                      <c:pt idx="547">
                        <c:v>4905.0283369777726</c:v>
                      </c:pt>
                      <c:pt idx="548">
                        <c:v>4909.1847819636478</c:v>
                      </c:pt>
                      <c:pt idx="549">
                        <c:v>4913.3035322987935</c:v>
                      </c:pt>
                      <c:pt idx="550">
                        <c:v>4917.3698744598423</c:v>
                      </c:pt>
                      <c:pt idx="551">
                        <c:v>4921.3391183044687</c:v>
                      </c:pt>
                      <c:pt idx="552">
                        <c:v>4925.2596583555605</c:v>
                      </c:pt>
                      <c:pt idx="553">
                        <c:v>4929.1241776231836</c:v>
                      </c:pt>
                      <c:pt idx="554">
                        <c:v>4932.9490204448011</c:v>
                      </c:pt>
                      <c:pt idx="555">
                        <c:v>4936.699223583475</c:v>
                      </c:pt>
                      <c:pt idx="556">
                        <c:v>4940.3948608353094</c:v>
                      </c:pt>
                      <c:pt idx="557">
                        <c:v>4944.0278176168822</c:v>
                      </c:pt>
                      <c:pt idx="558">
                        <c:v>4947.6204739358927</c:v>
                      </c:pt>
                      <c:pt idx="559">
                        <c:v>4951.1652354729713</c:v>
                      </c:pt>
                      <c:pt idx="560">
                        <c:v>4954.6956879390209</c:v>
                      </c:pt>
                      <c:pt idx="561">
                        <c:v>4958.13459395667</c:v>
                      </c:pt>
                      <c:pt idx="562">
                        <c:v>4961.4980705843245</c:v>
                      </c:pt>
                      <c:pt idx="563">
                        <c:v>4964.8309068491635</c:v>
                      </c:pt>
                      <c:pt idx="564">
                        <c:v>4968.1592585595563</c:v>
                      </c:pt>
                      <c:pt idx="565">
                        <c:v>4971.4107373793659</c:v>
                      </c:pt>
                      <c:pt idx="566">
                        <c:v>4974.5738495667192</c:v>
                      </c:pt>
                      <c:pt idx="567">
                        <c:v>4977.734357608957</c:v>
                      </c:pt>
                      <c:pt idx="568">
                        <c:v>4980.7848093796356</c:v>
                      </c:pt>
                      <c:pt idx="569">
                        <c:v>4983.8395969609219</c:v>
                      </c:pt>
                      <c:pt idx="570">
                        <c:v>4986.817774387262</c:v>
                      </c:pt>
                      <c:pt idx="571">
                        <c:v>4989.7938196560863</c:v>
                      </c:pt>
                      <c:pt idx="572">
                        <c:v>4992.7009546789559</c:v>
                      </c:pt>
                      <c:pt idx="573">
                        <c:v>4995.6005983162022</c:v>
                      </c:pt>
                      <c:pt idx="574">
                        <c:v>4998.3975756719665</c:v>
                      </c:pt>
                      <c:pt idx="575">
                        <c:v>5001.1517839916396</c:v>
                      </c:pt>
                      <c:pt idx="576">
                        <c:v>5003.9281955367642</c:v>
                      </c:pt>
                      <c:pt idx="577">
                        <c:v>5006.6082623229904</c:v>
                      </c:pt>
                      <c:pt idx="578">
                        <c:v>5009.2998620540338</c:v>
                      </c:pt>
                      <c:pt idx="579">
                        <c:v>5011.9391775009508</c:v>
                      </c:pt>
                      <c:pt idx="580">
                        <c:v>5014.4931358305657</c:v>
                      </c:pt>
                      <c:pt idx="581">
                        <c:v>5017.0676409073812</c:v>
                      </c:pt>
                      <c:pt idx="582">
                        <c:v>5019.5886758144688</c:v>
                      </c:pt>
                      <c:pt idx="583">
                        <c:v>5022.0568346110376</c:v>
                      </c:pt>
                      <c:pt idx="584">
                        <c:v>5024.4466454260955</c:v>
                      </c:pt>
                      <c:pt idx="585">
                        <c:v>5026.850862014574</c:v>
                      </c:pt>
                      <c:pt idx="586">
                        <c:v>5029.2439831023776</c:v>
                      </c:pt>
                      <c:pt idx="587">
                        <c:v>5031.5930174882651</c:v>
                      </c:pt>
                      <c:pt idx="588">
                        <c:v>5033.8537930755592</c:v>
                      </c:pt>
                      <c:pt idx="589">
                        <c:v>5036.1348693426462</c:v>
                      </c:pt>
                      <c:pt idx="590">
                        <c:v>5038.3589070423741</c:v>
                      </c:pt>
                      <c:pt idx="591">
                        <c:v>5040.5023953594318</c:v>
                      </c:pt>
                      <c:pt idx="592">
                        <c:v>5042.6106147154705</c:v>
                      </c:pt>
                      <c:pt idx="593">
                        <c:v>5044.728277552701</c:v>
                      </c:pt>
                      <c:pt idx="594">
                        <c:v>5046.7761850642282</c:v>
                      </c:pt>
                      <c:pt idx="595">
                        <c:v>5048.8844673224339</c:v>
                      </c:pt>
                      <c:pt idx="596">
                        <c:v>5050.938933462844</c:v>
                      </c:pt>
                      <c:pt idx="597">
                        <c:v>5052.9521524877073</c:v>
                      </c:pt>
                      <c:pt idx="598">
                        <c:v>5055.0233161969963</c:v>
                      </c:pt>
                      <c:pt idx="599">
                        <c:v>5057.0093933001144</c:v>
                      </c:pt>
                      <c:pt idx="600">
                        <c:v>5058.9706052394786</c:v>
                      </c:pt>
                      <c:pt idx="601">
                        <c:v>5060.9277183090935</c:v>
                      </c:pt>
                      <c:pt idx="602">
                        <c:v>5062.8954585291285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89C-4B51-9FE3-EBCD10BCE159}"/>
                  </c:ext>
                </c:extLst>
              </c15:ser>
            </c15:filteredLineSeries>
          </c:ext>
        </c:extLst>
      </c:lineChart>
      <c:catAx>
        <c:axId val="11082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34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5311"/>
        <c:crosses val="autoZero"/>
        <c:auto val="1"/>
        <c:lblAlgn val="ctr"/>
        <c:lblOffset val="10"/>
        <c:tickLblSkip val="40"/>
        <c:tickMarkSkip val="40"/>
        <c:noMultiLvlLbl val="0"/>
      </c:catAx>
      <c:valAx>
        <c:axId val="1108353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6191"/>
        <c:crosses val="autoZero"/>
        <c:crossBetween val="midCat"/>
      </c:valAx>
      <c:valAx>
        <c:axId val="1448173376"/>
        <c:scaling>
          <c:orientation val="minMax"/>
          <c:max val="525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Capacity (mAh)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80704"/>
        <c:crosses val="max"/>
        <c:crossBetween val="between"/>
      </c:valAx>
      <c:catAx>
        <c:axId val="231480704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448173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Reading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[1]in!$J$14</c:f>
              <c:strCache>
                <c:ptCount val="1"/>
                <c:pt idx="0">
                  <c:v>CELL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[1]in!$I$15:$I$97</c:f>
              <c:numCache>
                <c:formatCode>General</c:formatCode>
                <c:ptCount val="8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620</c:v>
                </c:pt>
                <c:pt idx="65">
                  <c:v>625</c:v>
                </c:pt>
                <c:pt idx="66">
                  <c:v>630</c:v>
                </c:pt>
                <c:pt idx="67">
                  <c:v>635</c:v>
                </c:pt>
                <c:pt idx="68">
                  <c:v>640</c:v>
                </c:pt>
                <c:pt idx="69">
                  <c:v>645</c:v>
                </c:pt>
                <c:pt idx="70">
                  <c:v>650</c:v>
                </c:pt>
                <c:pt idx="71">
                  <c:v>655</c:v>
                </c:pt>
                <c:pt idx="72">
                  <c:v>660</c:v>
                </c:pt>
                <c:pt idx="73">
                  <c:v>665</c:v>
                </c:pt>
                <c:pt idx="74">
                  <c:v>670</c:v>
                </c:pt>
                <c:pt idx="75">
                  <c:v>675</c:v>
                </c:pt>
                <c:pt idx="76">
                  <c:v>680</c:v>
                </c:pt>
                <c:pt idx="77">
                  <c:v>685</c:v>
                </c:pt>
                <c:pt idx="78">
                  <c:v>690</c:v>
                </c:pt>
                <c:pt idx="79">
                  <c:v>695</c:v>
                </c:pt>
                <c:pt idx="80">
                  <c:v>700</c:v>
                </c:pt>
              </c:numCache>
            </c:numRef>
          </c:cat>
          <c:val>
            <c:numRef>
              <c:f>[1]in!$J$15:$J$95</c:f>
              <c:numCache>
                <c:formatCode>General</c:formatCode>
                <c:ptCount val="81"/>
                <c:pt idx="0">
                  <c:v>3.964</c:v>
                </c:pt>
                <c:pt idx="1">
                  <c:v>3.964</c:v>
                </c:pt>
                <c:pt idx="2">
                  <c:v>3.964</c:v>
                </c:pt>
                <c:pt idx="3">
                  <c:v>3.9590000000000001</c:v>
                </c:pt>
                <c:pt idx="4">
                  <c:v>3.9590000000000001</c:v>
                </c:pt>
                <c:pt idx="5">
                  <c:v>3.9590000000000001</c:v>
                </c:pt>
                <c:pt idx="6">
                  <c:v>3.964</c:v>
                </c:pt>
                <c:pt idx="7">
                  <c:v>3.9590000000000001</c:v>
                </c:pt>
                <c:pt idx="8">
                  <c:v>3.964</c:v>
                </c:pt>
                <c:pt idx="9">
                  <c:v>3.9590000000000001</c:v>
                </c:pt>
                <c:pt idx="10">
                  <c:v>3.9590000000000001</c:v>
                </c:pt>
                <c:pt idx="11">
                  <c:v>3.9590000000000001</c:v>
                </c:pt>
                <c:pt idx="12">
                  <c:v>3.9590000000000001</c:v>
                </c:pt>
                <c:pt idx="13">
                  <c:v>3.9590000000000001</c:v>
                </c:pt>
                <c:pt idx="14">
                  <c:v>3.9590000000000001</c:v>
                </c:pt>
                <c:pt idx="15">
                  <c:v>3.9590000000000001</c:v>
                </c:pt>
                <c:pt idx="16">
                  <c:v>3.9590000000000001</c:v>
                </c:pt>
                <c:pt idx="17">
                  <c:v>3.9590000000000001</c:v>
                </c:pt>
                <c:pt idx="18">
                  <c:v>3.9590000000000001</c:v>
                </c:pt>
                <c:pt idx="19">
                  <c:v>3.9590000000000001</c:v>
                </c:pt>
                <c:pt idx="20">
                  <c:v>3.9590000000000001</c:v>
                </c:pt>
                <c:pt idx="21">
                  <c:v>3.964</c:v>
                </c:pt>
                <c:pt idx="22">
                  <c:v>3.9590000000000001</c:v>
                </c:pt>
                <c:pt idx="23">
                  <c:v>3.964</c:v>
                </c:pt>
                <c:pt idx="24">
                  <c:v>3.9590000000000001</c:v>
                </c:pt>
                <c:pt idx="25">
                  <c:v>3.9590000000000001</c:v>
                </c:pt>
                <c:pt idx="26">
                  <c:v>3.9590000000000001</c:v>
                </c:pt>
                <c:pt idx="27">
                  <c:v>3.9590000000000001</c:v>
                </c:pt>
                <c:pt idx="28">
                  <c:v>3.9590000000000001</c:v>
                </c:pt>
                <c:pt idx="29">
                  <c:v>3.9590000000000001</c:v>
                </c:pt>
                <c:pt idx="30">
                  <c:v>3.9590000000000001</c:v>
                </c:pt>
                <c:pt idx="31">
                  <c:v>3.9590000000000001</c:v>
                </c:pt>
                <c:pt idx="32">
                  <c:v>3.9590000000000001</c:v>
                </c:pt>
                <c:pt idx="33">
                  <c:v>3.9590000000000001</c:v>
                </c:pt>
                <c:pt idx="34">
                  <c:v>3.964</c:v>
                </c:pt>
                <c:pt idx="35">
                  <c:v>3.964</c:v>
                </c:pt>
                <c:pt idx="36">
                  <c:v>3.964</c:v>
                </c:pt>
                <c:pt idx="37">
                  <c:v>3.9590000000000001</c:v>
                </c:pt>
                <c:pt idx="38">
                  <c:v>3.964</c:v>
                </c:pt>
                <c:pt idx="39">
                  <c:v>3.9590000000000001</c:v>
                </c:pt>
                <c:pt idx="40">
                  <c:v>3.9590000000000001</c:v>
                </c:pt>
                <c:pt idx="41">
                  <c:v>3.964</c:v>
                </c:pt>
                <c:pt idx="42">
                  <c:v>3.9590000000000001</c:v>
                </c:pt>
                <c:pt idx="43">
                  <c:v>3.9590000000000001</c:v>
                </c:pt>
                <c:pt idx="44">
                  <c:v>3.9590000000000001</c:v>
                </c:pt>
                <c:pt idx="45">
                  <c:v>3.9590000000000001</c:v>
                </c:pt>
                <c:pt idx="46">
                  <c:v>3.964</c:v>
                </c:pt>
                <c:pt idx="47">
                  <c:v>3.964</c:v>
                </c:pt>
                <c:pt idx="48">
                  <c:v>3.964</c:v>
                </c:pt>
                <c:pt idx="49">
                  <c:v>3.964</c:v>
                </c:pt>
                <c:pt idx="50">
                  <c:v>3.964</c:v>
                </c:pt>
                <c:pt idx="51">
                  <c:v>3.964</c:v>
                </c:pt>
                <c:pt idx="52">
                  <c:v>3.964</c:v>
                </c:pt>
                <c:pt idx="53">
                  <c:v>3.964</c:v>
                </c:pt>
                <c:pt idx="54">
                  <c:v>3.964</c:v>
                </c:pt>
                <c:pt idx="55">
                  <c:v>3.964</c:v>
                </c:pt>
                <c:pt idx="56">
                  <c:v>3.964</c:v>
                </c:pt>
                <c:pt idx="57">
                  <c:v>3.964</c:v>
                </c:pt>
                <c:pt idx="58">
                  <c:v>3.964</c:v>
                </c:pt>
                <c:pt idx="59">
                  <c:v>3.964</c:v>
                </c:pt>
                <c:pt idx="60">
                  <c:v>3.964</c:v>
                </c:pt>
                <c:pt idx="61">
                  <c:v>3.964</c:v>
                </c:pt>
                <c:pt idx="62">
                  <c:v>3.964</c:v>
                </c:pt>
                <c:pt idx="63">
                  <c:v>3.964</c:v>
                </c:pt>
                <c:pt idx="64">
                  <c:v>3.9590000000000001</c:v>
                </c:pt>
                <c:pt idx="65">
                  <c:v>3.9540000000000002</c:v>
                </c:pt>
                <c:pt idx="66">
                  <c:v>3.9590000000000001</c:v>
                </c:pt>
                <c:pt idx="67">
                  <c:v>3.9540000000000002</c:v>
                </c:pt>
                <c:pt idx="68">
                  <c:v>3.9540000000000002</c:v>
                </c:pt>
                <c:pt idx="69">
                  <c:v>3.9540000000000002</c:v>
                </c:pt>
                <c:pt idx="70">
                  <c:v>3.9540000000000002</c:v>
                </c:pt>
                <c:pt idx="71">
                  <c:v>3.9540000000000002</c:v>
                </c:pt>
                <c:pt idx="72">
                  <c:v>3.9540000000000002</c:v>
                </c:pt>
                <c:pt idx="73">
                  <c:v>3.9540000000000002</c:v>
                </c:pt>
                <c:pt idx="74">
                  <c:v>3.9540000000000002</c:v>
                </c:pt>
                <c:pt idx="75">
                  <c:v>3.9540000000000002</c:v>
                </c:pt>
                <c:pt idx="76">
                  <c:v>3.9540000000000002</c:v>
                </c:pt>
                <c:pt idx="77">
                  <c:v>3.9540000000000002</c:v>
                </c:pt>
                <c:pt idx="78">
                  <c:v>3.9540000000000002</c:v>
                </c:pt>
                <c:pt idx="79">
                  <c:v>3.9540000000000002</c:v>
                </c:pt>
                <c:pt idx="80">
                  <c:v>3.9540000000000002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9-4C17-B21C-2F39A88C06CC}"/>
            </c:ext>
          </c:extLst>
        </c:ser>
        <c:ser>
          <c:idx val="1"/>
          <c:order val="1"/>
          <c:tx>
            <c:strRef>
              <c:f>[1]in!$K$14</c:f>
              <c:strCache>
                <c:ptCount val="1"/>
                <c:pt idx="0">
                  <c:v>CELL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[1]in!$K$15:$K$95</c:f>
              <c:numCache>
                <c:formatCode>General</c:formatCode>
                <c:ptCount val="81"/>
                <c:pt idx="0">
                  <c:v>3.9740000000000002</c:v>
                </c:pt>
                <c:pt idx="1">
                  <c:v>3.9740000000000002</c:v>
                </c:pt>
                <c:pt idx="2">
                  <c:v>3.9740000000000002</c:v>
                </c:pt>
                <c:pt idx="3">
                  <c:v>3.97</c:v>
                </c:pt>
                <c:pt idx="4">
                  <c:v>3.97</c:v>
                </c:pt>
                <c:pt idx="5">
                  <c:v>3.97</c:v>
                </c:pt>
                <c:pt idx="6">
                  <c:v>3.9740000000000002</c:v>
                </c:pt>
                <c:pt idx="7">
                  <c:v>3.97</c:v>
                </c:pt>
                <c:pt idx="8">
                  <c:v>3.9649999999999999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3.97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3.97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3.9649999999999999</c:v>
                </c:pt>
                <c:pt idx="22">
                  <c:v>3.97</c:v>
                </c:pt>
                <c:pt idx="23">
                  <c:v>3.9649999999999999</c:v>
                </c:pt>
                <c:pt idx="24">
                  <c:v>3.97</c:v>
                </c:pt>
                <c:pt idx="25">
                  <c:v>3.97</c:v>
                </c:pt>
                <c:pt idx="26">
                  <c:v>3.97</c:v>
                </c:pt>
                <c:pt idx="27">
                  <c:v>3.97</c:v>
                </c:pt>
                <c:pt idx="28">
                  <c:v>3.97</c:v>
                </c:pt>
                <c:pt idx="29">
                  <c:v>3.97</c:v>
                </c:pt>
                <c:pt idx="30">
                  <c:v>3.97</c:v>
                </c:pt>
                <c:pt idx="31">
                  <c:v>3.97</c:v>
                </c:pt>
                <c:pt idx="32">
                  <c:v>3.97</c:v>
                </c:pt>
                <c:pt idx="33">
                  <c:v>3.97</c:v>
                </c:pt>
                <c:pt idx="34">
                  <c:v>3.9649999999999999</c:v>
                </c:pt>
                <c:pt idx="35">
                  <c:v>3.9649999999999999</c:v>
                </c:pt>
                <c:pt idx="36">
                  <c:v>3.9649999999999999</c:v>
                </c:pt>
                <c:pt idx="37">
                  <c:v>3.97</c:v>
                </c:pt>
                <c:pt idx="38">
                  <c:v>3.9649999999999999</c:v>
                </c:pt>
                <c:pt idx="39">
                  <c:v>3.97</c:v>
                </c:pt>
                <c:pt idx="40">
                  <c:v>3.97</c:v>
                </c:pt>
                <c:pt idx="41">
                  <c:v>3.9649999999999999</c:v>
                </c:pt>
                <c:pt idx="42">
                  <c:v>3.97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3.9649999999999999</c:v>
                </c:pt>
                <c:pt idx="47">
                  <c:v>3.9649999999999999</c:v>
                </c:pt>
                <c:pt idx="48">
                  <c:v>3.9649999999999999</c:v>
                </c:pt>
                <c:pt idx="49">
                  <c:v>3.9649999999999999</c:v>
                </c:pt>
                <c:pt idx="50">
                  <c:v>3.9649999999999999</c:v>
                </c:pt>
                <c:pt idx="51">
                  <c:v>3.9740000000000002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3.9740000000000002</c:v>
                </c:pt>
                <c:pt idx="56">
                  <c:v>3.9740000000000002</c:v>
                </c:pt>
                <c:pt idx="57">
                  <c:v>3.9740000000000002</c:v>
                </c:pt>
                <c:pt idx="58">
                  <c:v>3.9740000000000002</c:v>
                </c:pt>
                <c:pt idx="59">
                  <c:v>3.9740000000000002</c:v>
                </c:pt>
                <c:pt idx="60">
                  <c:v>3.9740000000000002</c:v>
                </c:pt>
                <c:pt idx="61">
                  <c:v>3.9740000000000002</c:v>
                </c:pt>
                <c:pt idx="62">
                  <c:v>3.9740000000000002</c:v>
                </c:pt>
                <c:pt idx="63">
                  <c:v>3.9740000000000002</c:v>
                </c:pt>
                <c:pt idx="64">
                  <c:v>3.97</c:v>
                </c:pt>
                <c:pt idx="65">
                  <c:v>3.9660000000000002</c:v>
                </c:pt>
                <c:pt idx="66">
                  <c:v>3.9609999999999999</c:v>
                </c:pt>
                <c:pt idx="67">
                  <c:v>3.9660000000000002</c:v>
                </c:pt>
                <c:pt idx="68">
                  <c:v>3.9660000000000002</c:v>
                </c:pt>
                <c:pt idx="69">
                  <c:v>3.9660000000000002</c:v>
                </c:pt>
                <c:pt idx="70">
                  <c:v>3.9660000000000002</c:v>
                </c:pt>
                <c:pt idx="71">
                  <c:v>3.9660000000000002</c:v>
                </c:pt>
                <c:pt idx="72">
                  <c:v>3.9660000000000002</c:v>
                </c:pt>
                <c:pt idx="73">
                  <c:v>3.9660000000000002</c:v>
                </c:pt>
                <c:pt idx="74">
                  <c:v>3.9660000000000002</c:v>
                </c:pt>
                <c:pt idx="75">
                  <c:v>3.9660000000000002</c:v>
                </c:pt>
                <c:pt idx="76">
                  <c:v>3.9660000000000002</c:v>
                </c:pt>
                <c:pt idx="77">
                  <c:v>3.9660000000000002</c:v>
                </c:pt>
                <c:pt idx="78">
                  <c:v>3.9660000000000002</c:v>
                </c:pt>
                <c:pt idx="79">
                  <c:v>3.9660000000000002</c:v>
                </c:pt>
                <c:pt idx="80">
                  <c:v>3.9660000000000002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C17-B21C-2F39A88C06CC}"/>
            </c:ext>
          </c:extLst>
        </c:ser>
        <c:ser>
          <c:idx val="2"/>
          <c:order val="2"/>
          <c:tx>
            <c:strRef>
              <c:f>[1]in!$L$14</c:f>
              <c:strCache>
                <c:ptCount val="1"/>
                <c:pt idx="0">
                  <c:v>CELL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[1]in!$L$15:$L$95</c:f>
              <c:numCache>
                <c:formatCode>General</c:formatCode>
                <c:ptCount val="81"/>
                <c:pt idx="0">
                  <c:v>3.8940000000000001</c:v>
                </c:pt>
                <c:pt idx="1">
                  <c:v>3.8940000000000001</c:v>
                </c:pt>
                <c:pt idx="2">
                  <c:v>3.88</c:v>
                </c:pt>
                <c:pt idx="3">
                  <c:v>3.8740000000000001</c:v>
                </c:pt>
                <c:pt idx="4">
                  <c:v>3.8740000000000001</c:v>
                </c:pt>
                <c:pt idx="5">
                  <c:v>3.8740000000000001</c:v>
                </c:pt>
                <c:pt idx="6">
                  <c:v>3.8940000000000001</c:v>
                </c:pt>
                <c:pt idx="7">
                  <c:v>3.8889999999999998</c:v>
                </c:pt>
                <c:pt idx="8">
                  <c:v>3.8889999999999998</c:v>
                </c:pt>
                <c:pt idx="9">
                  <c:v>3.8889999999999998</c:v>
                </c:pt>
                <c:pt idx="10">
                  <c:v>3.8889999999999998</c:v>
                </c:pt>
                <c:pt idx="11">
                  <c:v>3.8889999999999998</c:v>
                </c:pt>
                <c:pt idx="12">
                  <c:v>3.8740000000000001</c:v>
                </c:pt>
                <c:pt idx="13">
                  <c:v>3.8889999999999998</c:v>
                </c:pt>
                <c:pt idx="14">
                  <c:v>3.8889999999999998</c:v>
                </c:pt>
                <c:pt idx="15">
                  <c:v>3.8889999999999998</c:v>
                </c:pt>
                <c:pt idx="16">
                  <c:v>3.8889999999999998</c:v>
                </c:pt>
                <c:pt idx="17">
                  <c:v>3.8889999999999998</c:v>
                </c:pt>
                <c:pt idx="18">
                  <c:v>3.8889999999999998</c:v>
                </c:pt>
                <c:pt idx="19">
                  <c:v>3.8889999999999998</c:v>
                </c:pt>
                <c:pt idx="20">
                  <c:v>3.8889999999999998</c:v>
                </c:pt>
                <c:pt idx="21">
                  <c:v>3.8889999999999998</c:v>
                </c:pt>
                <c:pt idx="22">
                  <c:v>3.8889999999999998</c:v>
                </c:pt>
                <c:pt idx="23">
                  <c:v>3.8889999999999998</c:v>
                </c:pt>
                <c:pt idx="24">
                  <c:v>3.8889999999999998</c:v>
                </c:pt>
                <c:pt idx="25">
                  <c:v>3.8889999999999998</c:v>
                </c:pt>
                <c:pt idx="26">
                  <c:v>3.8889999999999998</c:v>
                </c:pt>
                <c:pt idx="27">
                  <c:v>3.8889999999999998</c:v>
                </c:pt>
                <c:pt idx="28">
                  <c:v>3.8889999999999998</c:v>
                </c:pt>
                <c:pt idx="29">
                  <c:v>3.8889999999999998</c:v>
                </c:pt>
                <c:pt idx="30">
                  <c:v>3.8889999999999998</c:v>
                </c:pt>
                <c:pt idx="31">
                  <c:v>3.8889999999999998</c:v>
                </c:pt>
                <c:pt idx="32">
                  <c:v>3.8889999999999998</c:v>
                </c:pt>
                <c:pt idx="33">
                  <c:v>3.8889999999999998</c:v>
                </c:pt>
                <c:pt idx="34">
                  <c:v>3.8889999999999998</c:v>
                </c:pt>
                <c:pt idx="35">
                  <c:v>3.8889999999999998</c:v>
                </c:pt>
                <c:pt idx="36">
                  <c:v>3.8889999999999998</c:v>
                </c:pt>
                <c:pt idx="37">
                  <c:v>3.8889999999999998</c:v>
                </c:pt>
                <c:pt idx="38">
                  <c:v>3.8889999999999998</c:v>
                </c:pt>
                <c:pt idx="39">
                  <c:v>3.8889999999999998</c:v>
                </c:pt>
                <c:pt idx="40">
                  <c:v>3.8889999999999998</c:v>
                </c:pt>
                <c:pt idx="41">
                  <c:v>3.8889999999999998</c:v>
                </c:pt>
                <c:pt idx="42">
                  <c:v>3.8889999999999998</c:v>
                </c:pt>
                <c:pt idx="43">
                  <c:v>3.8889999999999998</c:v>
                </c:pt>
                <c:pt idx="44">
                  <c:v>3.8889999999999998</c:v>
                </c:pt>
                <c:pt idx="45">
                  <c:v>3.8889999999999998</c:v>
                </c:pt>
                <c:pt idx="46">
                  <c:v>3.8889999999999998</c:v>
                </c:pt>
                <c:pt idx="47">
                  <c:v>3.8889999999999998</c:v>
                </c:pt>
                <c:pt idx="48">
                  <c:v>3.8889999999999998</c:v>
                </c:pt>
                <c:pt idx="49">
                  <c:v>3.8889999999999998</c:v>
                </c:pt>
                <c:pt idx="50">
                  <c:v>3.8889999999999998</c:v>
                </c:pt>
                <c:pt idx="51">
                  <c:v>3.88</c:v>
                </c:pt>
                <c:pt idx="52">
                  <c:v>3.8889999999999998</c:v>
                </c:pt>
                <c:pt idx="53">
                  <c:v>3.8889999999999998</c:v>
                </c:pt>
                <c:pt idx="54">
                  <c:v>3.8889999999999998</c:v>
                </c:pt>
                <c:pt idx="55">
                  <c:v>3.88</c:v>
                </c:pt>
                <c:pt idx="56">
                  <c:v>3.88</c:v>
                </c:pt>
                <c:pt idx="57">
                  <c:v>3.88</c:v>
                </c:pt>
                <c:pt idx="58">
                  <c:v>3.88</c:v>
                </c:pt>
                <c:pt idx="59">
                  <c:v>3.88</c:v>
                </c:pt>
                <c:pt idx="60">
                  <c:v>3.88</c:v>
                </c:pt>
                <c:pt idx="61">
                  <c:v>3.88</c:v>
                </c:pt>
                <c:pt idx="62">
                  <c:v>3.88</c:v>
                </c:pt>
                <c:pt idx="63">
                  <c:v>3.88</c:v>
                </c:pt>
                <c:pt idx="64">
                  <c:v>3.8740000000000001</c:v>
                </c:pt>
                <c:pt idx="65">
                  <c:v>3.883</c:v>
                </c:pt>
                <c:pt idx="66">
                  <c:v>3.883</c:v>
                </c:pt>
                <c:pt idx="67">
                  <c:v>3.883</c:v>
                </c:pt>
                <c:pt idx="68">
                  <c:v>3.883</c:v>
                </c:pt>
                <c:pt idx="69">
                  <c:v>3.883</c:v>
                </c:pt>
                <c:pt idx="70">
                  <c:v>3.883</c:v>
                </c:pt>
                <c:pt idx="71">
                  <c:v>3.883</c:v>
                </c:pt>
                <c:pt idx="72">
                  <c:v>3.883</c:v>
                </c:pt>
                <c:pt idx="73">
                  <c:v>3.883</c:v>
                </c:pt>
                <c:pt idx="74">
                  <c:v>3.883</c:v>
                </c:pt>
                <c:pt idx="75">
                  <c:v>3.883</c:v>
                </c:pt>
                <c:pt idx="76">
                  <c:v>3.883</c:v>
                </c:pt>
                <c:pt idx="77">
                  <c:v>3.883</c:v>
                </c:pt>
                <c:pt idx="78">
                  <c:v>3.883</c:v>
                </c:pt>
                <c:pt idx="79">
                  <c:v>3.883</c:v>
                </c:pt>
                <c:pt idx="80">
                  <c:v>3.883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9-4C17-B21C-2F39A88C06CC}"/>
            </c:ext>
          </c:extLst>
        </c:ser>
        <c:ser>
          <c:idx val="3"/>
          <c:order val="3"/>
          <c:tx>
            <c:strRef>
              <c:f>[1]in!$M$14</c:f>
              <c:strCache>
                <c:ptCount val="1"/>
                <c:pt idx="0">
                  <c:v>CELL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[1]in!$M$15:$M$95</c:f>
              <c:numCache>
                <c:formatCode>General</c:formatCode>
                <c:ptCount val="81"/>
                <c:pt idx="0">
                  <c:v>3.819</c:v>
                </c:pt>
                <c:pt idx="1">
                  <c:v>3.8010000000000002</c:v>
                </c:pt>
                <c:pt idx="2">
                  <c:v>3.8149999999999999</c:v>
                </c:pt>
                <c:pt idx="3">
                  <c:v>3.8119999999999998</c:v>
                </c:pt>
                <c:pt idx="4">
                  <c:v>3.8119999999999998</c:v>
                </c:pt>
                <c:pt idx="5">
                  <c:v>3.8119999999999998</c:v>
                </c:pt>
                <c:pt idx="6">
                  <c:v>3.8010000000000002</c:v>
                </c:pt>
                <c:pt idx="7">
                  <c:v>3.7970000000000002</c:v>
                </c:pt>
                <c:pt idx="8">
                  <c:v>3.8149999999999999</c:v>
                </c:pt>
                <c:pt idx="9">
                  <c:v>3.7970000000000002</c:v>
                </c:pt>
                <c:pt idx="10">
                  <c:v>3.7970000000000002</c:v>
                </c:pt>
                <c:pt idx="11">
                  <c:v>3.7970000000000002</c:v>
                </c:pt>
                <c:pt idx="12">
                  <c:v>3.8119999999999998</c:v>
                </c:pt>
                <c:pt idx="13">
                  <c:v>3.7970000000000002</c:v>
                </c:pt>
                <c:pt idx="14">
                  <c:v>3.7970000000000002</c:v>
                </c:pt>
                <c:pt idx="15">
                  <c:v>3.7970000000000002</c:v>
                </c:pt>
                <c:pt idx="16">
                  <c:v>3.7970000000000002</c:v>
                </c:pt>
                <c:pt idx="17">
                  <c:v>3.7970000000000002</c:v>
                </c:pt>
                <c:pt idx="18">
                  <c:v>3.7970000000000002</c:v>
                </c:pt>
                <c:pt idx="19">
                  <c:v>3.8149999999999999</c:v>
                </c:pt>
                <c:pt idx="20">
                  <c:v>3.7970000000000002</c:v>
                </c:pt>
                <c:pt idx="21">
                  <c:v>3.7970000000000002</c:v>
                </c:pt>
                <c:pt idx="22">
                  <c:v>3.7970000000000002</c:v>
                </c:pt>
                <c:pt idx="23">
                  <c:v>3.8149999999999999</c:v>
                </c:pt>
                <c:pt idx="24">
                  <c:v>3.8149999999999999</c:v>
                </c:pt>
                <c:pt idx="25">
                  <c:v>3.7970000000000002</c:v>
                </c:pt>
                <c:pt idx="26">
                  <c:v>3.7970000000000002</c:v>
                </c:pt>
                <c:pt idx="27">
                  <c:v>3.7970000000000002</c:v>
                </c:pt>
                <c:pt idx="28">
                  <c:v>3.7970000000000002</c:v>
                </c:pt>
                <c:pt idx="29">
                  <c:v>3.7970000000000002</c:v>
                </c:pt>
                <c:pt idx="30">
                  <c:v>3.7970000000000002</c:v>
                </c:pt>
                <c:pt idx="31">
                  <c:v>3.7970000000000002</c:v>
                </c:pt>
                <c:pt idx="32">
                  <c:v>3.7970000000000002</c:v>
                </c:pt>
                <c:pt idx="33">
                  <c:v>3.8149999999999999</c:v>
                </c:pt>
                <c:pt idx="34">
                  <c:v>3.8149999999999999</c:v>
                </c:pt>
                <c:pt idx="35">
                  <c:v>3.8149999999999999</c:v>
                </c:pt>
                <c:pt idx="36">
                  <c:v>3.8149999999999999</c:v>
                </c:pt>
                <c:pt idx="37">
                  <c:v>3.8149999999999999</c:v>
                </c:pt>
                <c:pt idx="38">
                  <c:v>3.8149999999999999</c:v>
                </c:pt>
                <c:pt idx="39">
                  <c:v>3.8149999999999999</c:v>
                </c:pt>
                <c:pt idx="40">
                  <c:v>3.8149999999999999</c:v>
                </c:pt>
                <c:pt idx="41">
                  <c:v>3.8149999999999999</c:v>
                </c:pt>
                <c:pt idx="42">
                  <c:v>3.8149999999999999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3.8149999999999999</c:v>
                </c:pt>
                <c:pt idx="46">
                  <c:v>3.8149999999999999</c:v>
                </c:pt>
                <c:pt idx="47">
                  <c:v>3.8149999999999999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3.7970000000000002</c:v>
                </c:pt>
                <c:pt idx="51">
                  <c:v>3.8149999999999999</c:v>
                </c:pt>
                <c:pt idx="52">
                  <c:v>3.8149999999999999</c:v>
                </c:pt>
                <c:pt idx="53">
                  <c:v>3.8149999999999999</c:v>
                </c:pt>
                <c:pt idx="54">
                  <c:v>3.8149999999999999</c:v>
                </c:pt>
                <c:pt idx="55">
                  <c:v>3.8149999999999999</c:v>
                </c:pt>
                <c:pt idx="56">
                  <c:v>3.8149999999999999</c:v>
                </c:pt>
                <c:pt idx="57">
                  <c:v>3.8149999999999999</c:v>
                </c:pt>
                <c:pt idx="58">
                  <c:v>3.8149999999999999</c:v>
                </c:pt>
                <c:pt idx="59">
                  <c:v>3.8149999999999999</c:v>
                </c:pt>
                <c:pt idx="60">
                  <c:v>3.8149999999999999</c:v>
                </c:pt>
                <c:pt idx="61">
                  <c:v>3.8149999999999999</c:v>
                </c:pt>
                <c:pt idx="62">
                  <c:v>3.8149999999999999</c:v>
                </c:pt>
                <c:pt idx="63">
                  <c:v>3.8330000000000002</c:v>
                </c:pt>
                <c:pt idx="64">
                  <c:v>3.8119999999999998</c:v>
                </c:pt>
                <c:pt idx="65">
                  <c:v>3.794</c:v>
                </c:pt>
                <c:pt idx="66">
                  <c:v>3.8119999999999998</c:v>
                </c:pt>
                <c:pt idx="67">
                  <c:v>3.794</c:v>
                </c:pt>
                <c:pt idx="68">
                  <c:v>3.794</c:v>
                </c:pt>
                <c:pt idx="69">
                  <c:v>3.8119999999999998</c:v>
                </c:pt>
                <c:pt idx="70">
                  <c:v>3.794</c:v>
                </c:pt>
                <c:pt idx="71">
                  <c:v>3.794</c:v>
                </c:pt>
                <c:pt idx="72">
                  <c:v>3.794</c:v>
                </c:pt>
                <c:pt idx="73">
                  <c:v>3.794</c:v>
                </c:pt>
                <c:pt idx="74">
                  <c:v>3.794</c:v>
                </c:pt>
                <c:pt idx="75">
                  <c:v>3.794</c:v>
                </c:pt>
                <c:pt idx="76">
                  <c:v>3.794</c:v>
                </c:pt>
                <c:pt idx="77">
                  <c:v>3.794</c:v>
                </c:pt>
                <c:pt idx="78">
                  <c:v>3.794</c:v>
                </c:pt>
                <c:pt idx="79">
                  <c:v>3.794</c:v>
                </c:pt>
                <c:pt idx="80">
                  <c:v>3.794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89-4C17-B21C-2F39A88C06CC}"/>
            </c:ext>
          </c:extLst>
        </c:ser>
        <c:ser>
          <c:idx val="4"/>
          <c:order val="4"/>
          <c:tx>
            <c:strRef>
              <c:f>[1]in!$N$14</c:f>
              <c:strCache>
                <c:ptCount val="1"/>
                <c:pt idx="0">
                  <c:v>CELL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[1]in!$N$15:$N$95</c:f>
              <c:numCache>
                <c:formatCode>General</c:formatCode>
                <c:ptCount val="81"/>
                <c:pt idx="0">
                  <c:v>4.0670000000000002</c:v>
                </c:pt>
                <c:pt idx="1">
                  <c:v>4.0670000000000002</c:v>
                </c:pt>
                <c:pt idx="2">
                  <c:v>4.0949999999999998</c:v>
                </c:pt>
                <c:pt idx="3">
                  <c:v>4.085</c:v>
                </c:pt>
                <c:pt idx="4">
                  <c:v>4.085</c:v>
                </c:pt>
                <c:pt idx="5">
                  <c:v>4.085</c:v>
                </c:pt>
                <c:pt idx="6">
                  <c:v>4.085</c:v>
                </c:pt>
                <c:pt idx="7">
                  <c:v>4.085</c:v>
                </c:pt>
                <c:pt idx="8">
                  <c:v>4.085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4.085</c:v>
                </c:pt>
                <c:pt idx="24">
                  <c:v>4.085</c:v>
                </c:pt>
                <c:pt idx="25">
                  <c:v>4.085</c:v>
                </c:pt>
                <c:pt idx="26">
                  <c:v>4.085</c:v>
                </c:pt>
                <c:pt idx="27">
                  <c:v>4.085</c:v>
                </c:pt>
                <c:pt idx="28">
                  <c:v>4.085</c:v>
                </c:pt>
                <c:pt idx="29">
                  <c:v>4.085</c:v>
                </c:pt>
                <c:pt idx="30">
                  <c:v>4.085</c:v>
                </c:pt>
                <c:pt idx="31">
                  <c:v>4.085</c:v>
                </c:pt>
                <c:pt idx="32">
                  <c:v>4.085</c:v>
                </c:pt>
                <c:pt idx="33">
                  <c:v>4.085</c:v>
                </c:pt>
                <c:pt idx="34">
                  <c:v>4.085</c:v>
                </c:pt>
                <c:pt idx="35">
                  <c:v>4.085</c:v>
                </c:pt>
                <c:pt idx="36">
                  <c:v>4.085</c:v>
                </c:pt>
                <c:pt idx="37">
                  <c:v>4.085</c:v>
                </c:pt>
                <c:pt idx="38">
                  <c:v>4.085</c:v>
                </c:pt>
                <c:pt idx="39">
                  <c:v>4.085</c:v>
                </c:pt>
                <c:pt idx="40">
                  <c:v>4.085</c:v>
                </c:pt>
                <c:pt idx="41">
                  <c:v>4.085</c:v>
                </c:pt>
                <c:pt idx="42">
                  <c:v>4.085</c:v>
                </c:pt>
                <c:pt idx="43">
                  <c:v>4.085</c:v>
                </c:pt>
                <c:pt idx="44">
                  <c:v>4.085</c:v>
                </c:pt>
                <c:pt idx="45">
                  <c:v>4.085</c:v>
                </c:pt>
                <c:pt idx="46">
                  <c:v>4.085</c:v>
                </c:pt>
                <c:pt idx="47">
                  <c:v>4.085</c:v>
                </c:pt>
                <c:pt idx="48">
                  <c:v>4.085</c:v>
                </c:pt>
                <c:pt idx="49">
                  <c:v>4.085</c:v>
                </c:pt>
                <c:pt idx="50">
                  <c:v>4.085</c:v>
                </c:pt>
                <c:pt idx="51">
                  <c:v>4.0670000000000002</c:v>
                </c:pt>
                <c:pt idx="52">
                  <c:v>4.085</c:v>
                </c:pt>
                <c:pt idx="53">
                  <c:v>4.0670000000000002</c:v>
                </c:pt>
                <c:pt idx="54">
                  <c:v>4.085</c:v>
                </c:pt>
                <c:pt idx="55">
                  <c:v>4.085</c:v>
                </c:pt>
                <c:pt idx="56">
                  <c:v>4.0670000000000002</c:v>
                </c:pt>
                <c:pt idx="57">
                  <c:v>4.085</c:v>
                </c:pt>
                <c:pt idx="58">
                  <c:v>4.0670000000000002</c:v>
                </c:pt>
                <c:pt idx="59">
                  <c:v>4.085</c:v>
                </c:pt>
                <c:pt idx="60">
                  <c:v>4.085</c:v>
                </c:pt>
                <c:pt idx="61">
                  <c:v>4.085</c:v>
                </c:pt>
                <c:pt idx="62">
                  <c:v>4.0670000000000002</c:v>
                </c:pt>
                <c:pt idx="63">
                  <c:v>4.0670000000000002</c:v>
                </c:pt>
                <c:pt idx="64">
                  <c:v>4.0579999999999998</c:v>
                </c:pt>
                <c:pt idx="65">
                  <c:v>4.0759999999999996</c:v>
                </c:pt>
                <c:pt idx="66">
                  <c:v>4.0759999999999996</c:v>
                </c:pt>
                <c:pt idx="67">
                  <c:v>4.0759999999999996</c:v>
                </c:pt>
                <c:pt idx="68">
                  <c:v>4.0759999999999996</c:v>
                </c:pt>
                <c:pt idx="69">
                  <c:v>4.0759999999999996</c:v>
                </c:pt>
                <c:pt idx="70">
                  <c:v>4.0759999999999996</c:v>
                </c:pt>
                <c:pt idx="71">
                  <c:v>4.0759999999999996</c:v>
                </c:pt>
                <c:pt idx="72">
                  <c:v>4.0759999999999996</c:v>
                </c:pt>
                <c:pt idx="73">
                  <c:v>4.0759999999999996</c:v>
                </c:pt>
                <c:pt idx="74">
                  <c:v>4.0759999999999996</c:v>
                </c:pt>
                <c:pt idx="75">
                  <c:v>4.0759999999999996</c:v>
                </c:pt>
                <c:pt idx="76">
                  <c:v>4.0759999999999996</c:v>
                </c:pt>
                <c:pt idx="77">
                  <c:v>4.0759999999999996</c:v>
                </c:pt>
                <c:pt idx="78">
                  <c:v>4.0759999999999996</c:v>
                </c:pt>
                <c:pt idx="79">
                  <c:v>4.0759999999999996</c:v>
                </c:pt>
                <c:pt idx="80">
                  <c:v>4.0759999999999996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89-4C17-B21C-2F39A88C06CC}"/>
            </c:ext>
          </c:extLst>
        </c:ser>
        <c:ser>
          <c:idx val="5"/>
          <c:order val="5"/>
          <c:tx>
            <c:strRef>
              <c:f>[1]in!$O$14</c:f>
              <c:strCache>
                <c:ptCount val="1"/>
                <c:pt idx="0">
                  <c:v>CELL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[1]in!$O$15:$O$95</c:f>
              <c:numCache>
                <c:formatCode>General</c:formatCode>
                <c:ptCount val="81"/>
                <c:pt idx="0">
                  <c:v>3.9820000000000002</c:v>
                </c:pt>
                <c:pt idx="1">
                  <c:v>3.9820000000000002</c:v>
                </c:pt>
                <c:pt idx="2">
                  <c:v>3.9550000000000001</c:v>
                </c:pt>
                <c:pt idx="3">
                  <c:v>3.9540000000000002</c:v>
                </c:pt>
                <c:pt idx="4">
                  <c:v>3.9540000000000002</c:v>
                </c:pt>
                <c:pt idx="5">
                  <c:v>3.9540000000000002</c:v>
                </c:pt>
                <c:pt idx="6">
                  <c:v>3.9540000000000002</c:v>
                </c:pt>
                <c:pt idx="7">
                  <c:v>3.9540000000000002</c:v>
                </c:pt>
                <c:pt idx="8">
                  <c:v>3.9540000000000002</c:v>
                </c:pt>
                <c:pt idx="9">
                  <c:v>3.9540000000000002</c:v>
                </c:pt>
                <c:pt idx="10">
                  <c:v>3.9540000000000002</c:v>
                </c:pt>
                <c:pt idx="11">
                  <c:v>3.9540000000000002</c:v>
                </c:pt>
                <c:pt idx="12">
                  <c:v>3.9540000000000002</c:v>
                </c:pt>
                <c:pt idx="13">
                  <c:v>3.9540000000000002</c:v>
                </c:pt>
                <c:pt idx="14">
                  <c:v>3.9540000000000002</c:v>
                </c:pt>
                <c:pt idx="15">
                  <c:v>3.9540000000000002</c:v>
                </c:pt>
                <c:pt idx="16">
                  <c:v>3.9540000000000002</c:v>
                </c:pt>
                <c:pt idx="17">
                  <c:v>3.9540000000000002</c:v>
                </c:pt>
                <c:pt idx="18">
                  <c:v>3.9540000000000002</c:v>
                </c:pt>
                <c:pt idx="19">
                  <c:v>3.9540000000000002</c:v>
                </c:pt>
                <c:pt idx="20">
                  <c:v>3.9540000000000002</c:v>
                </c:pt>
                <c:pt idx="21">
                  <c:v>3.9540000000000002</c:v>
                </c:pt>
                <c:pt idx="22">
                  <c:v>3.9540000000000002</c:v>
                </c:pt>
                <c:pt idx="23">
                  <c:v>3.9540000000000002</c:v>
                </c:pt>
                <c:pt idx="24">
                  <c:v>3.9540000000000002</c:v>
                </c:pt>
                <c:pt idx="25">
                  <c:v>3.9540000000000002</c:v>
                </c:pt>
                <c:pt idx="26">
                  <c:v>3.9540000000000002</c:v>
                </c:pt>
                <c:pt idx="27">
                  <c:v>3.9540000000000002</c:v>
                </c:pt>
                <c:pt idx="28">
                  <c:v>3.9540000000000002</c:v>
                </c:pt>
                <c:pt idx="29">
                  <c:v>3.9540000000000002</c:v>
                </c:pt>
                <c:pt idx="30">
                  <c:v>3.9540000000000002</c:v>
                </c:pt>
                <c:pt idx="31">
                  <c:v>3.9540000000000002</c:v>
                </c:pt>
                <c:pt idx="32">
                  <c:v>3.9540000000000002</c:v>
                </c:pt>
                <c:pt idx="33">
                  <c:v>3.9540000000000002</c:v>
                </c:pt>
                <c:pt idx="34">
                  <c:v>3.9540000000000002</c:v>
                </c:pt>
                <c:pt idx="35">
                  <c:v>3.9540000000000002</c:v>
                </c:pt>
                <c:pt idx="36">
                  <c:v>3.9540000000000002</c:v>
                </c:pt>
                <c:pt idx="37">
                  <c:v>3.9540000000000002</c:v>
                </c:pt>
                <c:pt idx="38">
                  <c:v>3.9540000000000002</c:v>
                </c:pt>
                <c:pt idx="39">
                  <c:v>3.9540000000000002</c:v>
                </c:pt>
                <c:pt idx="40">
                  <c:v>3.9540000000000002</c:v>
                </c:pt>
                <c:pt idx="41">
                  <c:v>3.9540000000000002</c:v>
                </c:pt>
                <c:pt idx="42">
                  <c:v>3.9540000000000002</c:v>
                </c:pt>
                <c:pt idx="43">
                  <c:v>3.9540000000000002</c:v>
                </c:pt>
                <c:pt idx="44">
                  <c:v>3.9540000000000002</c:v>
                </c:pt>
                <c:pt idx="45">
                  <c:v>3.9540000000000002</c:v>
                </c:pt>
                <c:pt idx="46">
                  <c:v>3.9540000000000002</c:v>
                </c:pt>
                <c:pt idx="47">
                  <c:v>3.9540000000000002</c:v>
                </c:pt>
                <c:pt idx="48">
                  <c:v>3.9540000000000002</c:v>
                </c:pt>
                <c:pt idx="49">
                  <c:v>3.9540000000000002</c:v>
                </c:pt>
                <c:pt idx="50">
                  <c:v>3.9540000000000002</c:v>
                </c:pt>
                <c:pt idx="51">
                  <c:v>3.9540000000000002</c:v>
                </c:pt>
                <c:pt idx="52">
                  <c:v>3.9540000000000002</c:v>
                </c:pt>
                <c:pt idx="53">
                  <c:v>3.9820000000000002</c:v>
                </c:pt>
                <c:pt idx="54">
                  <c:v>3.9540000000000002</c:v>
                </c:pt>
                <c:pt idx="55">
                  <c:v>3.9820000000000002</c:v>
                </c:pt>
                <c:pt idx="56">
                  <c:v>3.9820000000000002</c:v>
                </c:pt>
                <c:pt idx="57">
                  <c:v>3.9820000000000002</c:v>
                </c:pt>
                <c:pt idx="58">
                  <c:v>3.9820000000000002</c:v>
                </c:pt>
                <c:pt idx="59">
                  <c:v>3.9820000000000002</c:v>
                </c:pt>
                <c:pt idx="60">
                  <c:v>3.9820000000000002</c:v>
                </c:pt>
                <c:pt idx="61">
                  <c:v>3.9820000000000002</c:v>
                </c:pt>
                <c:pt idx="62">
                  <c:v>3.9820000000000002</c:v>
                </c:pt>
                <c:pt idx="63">
                  <c:v>3.9820000000000002</c:v>
                </c:pt>
                <c:pt idx="64">
                  <c:v>3.9809999999999999</c:v>
                </c:pt>
                <c:pt idx="65">
                  <c:v>3.9529999999999998</c:v>
                </c:pt>
                <c:pt idx="66">
                  <c:v>3.9529999999999998</c:v>
                </c:pt>
                <c:pt idx="67">
                  <c:v>3.9529999999999998</c:v>
                </c:pt>
                <c:pt idx="68">
                  <c:v>3.9529999999999998</c:v>
                </c:pt>
                <c:pt idx="69">
                  <c:v>3.9529999999999998</c:v>
                </c:pt>
                <c:pt idx="70">
                  <c:v>3.9529999999999998</c:v>
                </c:pt>
                <c:pt idx="71">
                  <c:v>3.9529999999999998</c:v>
                </c:pt>
                <c:pt idx="72">
                  <c:v>3.9529999999999998</c:v>
                </c:pt>
                <c:pt idx="73">
                  <c:v>3.9529999999999998</c:v>
                </c:pt>
                <c:pt idx="74">
                  <c:v>3.9529999999999998</c:v>
                </c:pt>
                <c:pt idx="75">
                  <c:v>3.9529999999999998</c:v>
                </c:pt>
                <c:pt idx="76">
                  <c:v>3.9529999999999998</c:v>
                </c:pt>
                <c:pt idx="77">
                  <c:v>3.9529999999999998</c:v>
                </c:pt>
                <c:pt idx="78">
                  <c:v>3.9529999999999998</c:v>
                </c:pt>
                <c:pt idx="79">
                  <c:v>3.9529999999999998</c:v>
                </c:pt>
                <c:pt idx="80">
                  <c:v>3.9529999999999998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89-4C17-B21C-2F39A88C06CC}"/>
            </c:ext>
          </c:extLst>
        </c:ser>
        <c:ser>
          <c:idx val="6"/>
          <c:order val="6"/>
          <c:tx>
            <c:strRef>
              <c:f>[1]in!$P$14</c:f>
              <c:strCache>
                <c:ptCount val="1"/>
                <c:pt idx="0">
                  <c:v>CELL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[1]in!$P$15:$P$95</c:f>
              <c:numCache>
                <c:formatCode>General</c:formatCode>
                <c:ptCount val="81"/>
                <c:pt idx="0">
                  <c:v>3.8450000000000002</c:v>
                </c:pt>
                <c:pt idx="1">
                  <c:v>3.8450000000000002</c:v>
                </c:pt>
                <c:pt idx="2">
                  <c:v>3.8450000000000002</c:v>
                </c:pt>
                <c:pt idx="3">
                  <c:v>3.8410000000000002</c:v>
                </c:pt>
                <c:pt idx="4">
                  <c:v>3.8410000000000002</c:v>
                </c:pt>
                <c:pt idx="5">
                  <c:v>3.8410000000000002</c:v>
                </c:pt>
                <c:pt idx="6">
                  <c:v>3.8410000000000002</c:v>
                </c:pt>
                <c:pt idx="7">
                  <c:v>3.8410000000000002</c:v>
                </c:pt>
                <c:pt idx="8">
                  <c:v>3.8410000000000002</c:v>
                </c:pt>
                <c:pt idx="9">
                  <c:v>3.8410000000000002</c:v>
                </c:pt>
                <c:pt idx="10">
                  <c:v>3.8410000000000002</c:v>
                </c:pt>
                <c:pt idx="11">
                  <c:v>3.8410000000000002</c:v>
                </c:pt>
                <c:pt idx="12">
                  <c:v>3.8410000000000002</c:v>
                </c:pt>
                <c:pt idx="13">
                  <c:v>3.8410000000000002</c:v>
                </c:pt>
                <c:pt idx="14">
                  <c:v>3.8410000000000002</c:v>
                </c:pt>
                <c:pt idx="15">
                  <c:v>3.8410000000000002</c:v>
                </c:pt>
                <c:pt idx="16">
                  <c:v>3.8410000000000002</c:v>
                </c:pt>
                <c:pt idx="17">
                  <c:v>3.8410000000000002</c:v>
                </c:pt>
                <c:pt idx="18">
                  <c:v>3.8410000000000002</c:v>
                </c:pt>
                <c:pt idx="19">
                  <c:v>3.8410000000000002</c:v>
                </c:pt>
                <c:pt idx="20">
                  <c:v>3.8410000000000002</c:v>
                </c:pt>
                <c:pt idx="21">
                  <c:v>3.8410000000000002</c:v>
                </c:pt>
                <c:pt idx="22">
                  <c:v>3.8410000000000002</c:v>
                </c:pt>
                <c:pt idx="23">
                  <c:v>3.8410000000000002</c:v>
                </c:pt>
                <c:pt idx="24">
                  <c:v>3.8410000000000002</c:v>
                </c:pt>
                <c:pt idx="25">
                  <c:v>3.8410000000000002</c:v>
                </c:pt>
                <c:pt idx="26">
                  <c:v>3.8410000000000002</c:v>
                </c:pt>
                <c:pt idx="27">
                  <c:v>3.8410000000000002</c:v>
                </c:pt>
                <c:pt idx="28">
                  <c:v>3.8410000000000002</c:v>
                </c:pt>
                <c:pt idx="29">
                  <c:v>3.8410000000000002</c:v>
                </c:pt>
                <c:pt idx="30">
                  <c:v>3.8410000000000002</c:v>
                </c:pt>
                <c:pt idx="31">
                  <c:v>3.8410000000000002</c:v>
                </c:pt>
                <c:pt idx="32">
                  <c:v>3.8410000000000002</c:v>
                </c:pt>
                <c:pt idx="33">
                  <c:v>3.8410000000000002</c:v>
                </c:pt>
                <c:pt idx="34">
                  <c:v>3.8410000000000002</c:v>
                </c:pt>
                <c:pt idx="35">
                  <c:v>3.8410000000000002</c:v>
                </c:pt>
                <c:pt idx="36">
                  <c:v>3.8410000000000002</c:v>
                </c:pt>
                <c:pt idx="37">
                  <c:v>3.8410000000000002</c:v>
                </c:pt>
                <c:pt idx="38">
                  <c:v>3.8410000000000002</c:v>
                </c:pt>
                <c:pt idx="39">
                  <c:v>3.8410000000000002</c:v>
                </c:pt>
                <c:pt idx="40">
                  <c:v>3.8410000000000002</c:v>
                </c:pt>
                <c:pt idx="41">
                  <c:v>3.8410000000000002</c:v>
                </c:pt>
                <c:pt idx="42">
                  <c:v>3.8410000000000002</c:v>
                </c:pt>
                <c:pt idx="43">
                  <c:v>3.8410000000000002</c:v>
                </c:pt>
                <c:pt idx="44">
                  <c:v>3.8410000000000002</c:v>
                </c:pt>
                <c:pt idx="45">
                  <c:v>3.8410000000000002</c:v>
                </c:pt>
                <c:pt idx="46">
                  <c:v>3.8410000000000002</c:v>
                </c:pt>
                <c:pt idx="47">
                  <c:v>3.8410000000000002</c:v>
                </c:pt>
                <c:pt idx="48">
                  <c:v>3.8410000000000002</c:v>
                </c:pt>
                <c:pt idx="49">
                  <c:v>3.8410000000000002</c:v>
                </c:pt>
                <c:pt idx="50">
                  <c:v>3.8410000000000002</c:v>
                </c:pt>
                <c:pt idx="51">
                  <c:v>3.8410000000000002</c:v>
                </c:pt>
                <c:pt idx="52">
                  <c:v>3.8410000000000002</c:v>
                </c:pt>
                <c:pt idx="53">
                  <c:v>3.8450000000000002</c:v>
                </c:pt>
                <c:pt idx="54">
                  <c:v>3.8410000000000002</c:v>
                </c:pt>
                <c:pt idx="55">
                  <c:v>3.8130000000000002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3.8130000000000002</c:v>
                </c:pt>
                <c:pt idx="61">
                  <c:v>3.8130000000000002</c:v>
                </c:pt>
                <c:pt idx="62">
                  <c:v>3.8450000000000002</c:v>
                </c:pt>
                <c:pt idx="63">
                  <c:v>3.8450000000000002</c:v>
                </c:pt>
                <c:pt idx="64">
                  <c:v>3.8410000000000002</c:v>
                </c:pt>
                <c:pt idx="65">
                  <c:v>3.8370000000000002</c:v>
                </c:pt>
                <c:pt idx="66">
                  <c:v>3.8370000000000002</c:v>
                </c:pt>
                <c:pt idx="67">
                  <c:v>3.8370000000000002</c:v>
                </c:pt>
                <c:pt idx="68">
                  <c:v>3.8370000000000002</c:v>
                </c:pt>
                <c:pt idx="69">
                  <c:v>3.8370000000000002</c:v>
                </c:pt>
                <c:pt idx="70">
                  <c:v>3.8370000000000002</c:v>
                </c:pt>
                <c:pt idx="71">
                  <c:v>3.8370000000000002</c:v>
                </c:pt>
                <c:pt idx="72">
                  <c:v>3.8370000000000002</c:v>
                </c:pt>
                <c:pt idx="73">
                  <c:v>3.8370000000000002</c:v>
                </c:pt>
                <c:pt idx="74">
                  <c:v>3.8370000000000002</c:v>
                </c:pt>
                <c:pt idx="75">
                  <c:v>3.8370000000000002</c:v>
                </c:pt>
                <c:pt idx="76">
                  <c:v>3.8370000000000002</c:v>
                </c:pt>
                <c:pt idx="77">
                  <c:v>3.8370000000000002</c:v>
                </c:pt>
                <c:pt idx="78">
                  <c:v>3.8370000000000002</c:v>
                </c:pt>
                <c:pt idx="79">
                  <c:v>3.8370000000000002</c:v>
                </c:pt>
                <c:pt idx="80">
                  <c:v>3.8370000000000002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89-4C17-B21C-2F39A88C06CC}"/>
            </c:ext>
          </c:extLst>
        </c:ser>
        <c:ser>
          <c:idx val="7"/>
          <c:order val="7"/>
          <c:tx>
            <c:strRef>
              <c:f>[1]in!$Q$14</c:f>
              <c:strCache>
                <c:ptCount val="1"/>
                <c:pt idx="0">
                  <c:v>CELL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[1]in!$Q$15:$Q$95</c:f>
              <c:numCache>
                <c:formatCode>General</c:formatCode>
                <c:ptCount val="81"/>
                <c:pt idx="0">
                  <c:v>3.8759999999999999</c:v>
                </c:pt>
                <c:pt idx="1">
                  <c:v>3.8759999999999999</c:v>
                </c:pt>
                <c:pt idx="2">
                  <c:v>3.8759999999999999</c:v>
                </c:pt>
                <c:pt idx="3">
                  <c:v>3.9079999999999999</c:v>
                </c:pt>
                <c:pt idx="4">
                  <c:v>3.9079999999999999</c:v>
                </c:pt>
                <c:pt idx="5">
                  <c:v>3.9079999999999999</c:v>
                </c:pt>
                <c:pt idx="6">
                  <c:v>3.9079999999999999</c:v>
                </c:pt>
                <c:pt idx="7">
                  <c:v>3.9079999999999999</c:v>
                </c:pt>
                <c:pt idx="8">
                  <c:v>3.9079999999999999</c:v>
                </c:pt>
                <c:pt idx="9">
                  <c:v>3.9079999999999999</c:v>
                </c:pt>
                <c:pt idx="10">
                  <c:v>3.9079999999999999</c:v>
                </c:pt>
                <c:pt idx="11">
                  <c:v>3.9079999999999999</c:v>
                </c:pt>
                <c:pt idx="12">
                  <c:v>3.9079999999999999</c:v>
                </c:pt>
                <c:pt idx="13">
                  <c:v>3.9079999999999999</c:v>
                </c:pt>
                <c:pt idx="14">
                  <c:v>3.9079999999999999</c:v>
                </c:pt>
                <c:pt idx="15">
                  <c:v>3.9079999999999999</c:v>
                </c:pt>
                <c:pt idx="16">
                  <c:v>3.9079999999999999</c:v>
                </c:pt>
                <c:pt idx="17">
                  <c:v>3.9079999999999999</c:v>
                </c:pt>
                <c:pt idx="18">
                  <c:v>3.9079999999999999</c:v>
                </c:pt>
                <c:pt idx="19">
                  <c:v>3.9079999999999999</c:v>
                </c:pt>
                <c:pt idx="20">
                  <c:v>3.9079999999999999</c:v>
                </c:pt>
                <c:pt idx="21">
                  <c:v>3.9079999999999999</c:v>
                </c:pt>
                <c:pt idx="22">
                  <c:v>3.9079999999999999</c:v>
                </c:pt>
                <c:pt idx="23">
                  <c:v>3.9079999999999999</c:v>
                </c:pt>
                <c:pt idx="24">
                  <c:v>3.9079999999999999</c:v>
                </c:pt>
                <c:pt idx="25">
                  <c:v>3.9079999999999999</c:v>
                </c:pt>
                <c:pt idx="26">
                  <c:v>3.9079999999999999</c:v>
                </c:pt>
                <c:pt idx="27">
                  <c:v>3.9079999999999999</c:v>
                </c:pt>
                <c:pt idx="28">
                  <c:v>3.9079999999999999</c:v>
                </c:pt>
                <c:pt idx="29">
                  <c:v>3.9079999999999999</c:v>
                </c:pt>
                <c:pt idx="30">
                  <c:v>3.9079999999999999</c:v>
                </c:pt>
                <c:pt idx="31">
                  <c:v>3.9079999999999999</c:v>
                </c:pt>
                <c:pt idx="32">
                  <c:v>3.9079999999999999</c:v>
                </c:pt>
                <c:pt idx="33">
                  <c:v>3.9079999999999999</c:v>
                </c:pt>
                <c:pt idx="34">
                  <c:v>3.9079999999999999</c:v>
                </c:pt>
                <c:pt idx="35">
                  <c:v>3.9079999999999999</c:v>
                </c:pt>
                <c:pt idx="36">
                  <c:v>3.9079999999999999</c:v>
                </c:pt>
                <c:pt idx="37">
                  <c:v>3.9079999999999999</c:v>
                </c:pt>
                <c:pt idx="38">
                  <c:v>3.9079999999999999</c:v>
                </c:pt>
                <c:pt idx="39">
                  <c:v>3.9079999999999999</c:v>
                </c:pt>
                <c:pt idx="40">
                  <c:v>3.9079999999999999</c:v>
                </c:pt>
                <c:pt idx="41">
                  <c:v>3.9079999999999999</c:v>
                </c:pt>
                <c:pt idx="42">
                  <c:v>3.9079999999999999</c:v>
                </c:pt>
                <c:pt idx="43">
                  <c:v>3.9079999999999999</c:v>
                </c:pt>
                <c:pt idx="44">
                  <c:v>3.9079999999999999</c:v>
                </c:pt>
                <c:pt idx="45">
                  <c:v>3.9079999999999999</c:v>
                </c:pt>
                <c:pt idx="46">
                  <c:v>3.9079999999999999</c:v>
                </c:pt>
                <c:pt idx="47">
                  <c:v>3.9079999999999999</c:v>
                </c:pt>
                <c:pt idx="48">
                  <c:v>3.9079999999999999</c:v>
                </c:pt>
                <c:pt idx="49">
                  <c:v>3.9079999999999999</c:v>
                </c:pt>
                <c:pt idx="50">
                  <c:v>3.9079999999999999</c:v>
                </c:pt>
                <c:pt idx="51">
                  <c:v>3.9079999999999999</c:v>
                </c:pt>
                <c:pt idx="52">
                  <c:v>3.9079999999999999</c:v>
                </c:pt>
                <c:pt idx="53">
                  <c:v>3.8759999999999999</c:v>
                </c:pt>
                <c:pt idx="54">
                  <c:v>3.9079999999999999</c:v>
                </c:pt>
                <c:pt idx="55">
                  <c:v>3.9079999999999999</c:v>
                </c:pt>
                <c:pt idx="56">
                  <c:v>3.8759999999999999</c:v>
                </c:pt>
                <c:pt idx="57">
                  <c:v>3.8759999999999999</c:v>
                </c:pt>
                <c:pt idx="58">
                  <c:v>3.8759999999999999</c:v>
                </c:pt>
                <c:pt idx="59">
                  <c:v>3.8759999999999999</c:v>
                </c:pt>
                <c:pt idx="60">
                  <c:v>3.9079999999999999</c:v>
                </c:pt>
                <c:pt idx="61">
                  <c:v>3.9079999999999999</c:v>
                </c:pt>
                <c:pt idx="62">
                  <c:v>3.8759999999999999</c:v>
                </c:pt>
                <c:pt idx="63">
                  <c:v>3.8759999999999999</c:v>
                </c:pt>
                <c:pt idx="64">
                  <c:v>3.8690000000000002</c:v>
                </c:pt>
                <c:pt idx="65">
                  <c:v>3.9020000000000001</c:v>
                </c:pt>
                <c:pt idx="66">
                  <c:v>3.9020000000000001</c:v>
                </c:pt>
                <c:pt idx="67">
                  <c:v>3.9020000000000001</c:v>
                </c:pt>
                <c:pt idx="68">
                  <c:v>3.9020000000000001</c:v>
                </c:pt>
                <c:pt idx="69">
                  <c:v>3.9020000000000001</c:v>
                </c:pt>
                <c:pt idx="70">
                  <c:v>3.9020000000000001</c:v>
                </c:pt>
                <c:pt idx="71">
                  <c:v>3.9020000000000001</c:v>
                </c:pt>
                <c:pt idx="72">
                  <c:v>3.9020000000000001</c:v>
                </c:pt>
                <c:pt idx="73">
                  <c:v>3.9020000000000001</c:v>
                </c:pt>
                <c:pt idx="74">
                  <c:v>3.9020000000000001</c:v>
                </c:pt>
                <c:pt idx="75">
                  <c:v>3.9020000000000001</c:v>
                </c:pt>
                <c:pt idx="76">
                  <c:v>3.9020000000000001</c:v>
                </c:pt>
                <c:pt idx="77">
                  <c:v>3.9020000000000001</c:v>
                </c:pt>
                <c:pt idx="78">
                  <c:v>3.9020000000000001</c:v>
                </c:pt>
                <c:pt idx="79">
                  <c:v>3.9020000000000001</c:v>
                </c:pt>
                <c:pt idx="80">
                  <c:v>3.9020000000000001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89-4C17-B21C-2F39A88C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711231"/>
        <c:axId val="910717951"/>
      </c:lineChart>
      <c:catAx>
        <c:axId val="91071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17951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910717951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11231"/>
        <c:crossesAt val="1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45849831104931"/>
          <c:y val="0.25723405133302951"/>
          <c:w val="7.5097302222331561E-2"/>
          <c:h val="0.56823439026437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Reading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Time (s)</c:v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[2]in!$AF$13:$AF$50</c:f>
              <c:numCache>
                <c:formatCode>General</c:formatCod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numCache>
            </c:numRef>
          </c:cat>
          <c:val>
            <c:numRef>
              <c:f>[2]in!$AI$13:$AI$50</c:f>
              <c:numCache>
                <c:formatCode>General</c:formatCode>
                <c:ptCount val="38"/>
                <c:pt idx="0">
                  <c:v>0.98</c:v>
                </c:pt>
                <c:pt idx="1">
                  <c:v>0.98399999999999999</c:v>
                </c:pt>
                <c:pt idx="2">
                  <c:v>1.004</c:v>
                </c:pt>
                <c:pt idx="3">
                  <c:v>1.0089999999999999</c:v>
                </c:pt>
                <c:pt idx="4">
                  <c:v>1.0089999999999999</c:v>
                </c:pt>
                <c:pt idx="5">
                  <c:v>0.99299999999999999</c:v>
                </c:pt>
                <c:pt idx="6">
                  <c:v>0.99</c:v>
                </c:pt>
                <c:pt idx="7">
                  <c:v>0.99299999999999999</c:v>
                </c:pt>
                <c:pt idx="8">
                  <c:v>0.98899999999999999</c:v>
                </c:pt>
                <c:pt idx="9">
                  <c:v>0.996</c:v>
                </c:pt>
                <c:pt idx="10">
                  <c:v>0.99399999999999999</c:v>
                </c:pt>
                <c:pt idx="11">
                  <c:v>0.99099999999999999</c:v>
                </c:pt>
                <c:pt idx="12">
                  <c:v>0.98799999999999999</c:v>
                </c:pt>
                <c:pt idx="13">
                  <c:v>0.997</c:v>
                </c:pt>
                <c:pt idx="14">
                  <c:v>0.98499999999999999</c:v>
                </c:pt>
                <c:pt idx="15">
                  <c:v>0.98399999999999999</c:v>
                </c:pt>
                <c:pt idx="16">
                  <c:v>1.0049999999999999</c:v>
                </c:pt>
                <c:pt idx="17">
                  <c:v>0.98699999999999999</c:v>
                </c:pt>
                <c:pt idx="18">
                  <c:v>0.98899999999999999</c:v>
                </c:pt>
                <c:pt idx="19">
                  <c:v>0.98199999999999998</c:v>
                </c:pt>
                <c:pt idx="20">
                  <c:v>0.995</c:v>
                </c:pt>
                <c:pt idx="21">
                  <c:v>0.98499999999999999</c:v>
                </c:pt>
                <c:pt idx="22">
                  <c:v>0.97699999999999998</c:v>
                </c:pt>
                <c:pt idx="23">
                  <c:v>0.98199999999999998</c:v>
                </c:pt>
                <c:pt idx="24">
                  <c:v>1.02</c:v>
                </c:pt>
                <c:pt idx="25">
                  <c:v>0.98199999999999998</c:v>
                </c:pt>
                <c:pt idx="26">
                  <c:v>0.98899999999999999</c:v>
                </c:pt>
                <c:pt idx="27">
                  <c:v>0.98899999999999999</c:v>
                </c:pt>
                <c:pt idx="28">
                  <c:v>0.97699999999999998</c:v>
                </c:pt>
                <c:pt idx="29">
                  <c:v>0.97899999999999998</c:v>
                </c:pt>
                <c:pt idx="30">
                  <c:v>0.98399999999999999</c:v>
                </c:pt>
                <c:pt idx="31">
                  <c:v>0.97799999999999998</c:v>
                </c:pt>
                <c:pt idx="32">
                  <c:v>0.98499999999999999</c:v>
                </c:pt>
                <c:pt idx="33">
                  <c:v>0.97899999999999998</c:v>
                </c:pt>
                <c:pt idx="34">
                  <c:v>0.98599999999999999</c:v>
                </c:pt>
                <c:pt idx="35">
                  <c:v>0.98</c:v>
                </c:pt>
                <c:pt idx="36">
                  <c:v>0.97699999999999998</c:v>
                </c:pt>
                <c:pt idx="37">
                  <c:v>0.97599999999999998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2-48F3-8E46-BC098A625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699079"/>
        <c:axId val="1265128455"/>
      </c:lineChart>
      <c:catAx>
        <c:axId val="1245699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28455"/>
        <c:crosses val="autoZero"/>
        <c:auto val="1"/>
        <c:lblAlgn val="ctr"/>
        <c:lblOffset val="100"/>
        <c:noMultiLvlLbl val="0"/>
      </c:catAx>
      <c:valAx>
        <c:axId val="1265128455"/>
        <c:scaling>
          <c:orientation val="minMax"/>
          <c:max val="1.100000000000000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(I)</a:t>
                </a:r>
              </a:p>
            </c:rich>
          </c:tx>
          <c:layout>
            <c:manualLayout>
              <c:xMode val="edge"/>
              <c:yMode val="edge"/>
              <c:x val="1.7408700277011781E-2"/>
              <c:y val="0.37472623213764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99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276225</xdr:colOff>
      <xdr:row>10</xdr:row>
      <xdr:rowOff>66675</xdr:rowOff>
    </xdr:from>
    <xdr:to>
      <xdr:col>21</xdr:col>
      <xdr:colOff>180975</xdr:colOff>
      <xdr:row>25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AD3F0E-93AE-8F00-6750-32670E9B4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588305</xdr:colOff>
      <xdr:row>13</xdr:row>
      <xdr:rowOff>90766</xdr:rowOff>
    </xdr:from>
    <xdr:to>
      <xdr:col>22</xdr:col>
      <xdr:colOff>448235</xdr:colOff>
      <xdr:row>31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108DC-9548-B1F4-4296-C25CDE3E6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549088</xdr:colOff>
      <xdr:row>33</xdr:row>
      <xdr:rowOff>33617</xdr:rowOff>
    </xdr:from>
    <xdr:to>
      <xdr:col>22</xdr:col>
      <xdr:colOff>409018</xdr:colOff>
      <xdr:row>51</xdr:row>
      <xdr:rowOff>88527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8C870F-EA7A-4104-B7CA-9A1DE7C96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560295</xdr:colOff>
      <xdr:row>53</xdr:row>
      <xdr:rowOff>56029</xdr:rowOff>
    </xdr:from>
    <xdr:to>
      <xdr:col>22</xdr:col>
      <xdr:colOff>420225</xdr:colOff>
      <xdr:row>71</xdr:row>
      <xdr:rowOff>110939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1DE957-1727-448C-ABA9-CFBE64596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588305</xdr:colOff>
      <xdr:row>13</xdr:row>
      <xdr:rowOff>90766</xdr:rowOff>
    </xdr:from>
    <xdr:to>
      <xdr:col>22</xdr:col>
      <xdr:colOff>448235</xdr:colOff>
      <xdr:row>31</xdr:row>
      <xdr:rowOff>145676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8D814F-899E-4818-AEF6-9D8FA5EC2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549088</xdr:colOff>
      <xdr:row>33</xdr:row>
      <xdr:rowOff>33617</xdr:rowOff>
    </xdr:from>
    <xdr:to>
      <xdr:col>22</xdr:col>
      <xdr:colOff>409018</xdr:colOff>
      <xdr:row>51</xdr:row>
      <xdr:rowOff>88527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96A232-66D7-4C7B-8DD3-452A9DA30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560295</xdr:colOff>
      <xdr:row>53</xdr:row>
      <xdr:rowOff>56029</xdr:rowOff>
    </xdr:from>
    <xdr:to>
      <xdr:col>22</xdr:col>
      <xdr:colOff>420225</xdr:colOff>
      <xdr:row>71</xdr:row>
      <xdr:rowOff>110939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550FDA-3645-44F0-BA27-82FF88113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218024</xdr:colOff>
      <xdr:row>8</xdr:row>
      <xdr:rowOff>134617</xdr:rowOff>
    </xdr:from>
    <xdr:to>
      <xdr:col>35</xdr:col>
      <xdr:colOff>57149</xdr:colOff>
      <xdr:row>31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31C59-F188-47BA-9AF6-8C90DAA3E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429453</xdr:colOff>
      <xdr:row>10</xdr:row>
      <xdr:rowOff>98977</xdr:rowOff>
    </xdr:from>
    <xdr:to>
      <xdr:col>46</xdr:col>
      <xdr:colOff>19878</xdr:colOff>
      <xdr:row>24</xdr:row>
      <xdr:rowOff>175177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B3323-7DF6-4194-A1E5-BC423D9C0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uksa-my.sharepoint.com/personal/1936016_stu_kau_edu_sa/Documents/Engineering/semester_12%20(1)/SDP/Validation/Cell%20voltages%20accuracy.xlsx" TargetMode="External"/><Relationship Id="rId1" Type="http://schemas.openxmlformats.org/officeDocument/2006/relationships/externalLinkPath" Target="https://kauksa-my.sharepoint.com/personal/1936016_stu_kau_edu_sa/Documents/Engineering/semester_12%20(1)/SDP/Validation/Cell%20voltages%20accurac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Current%20accuracy.xlsx" TargetMode="External"/><Relationship Id="rId1" Type="http://schemas.openxmlformats.org/officeDocument/2006/relationships/externalLinkPath" Target="Current%20accurac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"/>
    </sheetNames>
    <sheetDataSet>
      <sheetData sheetId="0">
        <row r="14">
          <cell r="J14" t="str">
            <v>CELL 1</v>
          </cell>
          <cell r="K14" t="str">
            <v>CELL 2</v>
          </cell>
          <cell r="L14" t="str">
            <v>CELL 3</v>
          </cell>
          <cell r="M14" t="str">
            <v>CELL 4</v>
          </cell>
          <cell r="N14" t="str">
            <v>CELL 5</v>
          </cell>
          <cell r="O14" t="str">
            <v>CELL 6</v>
          </cell>
          <cell r="P14" t="str">
            <v>CELL 7</v>
          </cell>
          <cell r="Q14" t="str">
            <v>CELL 8</v>
          </cell>
        </row>
        <row r="15">
          <cell r="I15">
            <v>0</v>
          </cell>
          <cell r="J15">
            <v>3.964</v>
          </cell>
          <cell r="K15">
            <v>3.9740000000000002</v>
          </cell>
          <cell r="L15">
            <v>3.8940000000000001</v>
          </cell>
          <cell r="M15">
            <v>3.819</v>
          </cell>
          <cell r="N15">
            <v>4.0670000000000002</v>
          </cell>
          <cell r="O15">
            <v>3.9820000000000002</v>
          </cell>
          <cell r="P15">
            <v>3.8450000000000002</v>
          </cell>
          <cell r="Q15">
            <v>3.8759999999999999</v>
          </cell>
        </row>
        <row r="16">
          <cell r="I16">
            <v>5</v>
          </cell>
          <cell r="J16">
            <v>3.964</v>
          </cell>
          <cell r="K16">
            <v>3.9740000000000002</v>
          </cell>
          <cell r="L16">
            <v>3.8940000000000001</v>
          </cell>
          <cell r="M16">
            <v>3.8010000000000002</v>
          </cell>
          <cell r="N16">
            <v>4.0670000000000002</v>
          </cell>
          <cell r="O16">
            <v>3.9820000000000002</v>
          </cell>
          <cell r="P16">
            <v>3.8450000000000002</v>
          </cell>
          <cell r="Q16">
            <v>3.8759999999999999</v>
          </cell>
        </row>
        <row r="17">
          <cell r="I17">
            <v>10</v>
          </cell>
          <cell r="J17">
            <v>3.964</v>
          </cell>
          <cell r="K17">
            <v>3.9740000000000002</v>
          </cell>
          <cell r="L17">
            <v>3.88</v>
          </cell>
          <cell r="M17">
            <v>3.8149999999999999</v>
          </cell>
          <cell r="N17">
            <v>4.0949999999999998</v>
          </cell>
          <cell r="O17">
            <v>3.9550000000000001</v>
          </cell>
          <cell r="P17">
            <v>3.8450000000000002</v>
          </cell>
          <cell r="Q17">
            <v>3.8759999999999999</v>
          </cell>
        </row>
        <row r="18">
          <cell r="I18">
            <v>15</v>
          </cell>
          <cell r="J18">
            <v>3.9590000000000001</v>
          </cell>
          <cell r="K18">
            <v>3.97</v>
          </cell>
          <cell r="L18">
            <v>3.8740000000000001</v>
          </cell>
          <cell r="M18">
            <v>3.8119999999999998</v>
          </cell>
          <cell r="N18">
            <v>4.085</v>
          </cell>
          <cell r="O18">
            <v>3.9540000000000002</v>
          </cell>
          <cell r="P18">
            <v>3.8410000000000002</v>
          </cell>
          <cell r="Q18">
            <v>3.9079999999999999</v>
          </cell>
        </row>
        <row r="19">
          <cell r="I19">
            <v>20</v>
          </cell>
          <cell r="J19">
            <v>3.9590000000000001</v>
          </cell>
          <cell r="K19">
            <v>3.97</v>
          </cell>
          <cell r="L19">
            <v>3.8740000000000001</v>
          </cell>
          <cell r="M19">
            <v>3.8119999999999998</v>
          </cell>
          <cell r="N19">
            <v>4.085</v>
          </cell>
          <cell r="O19">
            <v>3.9540000000000002</v>
          </cell>
          <cell r="P19">
            <v>3.8410000000000002</v>
          </cell>
          <cell r="Q19">
            <v>3.9079999999999999</v>
          </cell>
        </row>
        <row r="20">
          <cell r="I20">
            <v>25</v>
          </cell>
          <cell r="J20">
            <v>3.9590000000000001</v>
          </cell>
          <cell r="K20">
            <v>3.97</v>
          </cell>
          <cell r="L20">
            <v>3.8740000000000001</v>
          </cell>
          <cell r="M20">
            <v>3.8119999999999998</v>
          </cell>
          <cell r="N20">
            <v>4.085</v>
          </cell>
          <cell r="O20">
            <v>3.9540000000000002</v>
          </cell>
          <cell r="P20">
            <v>3.8410000000000002</v>
          </cell>
          <cell r="Q20">
            <v>3.9079999999999999</v>
          </cell>
        </row>
        <row r="21">
          <cell r="I21">
            <v>30</v>
          </cell>
          <cell r="J21">
            <v>3.964</v>
          </cell>
          <cell r="K21">
            <v>3.9740000000000002</v>
          </cell>
          <cell r="L21">
            <v>3.8940000000000001</v>
          </cell>
          <cell r="M21">
            <v>3.8010000000000002</v>
          </cell>
          <cell r="N21">
            <v>4.085</v>
          </cell>
          <cell r="O21">
            <v>3.9540000000000002</v>
          </cell>
          <cell r="P21">
            <v>3.8410000000000002</v>
          </cell>
          <cell r="Q21">
            <v>3.9079999999999999</v>
          </cell>
        </row>
        <row r="22">
          <cell r="I22">
            <v>35</v>
          </cell>
          <cell r="J22">
            <v>3.9590000000000001</v>
          </cell>
          <cell r="K22">
            <v>3.97</v>
          </cell>
          <cell r="L22">
            <v>3.8889999999999998</v>
          </cell>
          <cell r="M22">
            <v>3.7970000000000002</v>
          </cell>
          <cell r="N22">
            <v>4.085</v>
          </cell>
          <cell r="O22">
            <v>3.9540000000000002</v>
          </cell>
          <cell r="P22">
            <v>3.8410000000000002</v>
          </cell>
          <cell r="Q22">
            <v>3.9079999999999999</v>
          </cell>
        </row>
        <row r="23">
          <cell r="I23">
            <v>40</v>
          </cell>
          <cell r="J23">
            <v>3.964</v>
          </cell>
          <cell r="K23">
            <v>3.9649999999999999</v>
          </cell>
          <cell r="L23">
            <v>3.8889999999999998</v>
          </cell>
          <cell r="M23">
            <v>3.8149999999999999</v>
          </cell>
          <cell r="N23">
            <v>4.085</v>
          </cell>
          <cell r="O23">
            <v>3.9540000000000002</v>
          </cell>
          <cell r="P23">
            <v>3.8410000000000002</v>
          </cell>
          <cell r="Q23">
            <v>3.9079999999999999</v>
          </cell>
        </row>
        <row r="24">
          <cell r="I24">
            <v>45</v>
          </cell>
          <cell r="J24">
            <v>3.9590000000000001</v>
          </cell>
          <cell r="K24">
            <v>3.97</v>
          </cell>
          <cell r="L24">
            <v>3.8889999999999998</v>
          </cell>
          <cell r="M24">
            <v>3.7970000000000002</v>
          </cell>
          <cell r="N24">
            <v>4.085</v>
          </cell>
          <cell r="O24">
            <v>3.9540000000000002</v>
          </cell>
          <cell r="P24">
            <v>3.8410000000000002</v>
          </cell>
          <cell r="Q24">
            <v>3.9079999999999999</v>
          </cell>
        </row>
        <row r="25">
          <cell r="I25">
            <v>50</v>
          </cell>
          <cell r="J25">
            <v>3.9590000000000001</v>
          </cell>
          <cell r="K25">
            <v>3.97</v>
          </cell>
          <cell r="L25">
            <v>3.8889999999999998</v>
          </cell>
          <cell r="M25">
            <v>3.7970000000000002</v>
          </cell>
          <cell r="N25">
            <v>4.085</v>
          </cell>
          <cell r="O25">
            <v>3.9540000000000002</v>
          </cell>
          <cell r="P25">
            <v>3.8410000000000002</v>
          </cell>
          <cell r="Q25">
            <v>3.9079999999999999</v>
          </cell>
        </row>
        <row r="26">
          <cell r="I26">
            <v>55</v>
          </cell>
          <cell r="J26">
            <v>3.9590000000000001</v>
          </cell>
          <cell r="K26">
            <v>3.97</v>
          </cell>
          <cell r="L26">
            <v>3.8889999999999998</v>
          </cell>
          <cell r="M26">
            <v>3.7970000000000002</v>
          </cell>
          <cell r="N26">
            <v>4.085</v>
          </cell>
          <cell r="O26">
            <v>3.9540000000000002</v>
          </cell>
          <cell r="P26">
            <v>3.8410000000000002</v>
          </cell>
          <cell r="Q26">
            <v>3.9079999999999999</v>
          </cell>
        </row>
        <row r="27">
          <cell r="I27">
            <v>60</v>
          </cell>
          <cell r="J27">
            <v>3.9590000000000001</v>
          </cell>
          <cell r="K27">
            <v>3.97</v>
          </cell>
          <cell r="L27">
            <v>3.8740000000000001</v>
          </cell>
          <cell r="M27">
            <v>3.8119999999999998</v>
          </cell>
          <cell r="N27">
            <v>4.085</v>
          </cell>
          <cell r="O27">
            <v>3.9540000000000002</v>
          </cell>
          <cell r="P27">
            <v>3.8410000000000002</v>
          </cell>
          <cell r="Q27">
            <v>3.9079999999999999</v>
          </cell>
        </row>
        <row r="28">
          <cell r="I28">
            <v>65</v>
          </cell>
          <cell r="J28">
            <v>3.9590000000000001</v>
          </cell>
          <cell r="K28">
            <v>3.97</v>
          </cell>
          <cell r="L28">
            <v>3.8889999999999998</v>
          </cell>
          <cell r="M28">
            <v>3.7970000000000002</v>
          </cell>
          <cell r="N28">
            <v>4.085</v>
          </cell>
          <cell r="O28">
            <v>3.9540000000000002</v>
          </cell>
          <cell r="P28">
            <v>3.8410000000000002</v>
          </cell>
          <cell r="Q28">
            <v>3.9079999999999999</v>
          </cell>
        </row>
        <row r="29">
          <cell r="I29">
            <v>70</v>
          </cell>
          <cell r="J29">
            <v>3.9590000000000001</v>
          </cell>
          <cell r="K29">
            <v>3.97</v>
          </cell>
          <cell r="L29">
            <v>3.8889999999999998</v>
          </cell>
          <cell r="M29">
            <v>3.7970000000000002</v>
          </cell>
          <cell r="N29">
            <v>4.085</v>
          </cell>
          <cell r="O29">
            <v>3.9540000000000002</v>
          </cell>
          <cell r="P29">
            <v>3.8410000000000002</v>
          </cell>
          <cell r="Q29">
            <v>3.9079999999999999</v>
          </cell>
        </row>
        <row r="30">
          <cell r="I30">
            <v>75</v>
          </cell>
          <cell r="J30">
            <v>3.9590000000000001</v>
          </cell>
          <cell r="K30">
            <v>3.97</v>
          </cell>
          <cell r="L30">
            <v>3.8889999999999998</v>
          </cell>
          <cell r="M30">
            <v>3.7970000000000002</v>
          </cell>
          <cell r="N30">
            <v>4.085</v>
          </cell>
          <cell r="O30">
            <v>3.9540000000000002</v>
          </cell>
          <cell r="P30">
            <v>3.8410000000000002</v>
          </cell>
          <cell r="Q30">
            <v>3.9079999999999999</v>
          </cell>
        </row>
        <row r="31">
          <cell r="I31">
            <v>80</v>
          </cell>
          <cell r="J31">
            <v>3.9590000000000001</v>
          </cell>
          <cell r="K31">
            <v>3.97</v>
          </cell>
          <cell r="L31">
            <v>3.8889999999999998</v>
          </cell>
          <cell r="M31">
            <v>3.7970000000000002</v>
          </cell>
          <cell r="N31">
            <v>4.085</v>
          </cell>
          <cell r="O31">
            <v>3.9540000000000002</v>
          </cell>
          <cell r="P31">
            <v>3.8410000000000002</v>
          </cell>
          <cell r="Q31">
            <v>3.9079999999999999</v>
          </cell>
        </row>
        <row r="32">
          <cell r="I32">
            <v>85</v>
          </cell>
          <cell r="J32">
            <v>3.9590000000000001</v>
          </cell>
          <cell r="K32">
            <v>3.97</v>
          </cell>
          <cell r="L32">
            <v>3.8889999999999998</v>
          </cell>
          <cell r="M32">
            <v>3.7970000000000002</v>
          </cell>
          <cell r="N32">
            <v>4.085</v>
          </cell>
          <cell r="O32">
            <v>3.9540000000000002</v>
          </cell>
          <cell r="P32">
            <v>3.8410000000000002</v>
          </cell>
          <cell r="Q32">
            <v>3.9079999999999999</v>
          </cell>
        </row>
        <row r="33">
          <cell r="I33">
            <v>90</v>
          </cell>
          <cell r="J33">
            <v>3.9590000000000001</v>
          </cell>
          <cell r="K33">
            <v>3.97</v>
          </cell>
          <cell r="L33">
            <v>3.8889999999999998</v>
          </cell>
          <cell r="M33">
            <v>3.7970000000000002</v>
          </cell>
          <cell r="N33">
            <v>4.085</v>
          </cell>
          <cell r="O33">
            <v>3.9540000000000002</v>
          </cell>
          <cell r="P33">
            <v>3.8410000000000002</v>
          </cell>
          <cell r="Q33">
            <v>3.9079999999999999</v>
          </cell>
        </row>
        <row r="34">
          <cell r="I34">
            <v>95</v>
          </cell>
          <cell r="J34">
            <v>3.9590000000000001</v>
          </cell>
          <cell r="K34">
            <v>3.97</v>
          </cell>
          <cell r="L34">
            <v>3.8889999999999998</v>
          </cell>
          <cell r="M34">
            <v>3.8149999999999999</v>
          </cell>
          <cell r="N34">
            <v>4.085</v>
          </cell>
          <cell r="O34">
            <v>3.9540000000000002</v>
          </cell>
          <cell r="P34">
            <v>3.8410000000000002</v>
          </cell>
          <cell r="Q34">
            <v>3.9079999999999999</v>
          </cell>
        </row>
        <row r="35">
          <cell r="I35">
            <v>100</v>
          </cell>
          <cell r="J35">
            <v>3.9590000000000001</v>
          </cell>
          <cell r="K35">
            <v>3.97</v>
          </cell>
          <cell r="L35">
            <v>3.8889999999999998</v>
          </cell>
          <cell r="M35">
            <v>3.7970000000000002</v>
          </cell>
          <cell r="N35">
            <v>4.085</v>
          </cell>
          <cell r="O35">
            <v>3.9540000000000002</v>
          </cell>
          <cell r="P35">
            <v>3.8410000000000002</v>
          </cell>
          <cell r="Q35">
            <v>3.9079999999999999</v>
          </cell>
        </row>
        <row r="36">
          <cell r="I36">
            <v>105</v>
          </cell>
          <cell r="J36">
            <v>3.964</v>
          </cell>
          <cell r="K36">
            <v>3.9649999999999999</v>
          </cell>
          <cell r="L36">
            <v>3.8889999999999998</v>
          </cell>
          <cell r="M36">
            <v>3.7970000000000002</v>
          </cell>
          <cell r="N36">
            <v>4.085</v>
          </cell>
          <cell r="O36">
            <v>3.9540000000000002</v>
          </cell>
          <cell r="P36">
            <v>3.8410000000000002</v>
          </cell>
          <cell r="Q36">
            <v>3.9079999999999999</v>
          </cell>
        </row>
        <row r="37">
          <cell r="I37">
            <v>110</v>
          </cell>
          <cell r="J37">
            <v>3.9590000000000001</v>
          </cell>
          <cell r="K37">
            <v>3.97</v>
          </cell>
          <cell r="L37">
            <v>3.8889999999999998</v>
          </cell>
          <cell r="M37">
            <v>3.7970000000000002</v>
          </cell>
          <cell r="N37">
            <v>4.085</v>
          </cell>
          <cell r="O37">
            <v>3.9540000000000002</v>
          </cell>
          <cell r="P37">
            <v>3.8410000000000002</v>
          </cell>
          <cell r="Q37">
            <v>3.9079999999999999</v>
          </cell>
        </row>
        <row r="38">
          <cell r="I38">
            <v>115</v>
          </cell>
          <cell r="J38">
            <v>3.964</v>
          </cell>
          <cell r="K38">
            <v>3.9649999999999999</v>
          </cell>
          <cell r="L38">
            <v>3.8889999999999998</v>
          </cell>
          <cell r="M38">
            <v>3.8149999999999999</v>
          </cell>
          <cell r="N38">
            <v>4.085</v>
          </cell>
          <cell r="O38">
            <v>3.9540000000000002</v>
          </cell>
          <cell r="P38">
            <v>3.8410000000000002</v>
          </cell>
          <cell r="Q38">
            <v>3.9079999999999999</v>
          </cell>
        </row>
        <row r="39">
          <cell r="I39">
            <v>120</v>
          </cell>
          <cell r="J39">
            <v>3.9590000000000001</v>
          </cell>
          <cell r="K39">
            <v>3.97</v>
          </cell>
          <cell r="L39">
            <v>3.8889999999999998</v>
          </cell>
          <cell r="M39">
            <v>3.8149999999999999</v>
          </cell>
          <cell r="N39">
            <v>4.085</v>
          </cell>
          <cell r="O39">
            <v>3.9540000000000002</v>
          </cell>
          <cell r="P39">
            <v>3.8410000000000002</v>
          </cell>
          <cell r="Q39">
            <v>3.9079999999999999</v>
          </cell>
        </row>
        <row r="40">
          <cell r="I40">
            <v>125</v>
          </cell>
          <cell r="J40">
            <v>3.9590000000000001</v>
          </cell>
          <cell r="K40">
            <v>3.97</v>
          </cell>
          <cell r="L40">
            <v>3.8889999999999998</v>
          </cell>
          <cell r="M40">
            <v>3.7970000000000002</v>
          </cell>
          <cell r="N40">
            <v>4.085</v>
          </cell>
          <cell r="O40">
            <v>3.9540000000000002</v>
          </cell>
          <cell r="P40">
            <v>3.8410000000000002</v>
          </cell>
          <cell r="Q40">
            <v>3.9079999999999999</v>
          </cell>
        </row>
        <row r="41">
          <cell r="I41">
            <v>130</v>
          </cell>
          <cell r="J41">
            <v>3.9590000000000001</v>
          </cell>
          <cell r="K41">
            <v>3.97</v>
          </cell>
          <cell r="L41">
            <v>3.8889999999999998</v>
          </cell>
          <cell r="M41">
            <v>3.7970000000000002</v>
          </cell>
          <cell r="N41">
            <v>4.085</v>
          </cell>
          <cell r="O41">
            <v>3.9540000000000002</v>
          </cell>
          <cell r="P41">
            <v>3.8410000000000002</v>
          </cell>
          <cell r="Q41">
            <v>3.9079999999999999</v>
          </cell>
        </row>
        <row r="42">
          <cell r="I42">
            <v>135</v>
          </cell>
          <cell r="J42">
            <v>3.9590000000000001</v>
          </cell>
          <cell r="K42">
            <v>3.97</v>
          </cell>
          <cell r="L42">
            <v>3.8889999999999998</v>
          </cell>
          <cell r="M42">
            <v>3.7970000000000002</v>
          </cell>
          <cell r="N42">
            <v>4.085</v>
          </cell>
          <cell r="O42">
            <v>3.9540000000000002</v>
          </cell>
          <cell r="P42">
            <v>3.8410000000000002</v>
          </cell>
          <cell r="Q42">
            <v>3.9079999999999999</v>
          </cell>
        </row>
        <row r="43">
          <cell r="I43">
            <v>140</v>
          </cell>
          <cell r="J43">
            <v>3.9590000000000001</v>
          </cell>
          <cell r="K43">
            <v>3.97</v>
          </cell>
          <cell r="L43">
            <v>3.8889999999999998</v>
          </cell>
          <cell r="M43">
            <v>3.7970000000000002</v>
          </cell>
          <cell r="N43">
            <v>4.085</v>
          </cell>
          <cell r="O43">
            <v>3.9540000000000002</v>
          </cell>
          <cell r="P43">
            <v>3.8410000000000002</v>
          </cell>
          <cell r="Q43">
            <v>3.9079999999999999</v>
          </cell>
        </row>
        <row r="44">
          <cell r="I44">
            <v>145</v>
          </cell>
          <cell r="J44">
            <v>3.9590000000000001</v>
          </cell>
          <cell r="K44">
            <v>3.97</v>
          </cell>
          <cell r="L44">
            <v>3.8889999999999998</v>
          </cell>
          <cell r="M44">
            <v>3.7970000000000002</v>
          </cell>
          <cell r="N44">
            <v>4.085</v>
          </cell>
          <cell r="O44">
            <v>3.9540000000000002</v>
          </cell>
          <cell r="P44">
            <v>3.8410000000000002</v>
          </cell>
          <cell r="Q44">
            <v>3.9079999999999999</v>
          </cell>
        </row>
        <row r="45">
          <cell r="I45">
            <v>150</v>
          </cell>
          <cell r="J45">
            <v>3.9590000000000001</v>
          </cell>
          <cell r="K45">
            <v>3.97</v>
          </cell>
          <cell r="L45">
            <v>3.8889999999999998</v>
          </cell>
          <cell r="M45">
            <v>3.7970000000000002</v>
          </cell>
          <cell r="N45">
            <v>4.085</v>
          </cell>
          <cell r="O45">
            <v>3.9540000000000002</v>
          </cell>
          <cell r="P45">
            <v>3.8410000000000002</v>
          </cell>
          <cell r="Q45">
            <v>3.9079999999999999</v>
          </cell>
        </row>
        <row r="46">
          <cell r="I46">
            <v>155</v>
          </cell>
          <cell r="J46">
            <v>3.9590000000000001</v>
          </cell>
          <cell r="K46">
            <v>3.97</v>
          </cell>
          <cell r="L46">
            <v>3.8889999999999998</v>
          </cell>
          <cell r="M46">
            <v>3.7970000000000002</v>
          </cell>
          <cell r="N46">
            <v>4.085</v>
          </cell>
          <cell r="O46">
            <v>3.9540000000000002</v>
          </cell>
          <cell r="P46">
            <v>3.8410000000000002</v>
          </cell>
          <cell r="Q46">
            <v>3.9079999999999999</v>
          </cell>
        </row>
        <row r="47">
          <cell r="I47">
            <v>160</v>
          </cell>
          <cell r="J47">
            <v>3.9590000000000001</v>
          </cell>
          <cell r="K47">
            <v>3.97</v>
          </cell>
          <cell r="L47">
            <v>3.8889999999999998</v>
          </cell>
          <cell r="M47">
            <v>3.7970000000000002</v>
          </cell>
          <cell r="N47">
            <v>4.085</v>
          </cell>
          <cell r="O47">
            <v>3.9540000000000002</v>
          </cell>
          <cell r="P47">
            <v>3.8410000000000002</v>
          </cell>
          <cell r="Q47">
            <v>3.9079999999999999</v>
          </cell>
        </row>
        <row r="48">
          <cell r="I48">
            <v>165</v>
          </cell>
          <cell r="J48">
            <v>3.9590000000000001</v>
          </cell>
          <cell r="K48">
            <v>3.97</v>
          </cell>
          <cell r="L48">
            <v>3.8889999999999998</v>
          </cell>
          <cell r="M48">
            <v>3.8149999999999999</v>
          </cell>
          <cell r="N48">
            <v>4.085</v>
          </cell>
          <cell r="O48">
            <v>3.9540000000000002</v>
          </cell>
          <cell r="P48">
            <v>3.8410000000000002</v>
          </cell>
          <cell r="Q48">
            <v>3.9079999999999999</v>
          </cell>
        </row>
        <row r="49">
          <cell r="I49">
            <v>170</v>
          </cell>
          <cell r="J49">
            <v>3.964</v>
          </cell>
          <cell r="K49">
            <v>3.9649999999999999</v>
          </cell>
          <cell r="L49">
            <v>3.8889999999999998</v>
          </cell>
          <cell r="M49">
            <v>3.8149999999999999</v>
          </cell>
          <cell r="N49">
            <v>4.085</v>
          </cell>
          <cell r="O49">
            <v>3.9540000000000002</v>
          </cell>
          <cell r="P49">
            <v>3.8410000000000002</v>
          </cell>
          <cell r="Q49">
            <v>3.9079999999999999</v>
          </cell>
        </row>
        <row r="50">
          <cell r="I50">
            <v>175</v>
          </cell>
          <cell r="J50">
            <v>3.964</v>
          </cell>
          <cell r="K50">
            <v>3.9649999999999999</v>
          </cell>
          <cell r="L50">
            <v>3.8889999999999998</v>
          </cell>
          <cell r="M50">
            <v>3.8149999999999999</v>
          </cell>
          <cell r="N50">
            <v>4.085</v>
          </cell>
          <cell r="O50">
            <v>3.9540000000000002</v>
          </cell>
          <cell r="P50">
            <v>3.8410000000000002</v>
          </cell>
          <cell r="Q50">
            <v>3.9079999999999999</v>
          </cell>
        </row>
        <row r="51">
          <cell r="I51">
            <v>180</v>
          </cell>
          <cell r="J51">
            <v>3.964</v>
          </cell>
          <cell r="K51">
            <v>3.9649999999999999</v>
          </cell>
          <cell r="L51">
            <v>3.8889999999999998</v>
          </cell>
          <cell r="M51">
            <v>3.8149999999999999</v>
          </cell>
          <cell r="N51">
            <v>4.085</v>
          </cell>
          <cell r="O51">
            <v>3.9540000000000002</v>
          </cell>
          <cell r="P51">
            <v>3.8410000000000002</v>
          </cell>
          <cell r="Q51">
            <v>3.9079999999999999</v>
          </cell>
        </row>
        <row r="52">
          <cell r="I52">
            <v>185</v>
          </cell>
          <cell r="J52">
            <v>3.9590000000000001</v>
          </cell>
          <cell r="K52">
            <v>3.97</v>
          </cell>
          <cell r="L52">
            <v>3.8889999999999998</v>
          </cell>
          <cell r="M52">
            <v>3.8149999999999999</v>
          </cell>
          <cell r="N52">
            <v>4.085</v>
          </cell>
          <cell r="O52">
            <v>3.9540000000000002</v>
          </cell>
          <cell r="P52">
            <v>3.8410000000000002</v>
          </cell>
          <cell r="Q52">
            <v>3.9079999999999999</v>
          </cell>
        </row>
        <row r="53">
          <cell r="I53">
            <v>190</v>
          </cell>
          <cell r="J53">
            <v>3.964</v>
          </cell>
          <cell r="K53">
            <v>3.9649999999999999</v>
          </cell>
          <cell r="L53">
            <v>3.8889999999999998</v>
          </cell>
          <cell r="M53">
            <v>3.8149999999999999</v>
          </cell>
          <cell r="N53">
            <v>4.085</v>
          </cell>
          <cell r="O53">
            <v>3.9540000000000002</v>
          </cell>
          <cell r="P53">
            <v>3.8410000000000002</v>
          </cell>
          <cell r="Q53">
            <v>3.9079999999999999</v>
          </cell>
        </row>
        <row r="54">
          <cell r="I54">
            <v>195</v>
          </cell>
          <cell r="J54">
            <v>3.9590000000000001</v>
          </cell>
          <cell r="K54">
            <v>3.97</v>
          </cell>
          <cell r="L54">
            <v>3.8889999999999998</v>
          </cell>
          <cell r="M54">
            <v>3.8149999999999999</v>
          </cell>
          <cell r="N54">
            <v>4.085</v>
          </cell>
          <cell r="O54">
            <v>3.9540000000000002</v>
          </cell>
          <cell r="P54">
            <v>3.8410000000000002</v>
          </cell>
          <cell r="Q54">
            <v>3.9079999999999999</v>
          </cell>
        </row>
        <row r="55">
          <cell r="I55">
            <v>200</v>
          </cell>
          <cell r="J55">
            <v>3.9590000000000001</v>
          </cell>
          <cell r="K55">
            <v>3.97</v>
          </cell>
          <cell r="L55">
            <v>3.8889999999999998</v>
          </cell>
          <cell r="M55">
            <v>3.8149999999999999</v>
          </cell>
          <cell r="N55">
            <v>4.085</v>
          </cell>
          <cell r="O55">
            <v>3.9540000000000002</v>
          </cell>
          <cell r="P55">
            <v>3.8410000000000002</v>
          </cell>
          <cell r="Q55">
            <v>3.9079999999999999</v>
          </cell>
        </row>
        <row r="56">
          <cell r="I56">
            <v>205</v>
          </cell>
          <cell r="J56">
            <v>3.964</v>
          </cell>
          <cell r="K56">
            <v>3.9649999999999999</v>
          </cell>
          <cell r="L56">
            <v>3.8889999999999998</v>
          </cell>
          <cell r="M56">
            <v>3.8149999999999999</v>
          </cell>
          <cell r="N56">
            <v>4.085</v>
          </cell>
          <cell r="O56">
            <v>3.9540000000000002</v>
          </cell>
          <cell r="P56">
            <v>3.8410000000000002</v>
          </cell>
          <cell r="Q56">
            <v>3.9079999999999999</v>
          </cell>
        </row>
        <row r="57">
          <cell r="I57">
            <v>210</v>
          </cell>
          <cell r="J57">
            <v>3.9590000000000001</v>
          </cell>
          <cell r="K57">
            <v>3.97</v>
          </cell>
          <cell r="L57">
            <v>3.8889999999999998</v>
          </cell>
          <cell r="M57">
            <v>3.8149999999999999</v>
          </cell>
          <cell r="N57">
            <v>4.085</v>
          </cell>
          <cell r="O57">
            <v>3.9540000000000002</v>
          </cell>
          <cell r="P57">
            <v>3.8410000000000002</v>
          </cell>
          <cell r="Q57">
            <v>3.9079999999999999</v>
          </cell>
        </row>
        <row r="58">
          <cell r="I58">
            <v>215</v>
          </cell>
          <cell r="J58">
            <v>3.9590000000000001</v>
          </cell>
          <cell r="K58">
            <v>3.97</v>
          </cell>
          <cell r="L58">
            <v>3.8889999999999998</v>
          </cell>
          <cell r="M58">
            <v>3.8149999999999999</v>
          </cell>
          <cell r="N58">
            <v>4.085</v>
          </cell>
          <cell r="O58">
            <v>3.9540000000000002</v>
          </cell>
          <cell r="P58">
            <v>3.8410000000000002</v>
          </cell>
          <cell r="Q58">
            <v>3.9079999999999999</v>
          </cell>
        </row>
        <row r="59">
          <cell r="I59">
            <v>220</v>
          </cell>
          <cell r="J59">
            <v>3.9590000000000001</v>
          </cell>
          <cell r="K59">
            <v>3.97</v>
          </cell>
          <cell r="L59">
            <v>3.8889999999999998</v>
          </cell>
          <cell r="M59">
            <v>3.8149999999999999</v>
          </cell>
          <cell r="N59">
            <v>4.085</v>
          </cell>
          <cell r="O59">
            <v>3.9540000000000002</v>
          </cell>
          <cell r="P59">
            <v>3.8410000000000002</v>
          </cell>
          <cell r="Q59">
            <v>3.9079999999999999</v>
          </cell>
        </row>
        <row r="60">
          <cell r="I60">
            <v>225</v>
          </cell>
          <cell r="J60">
            <v>3.9590000000000001</v>
          </cell>
          <cell r="K60">
            <v>3.97</v>
          </cell>
          <cell r="L60">
            <v>3.8889999999999998</v>
          </cell>
          <cell r="M60">
            <v>3.8149999999999999</v>
          </cell>
          <cell r="N60">
            <v>4.085</v>
          </cell>
          <cell r="O60">
            <v>3.9540000000000002</v>
          </cell>
          <cell r="P60">
            <v>3.8410000000000002</v>
          </cell>
          <cell r="Q60">
            <v>3.9079999999999999</v>
          </cell>
        </row>
        <row r="61">
          <cell r="I61">
            <v>230</v>
          </cell>
          <cell r="J61">
            <v>3.964</v>
          </cell>
          <cell r="K61">
            <v>3.9649999999999999</v>
          </cell>
          <cell r="L61">
            <v>3.8889999999999998</v>
          </cell>
          <cell r="M61">
            <v>3.8149999999999999</v>
          </cell>
          <cell r="N61">
            <v>4.085</v>
          </cell>
          <cell r="O61">
            <v>3.9540000000000002</v>
          </cell>
          <cell r="P61">
            <v>3.8410000000000002</v>
          </cell>
          <cell r="Q61">
            <v>3.9079999999999999</v>
          </cell>
        </row>
        <row r="62">
          <cell r="I62">
            <v>235</v>
          </cell>
          <cell r="J62">
            <v>3.964</v>
          </cell>
          <cell r="K62">
            <v>3.9649999999999999</v>
          </cell>
          <cell r="L62">
            <v>3.8889999999999998</v>
          </cell>
          <cell r="M62">
            <v>3.8149999999999999</v>
          </cell>
          <cell r="N62">
            <v>4.085</v>
          </cell>
          <cell r="O62">
            <v>3.9540000000000002</v>
          </cell>
          <cell r="P62">
            <v>3.8410000000000002</v>
          </cell>
          <cell r="Q62">
            <v>3.9079999999999999</v>
          </cell>
        </row>
        <row r="63">
          <cell r="I63">
            <v>240</v>
          </cell>
          <cell r="J63">
            <v>3.964</v>
          </cell>
          <cell r="K63">
            <v>3.9649999999999999</v>
          </cell>
          <cell r="L63">
            <v>3.8889999999999998</v>
          </cell>
          <cell r="M63">
            <v>3.8149999999999999</v>
          </cell>
          <cell r="N63">
            <v>4.085</v>
          </cell>
          <cell r="O63">
            <v>3.9540000000000002</v>
          </cell>
          <cell r="P63">
            <v>3.8410000000000002</v>
          </cell>
          <cell r="Q63">
            <v>3.9079999999999999</v>
          </cell>
        </row>
        <row r="64">
          <cell r="I64">
            <v>245</v>
          </cell>
          <cell r="J64">
            <v>3.964</v>
          </cell>
          <cell r="K64">
            <v>3.9649999999999999</v>
          </cell>
          <cell r="L64">
            <v>3.8889999999999998</v>
          </cell>
          <cell r="M64">
            <v>3.8149999999999999</v>
          </cell>
          <cell r="N64">
            <v>4.085</v>
          </cell>
          <cell r="O64">
            <v>3.9540000000000002</v>
          </cell>
          <cell r="P64">
            <v>3.8410000000000002</v>
          </cell>
          <cell r="Q64">
            <v>3.9079999999999999</v>
          </cell>
        </row>
        <row r="65">
          <cell r="I65">
            <v>250</v>
          </cell>
          <cell r="J65">
            <v>3.964</v>
          </cell>
          <cell r="K65">
            <v>3.9649999999999999</v>
          </cell>
          <cell r="L65">
            <v>3.8889999999999998</v>
          </cell>
          <cell r="M65">
            <v>3.7970000000000002</v>
          </cell>
          <cell r="N65">
            <v>4.085</v>
          </cell>
          <cell r="O65">
            <v>3.9540000000000002</v>
          </cell>
          <cell r="P65">
            <v>3.8410000000000002</v>
          </cell>
          <cell r="Q65">
            <v>3.9079999999999999</v>
          </cell>
        </row>
        <row r="66">
          <cell r="I66">
            <v>255</v>
          </cell>
          <cell r="J66">
            <v>3.964</v>
          </cell>
          <cell r="K66">
            <v>3.9740000000000002</v>
          </cell>
          <cell r="L66">
            <v>3.88</v>
          </cell>
          <cell r="M66">
            <v>3.8149999999999999</v>
          </cell>
          <cell r="N66">
            <v>4.0670000000000002</v>
          </cell>
          <cell r="O66">
            <v>3.9540000000000002</v>
          </cell>
          <cell r="P66">
            <v>3.8410000000000002</v>
          </cell>
          <cell r="Q66">
            <v>3.9079999999999999</v>
          </cell>
        </row>
        <row r="67">
          <cell r="I67">
            <v>260</v>
          </cell>
          <cell r="J67">
            <v>3.964</v>
          </cell>
          <cell r="K67">
            <v>3.9649999999999999</v>
          </cell>
          <cell r="L67">
            <v>3.8889999999999998</v>
          </cell>
          <cell r="M67">
            <v>3.8149999999999999</v>
          </cell>
          <cell r="N67">
            <v>4.085</v>
          </cell>
          <cell r="O67">
            <v>3.9540000000000002</v>
          </cell>
          <cell r="P67">
            <v>3.8410000000000002</v>
          </cell>
          <cell r="Q67">
            <v>3.9079999999999999</v>
          </cell>
        </row>
        <row r="68">
          <cell r="I68">
            <v>265</v>
          </cell>
          <cell r="J68">
            <v>3.964</v>
          </cell>
          <cell r="K68">
            <v>3.9649999999999999</v>
          </cell>
          <cell r="L68">
            <v>3.8889999999999998</v>
          </cell>
          <cell r="M68">
            <v>3.8149999999999999</v>
          </cell>
          <cell r="N68">
            <v>4.0670000000000002</v>
          </cell>
          <cell r="O68">
            <v>3.9820000000000002</v>
          </cell>
          <cell r="P68">
            <v>3.8450000000000002</v>
          </cell>
          <cell r="Q68">
            <v>3.8759999999999999</v>
          </cell>
        </row>
        <row r="69">
          <cell r="I69">
            <v>280</v>
          </cell>
          <cell r="J69">
            <v>3.964</v>
          </cell>
          <cell r="K69">
            <v>3.9649999999999999</v>
          </cell>
          <cell r="L69">
            <v>3.8889999999999998</v>
          </cell>
          <cell r="M69">
            <v>3.8149999999999999</v>
          </cell>
          <cell r="N69">
            <v>4.085</v>
          </cell>
          <cell r="O69">
            <v>3.9540000000000002</v>
          </cell>
          <cell r="P69">
            <v>3.8410000000000002</v>
          </cell>
          <cell r="Q69">
            <v>3.9079999999999999</v>
          </cell>
        </row>
        <row r="70">
          <cell r="I70">
            <v>285</v>
          </cell>
          <cell r="J70">
            <v>3.964</v>
          </cell>
          <cell r="K70">
            <v>3.9740000000000002</v>
          </cell>
          <cell r="L70">
            <v>3.88</v>
          </cell>
          <cell r="M70">
            <v>3.8149999999999999</v>
          </cell>
          <cell r="N70">
            <v>4.085</v>
          </cell>
          <cell r="O70">
            <v>3.9820000000000002</v>
          </cell>
          <cell r="P70">
            <v>3.8130000000000002</v>
          </cell>
          <cell r="Q70">
            <v>3.9079999999999999</v>
          </cell>
        </row>
        <row r="71">
          <cell r="I71">
            <v>290</v>
          </cell>
          <cell r="J71">
            <v>3.964</v>
          </cell>
          <cell r="K71">
            <v>3.9740000000000002</v>
          </cell>
          <cell r="L71">
            <v>3.88</v>
          </cell>
          <cell r="M71">
            <v>3.8149999999999999</v>
          </cell>
          <cell r="N71">
            <v>4.0670000000000002</v>
          </cell>
          <cell r="O71">
            <v>3.9820000000000002</v>
          </cell>
          <cell r="P71">
            <v>3.8450000000000002</v>
          </cell>
          <cell r="Q71">
            <v>3.8759999999999999</v>
          </cell>
        </row>
        <row r="72">
          <cell r="I72">
            <v>295</v>
          </cell>
          <cell r="J72">
            <v>3.964</v>
          </cell>
          <cell r="K72">
            <v>3.9740000000000002</v>
          </cell>
          <cell r="L72">
            <v>3.88</v>
          </cell>
          <cell r="M72">
            <v>3.8149999999999999</v>
          </cell>
          <cell r="N72">
            <v>4.085</v>
          </cell>
          <cell r="O72">
            <v>3.9820000000000002</v>
          </cell>
          <cell r="P72">
            <v>3.8450000000000002</v>
          </cell>
          <cell r="Q72">
            <v>3.8759999999999999</v>
          </cell>
        </row>
        <row r="73">
          <cell r="I73">
            <v>300</v>
          </cell>
          <cell r="J73">
            <v>3.964</v>
          </cell>
          <cell r="K73">
            <v>3.9740000000000002</v>
          </cell>
          <cell r="L73">
            <v>3.88</v>
          </cell>
          <cell r="M73">
            <v>3.8149999999999999</v>
          </cell>
          <cell r="N73">
            <v>4.0670000000000002</v>
          </cell>
          <cell r="O73">
            <v>3.9820000000000002</v>
          </cell>
          <cell r="P73">
            <v>3.8450000000000002</v>
          </cell>
          <cell r="Q73">
            <v>3.8759999999999999</v>
          </cell>
        </row>
        <row r="74">
          <cell r="I74">
            <v>305</v>
          </cell>
          <cell r="J74">
            <v>3.964</v>
          </cell>
          <cell r="K74">
            <v>3.9740000000000002</v>
          </cell>
          <cell r="L74">
            <v>3.88</v>
          </cell>
          <cell r="M74">
            <v>3.8149999999999999</v>
          </cell>
          <cell r="N74">
            <v>4.085</v>
          </cell>
          <cell r="O74">
            <v>3.9820000000000002</v>
          </cell>
          <cell r="P74">
            <v>3.8450000000000002</v>
          </cell>
          <cell r="Q74">
            <v>3.8759999999999999</v>
          </cell>
        </row>
        <row r="75">
          <cell r="I75">
            <v>310</v>
          </cell>
          <cell r="J75">
            <v>3.964</v>
          </cell>
          <cell r="K75">
            <v>3.9740000000000002</v>
          </cell>
          <cell r="L75">
            <v>3.88</v>
          </cell>
          <cell r="M75">
            <v>3.8149999999999999</v>
          </cell>
          <cell r="N75">
            <v>4.085</v>
          </cell>
          <cell r="O75">
            <v>3.9820000000000002</v>
          </cell>
          <cell r="P75">
            <v>3.8130000000000002</v>
          </cell>
          <cell r="Q75">
            <v>3.9079999999999999</v>
          </cell>
        </row>
        <row r="76">
          <cell r="I76">
            <v>315</v>
          </cell>
          <cell r="J76">
            <v>3.964</v>
          </cell>
          <cell r="K76">
            <v>3.9740000000000002</v>
          </cell>
          <cell r="L76">
            <v>3.88</v>
          </cell>
          <cell r="M76">
            <v>3.8149999999999999</v>
          </cell>
          <cell r="N76">
            <v>4.085</v>
          </cell>
          <cell r="O76">
            <v>3.9820000000000002</v>
          </cell>
          <cell r="P76">
            <v>3.8130000000000002</v>
          </cell>
          <cell r="Q76">
            <v>3.9079999999999999</v>
          </cell>
        </row>
        <row r="77">
          <cell r="I77">
            <v>320</v>
          </cell>
          <cell r="J77">
            <v>3.964</v>
          </cell>
          <cell r="K77">
            <v>3.9740000000000002</v>
          </cell>
          <cell r="L77">
            <v>3.88</v>
          </cell>
          <cell r="M77">
            <v>3.8149999999999999</v>
          </cell>
          <cell r="N77">
            <v>4.0670000000000002</v>
          </cell>
          <cell r="O77">
            <v>3.9820000000000002</v>
          </cell>
          <cell r="P77">
            <v>3.8450000000000002</v>
          </cell>
          <cell r="Q77">
            <v>3.8759999999999999</v>
          </cell>
        </row>
        <row r="78">
          <cell r="I78">
            <v>325</v>
          </cell>
          <cell r="J78">
            <v>3.964</v>
          </cell>
          <cell r="K78">
            <v>3.9740000000000002</v>
          </cell>
          <cell r="L78">
            <v>3.88</v>
          </cell>
          <cell r="M78">
            <v>3.8330000000000002</v>
          </cell>
          <cell r="N78">
            <v>4.0670000000000002</v>
          </cell>
          <cell r="O78">
            <v>3.9820000000000002</v>
          </cell>
          <cell r="P78">
            <v>3.8450000000000002</v>
          </cell>
          <cell r="Q78">
            <v>3.8759999999999999</v>
          </cell>
        </row>
        <row r="79">
          <cell r="I79">
            <v>620</v>
          </cell>
          <cell r="J79">
            <v>3.9590000000000001</v>
          </cell>
          <cell r="K79">
            <v>3.97</v>
          </cell>
          <cell r="L79">
            <v>3.8740000000000001</v>
          </cell>
          <cell r="M79">
            <v>3.8119999999999998</v>
          </cell>
          <cell r="N79">
            <v>4.0579999999999998</v>
          </cell>
          <cell r="O79">
            <v>3.9809999999999999</v>
          </cell>
          <cell r="P79">
            <v>3.8410000000000002</v>
          </cell>
          <cell r="Q79">
            <v>3.8690000000000002</v>
          </cell>
        </row>
        <row r="80">
          <cell r="I80">
            <v>625</v>
          </cell>
          <cell r="J80">
            <v>3.9540000000000002</v>
          </cell>
          <cell r="K80">
            <v>3.9660000000000002</v>
          </cell>
          <cell r="L80">
            <v>3.883</v>
          </cell>
          <cell r="M80">
            <v>3.794</v>
          </cell>
          <cell r="N80">
            <v>4.0759999999999996</v>
          </cell>
          <cell r="O80">
            <v>3.9529999999999998</v>
          </cell>
          <cell r="P80">
            <v>3.8370000000000002</v>
          </cell>
          <cell r="Q80">
            <v>3.9020000000000001</v>
          </cell>
        </row>
        <row r="81">
          <cell r="I81">
            <v>630</v>
          </cell>
          <cell r="J81">
            <v>3.9590000000000001</v>
          </cell>
          <cell r="K81">
            <v>3.9609999999999999</v>
          </cell>
          <cell r="L81">
            <v>3.883</v>
          </cell>
          <cell r="M81">
            <v>3.8119999999999998</v>
          </cell>
          <cell r="N81">
            <v>4.0759999999999996</v>
          </cell>
          <cell r="O81">
            <v>3.9529999999999998</v>
          </cell>
          <cell r="P81">
            <v>3.8370000000000002</v>
          </cell>
          <cell r="Q81">
            <v>3.9020000000000001</v>
          </cell>
        </row>
        <row r="82">
          <cell r="I82">
            <v>635</v>
          </cell>
          <cell r="J82">
            <v>3.9540000000000002</v>
          </cell>
          <cell r="K82">
            <v>3.9660000000000002</v>
          </cell>
          <cell r="L82">
            <v>3.883</v>
          </cell>
          <cell r="M82">
            <v>3.794</v>
          </cell>
          <cell r="N82">
            <v>4.0759999999999996</v>
          </cell>
          <cell r="O82">
            <v>3.9529999999999998</v>
          </cell>
          <cell r="P82">
            <v>3.8370000000000002</v>
          </cell>
          <cell r="Q82">
            <v>3.9020000000000001</v>
          </cell>
        </row>
        <row r="83">
          <cell r="I83">
            <v>640</v>
          </cell>
          <cell r="J83">
            <v>3.9540000000000002</v>
          </cell>
          <cell r="K83">
            <v>3.9660000000000002</v>
          </cell>
          <cell r="L83">
            <v>3.883</v>
          </cell>
          <cell r="M83">
            <v>3.794</v>
          </cell>
          <cell r="N83">
            <v>4.0759999999999996</v>
          </cell>
          <cell r="O83">
            <v>3.9529999999999998</v>
          </cell>
          <cell r="P83">
            <v>3.8370000000000002</v>
          </cell>
          <cell r="Q83">
            <v>3.9020000000000001</v>
          </cell>
        </row>
        <row r="84">
          <cell r="I84">
            <v>645</v>
          </cell>
          <cell r="J84">
            <v>3.9540000000000002</v>
          </cell>
          <cell r="K84">
            <v>3.9660000000000002</v>
          </cell>
          <cell r="L84">
            <v>3.883</v>
          </cell>
          <cell r="M84">
            <v>3.8119999999999998</v>
          </cell>
          <cell r="N84">
            <v>4.0759999999999996</v>
          </cell>
          <cell r="O84">
            <v>3.9529999999999998</v>
          </cell>
          <cell r="P84">
            <v>3.8370000000000002</v>
          </cell>
          <cell r="Q84">
            <v>3.9020000000000001</v>
          </cell>
        </row>
        <row r="85">
          <cell r="I85">
            <v>650</v>
          </cell>
          <cell r="J85">
            <v>3.9540000000000002</v>
          </cell>
          <cell r="K85">
            <v>3.9660000000000002</v>
          </cell>
          <cell r="L85">
            <v>3.883</v>
          </cell>
          <cell r="M85">
            <v>3.794</v>
          </cell>
          <cell r="N85">
            <v>4.0759999999999996</v>
          </cell>
          <cell r="O85">
            <v>3.9529999999999998</v>
          </cell>
          <cell r="P85">
            <v>3.8370000000000002</v>
          </cell>
          <cell r="Q85">
            <v>3.9020000000000001</v>
          </cell>
        </row>
        <row r="86">
          <cell r="I86">
            <v>655</v>
          </cell>
          <cell r="J86">
            <v>3.9540000000000002</v>
          </cell>
          <cell r="K86">
            <v>3.9660000000000002</v>
          </cell>
          <cell r="L86">
            <v>3.883</v>
          </cell>
          <cell r="M86">
            <v>3.794</v>
          </cell>
          <cell r="N86">
            <v>4.0759999999999996</v>
          </cell>
          <cell r="O86">
            <v>3.9529999999999998</v>
          </cell>
          <cell r="P86">
            <v>3.8370000000000002</v>
          </cell>
          <cell r="Q86">
            <v>3.9020000000000001</v>
          </cell>
        </row>
        <row r="87">
          <cell r="I87">
            <v>660</v>
          </cell>
          <cell r="J87">
            <v>3.9540000000000002</v>
          </cell>
          <cell r="K87">
            <v>3.9660000000000002</v>
          </cell>
          <cell r="L87">
            <v>3.883</v>
          </cell>
          <cell r="M87">
            <v>3.794</v>
          </cell>
          <cell r="N87">
            <v>4.0759999999999996</v>
          </cell>
          <cell r="O87">
            <v>3.9529999999999998</v>
          </cell>
          <cell r="P87">
            <v>3.8370000000000002</v>
          </cell>
          <cell r="Q87">
            <v>3.9020000000000001</v>
          </cell>
        </row>
        <row r="88">
          <cell r="I88">
            <v>665</v>
          </cell>
          <cell r="J88">
            <v>3.9540000000000002</v>
          </cell>
          <cell r="K88">
            <v>3.9660000000000002</v>
          </cell>
          <cell r="L88">
            <v>3.883</v>
          </cell>
          <cell r="M88">
            <v>3.794</v>
          </cell>
          <cell r="N88">
            <v>4.0759999999999996</v>
          </cell>
          <cell r="O88">
            <v>3.9529999999999998</v>
          </cell>
          <cell r="P88">
            <v>3.8370000000000002</v>
          </cell>
          <cell r="Q88">
            <v>3.9020000000000001</v>
          </cell>
        </row>
        <row r="89">
          <cell r="I89">
            <v>670</v>
          </cell>
          <cell r="J89">
            <v>3.9540000000000002</v>
          </cell>
          <cell r="K89">
            <v>3.9660000000000002</v>
          </cell>
          <cell r="L89">
            <v>3.883</v>
          </cell>
          <cell r="M89">
            <v>3.794</v>
          </cell>
          <cell r="N89">
            <v>4.0759999999999996</v>
          </cell>
          <cell r="O89">
            <v>3.9529999999999998</v>
          </cell>
          <cell r="P89">
            <v>3.8370000000000002</v>
          </cell>
          <cell r="Q89">
            <v>3.9020000000000001</v>
          </cell>
        </row>
        <row r="90">
          <cell r="I90">
            <v>675</v>
          </cell>
          <cell r="J90">
            <v>3.9540000000000002</v>
          </cell>
          <cell r="K90">
            <v>3.9660000000000002</v>
          </cell>
          <cell r="L90">
            <v>3.883</v>
          </cell>
          <cell r="M90">
            <v>3.794</v>
          </cell>
          <cell r="N90">
            <v>4.0759999999999996</v>
          </cell>
          <cell r="O90">
            <v>3.9529999999999998</v>
          </cell>
          <cell r="P90">
            <v>3.8370000000000002</v>
          </cell>
          <cell r="Q90">
            <v>3.9020000000000001</v>
          </cell>
        </row>
        <row r="91">
          <cell r="I91">
            <v>680</v>
          </cell>
          <cell r="J91">
            <v>3.9540000000000002</v>
          </cell>
          <cell r="K91">
            <v>3.9660000000000002</v>
          </cell>
          <cell r="L91">
            <v>3.883</v>
          </cell>
          <cell r="M91">
            <v>3.794</v>
          </cell>
          <cell r="N91">
            <v>4.0759999999999996</v>
          </cell>
          <cell r="O91">
            <v>3.9529999999999998</v>
          </cell>
          <cell r="P91">
            <v>3.8370000000000002</v>
          </cell>
          <cell r="Q91">
            <v>3.9020000000000001</v>
          </cell>
        </row>
        <row r="92">
          <cell r="I92">
            <v>685</v>
          </cell>
          <cell r="J92">
            <v>3.9540000000000002</v>
          </cell>
          <cell r="K92">
            <v>3.9660000000000002</v>
          </cell>
          <cell r="L92">
            <v>3.883</v>
          </cell>
          <cell r="M92">
            <v>3.794</v>
          </cell>
          <cell r="N92">
            <v>4.0759999999999996</v>
          </cell>
          <cell r="O92">
            <v>3.9529999999999998</v>
          </cell>
          <cell r="P92">
            <v>3.8370000000000002</v>
          </cell>
          <cell r="Q92">
            <v>3.9020000000000001</v>
          </cell>
        </row>
        <row r="93">
          <cell r="I93">
            <v>690</v>
          </cell>
          <cell r="J93">
            <v>3.9540000000000002</v>
          </cell>
          <cell r="K93">
            <v>3.9660000000000002</v>
          </cell>
          <cell r="L93">
            <v>3.883</v>
          </cell>
          <cell r="M93">
            <v>3.794</v>
          </cell>
          <cell r="N93">
            <v>4.0759999999999996</v>
          </cell>
          <cell r="O93">
            <v>3.9529999999999998</v>
          </cell>
          <cell r="P93">
            <v>3.8370000000000002</v>
          </cell>
          <cell r="Q93">
            <v>3.9020000000000001</v>
          </cell>
        </row>
        <row r="94">
          <cell r="I94">
            <v>695</v>
          </cell>
          <cell r="J94">
            <v>3.9540000000000002</v>
          </cell>
          <cell r="K94">
            <v>3.9660000000000002</v>
          </cell>
          <cell r="L94">
            <v>3.883</v>
          </cell>
          <cell r="M94">
            <v>3.794</v>
          </cell>
          <cell r="N94">
            <v>4.0759999999999996</v>
          </cell>
          <cell r="O94">
            <v>3.9529999999999998</v>
          </cell>
          <cell r="P94">
            <v>3.8370000000000002</v>
          </cell>
          <cell r="Q94">
            <v>3.9020000000000001</v>
          </cell>
        </row>
        <row r="95">
          <cell r="I95">
            <v>700</v>
          </cell>
          <cell r="J95">
            <v>3.9540000000000002</v>
          </cell>
          <cell r="K95">
            <v>3.9660000000000002</v>
          </cell>
          <cell r="L95">
            <v>3.883</v>
          </cell>
          <cell r="M95">
            <v>3.794</v>
          </cell>
          <cell r="N95">
            <v>4.0759999999999996</v>
          </cell>
          <cell r="O95">
            <v>3.9529999999999998</v>
          </cell>
          <cell r="P95">
            <v>3.8370000000000002</v>
          </cell>
          <cell r="Q95">
            <v>3.9020000000000001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"/>
    </sheetNames>
    <sheetDataSet>
      <sheetData sheetId="0">
        <row r="13">
          <cell r="AF13">
            <v>0</v>
          </cell>
          <cell r="AI13">
            <v>0.98</v>
          </cell>
        </row>
        <row r="14">
          <cell r="AF14">
            <v>5</v>
          </cell>
          <cell r="AI14">
            <v>0.98399999999999999</v>
          </cell>
        </row>
        <row r="15">
          <cell r="AF15">
            <v>10</v>
          </cell>
          <cell r="AI15">
            <v>1.004</v>
          </cell>
        </row>
        <row r="16">
          <cell r="AF16">
            <v>15</v>
          </cell>
          <cell r="AI16">
            <v>1.0089999999999999</v>
          </cell>
        </row>
        <row r="17">
          <cell r="AF17">
            <v>20</v>
          </cell>
          <cell r="AI17">
            <v>1.0089999999999999</v>
          </cell>
        </row>
        <row r="18">
          <cell r="AF18">
            <v>25</v>
          </cell>
          <cell r="AI18">
            <v>0.99299999999999999</v>
          </cell>
        </row>
        <row r="19">
          <cell r="AF19">
            <v>30</v>
          </cell>
          <cell r="AI19">
            <v>0.99</v>
          </cell>
        </row>
        <row r="20">
          <cell r="AF20">
            <v>35</v>
          </cell>
          <cell r="AI20">
            <v>0.99299999999999999</v>
          </cell>
        </row>
        <row r="21">
          <cell r="AF21">
            <v>40</v>
          </cell>
          <cell r="AI21">
            <v>0.98899999999999999</v>
          </cell>
        </row>
        <row r="22">
          <cell r="AF22">
            <v>45</v>
          </cell>
          <cell r="AI22">
            <v>0.996</v>
          </cell>
        </row>
        <row r="23">
          <cell r="AF23">
            <v>50</v>
          </cell>
          <cell r="AI23">
            <v>0.99399999999999999</v>
          </cell>
        </row>
        <row r="24">
          <cell r="AF24">
            <v>55</v>
          </cell>
          <cell r="AI24">
            <v>0.99099999999999999</v>
          </cell>
        </row>
        <row r="25">
          <cell r="AF25">
            <v>60</v>
          </cell>
          <cell r="AI25">
            <v>0.98799999999999999</v>
          </cell>
        </row>
        <row r="26">
          <cell r="AF26">
            <v>65</v>
          </cell>
          <cell r="AI26">
            <v>0.997</v>
          </cell>
        </row>
        <row r="27">
          <cell r="AF27">
            <v>70</v>
          </cell>
          <cell r="AI27">
            <v>0.98499999999999999</v>
          </cell>
        </row>
        <row r="28">
          <cell r="AF28">
            <v>75</v>
          </cell>
          <cell r="AI28">
            <v>0.98399999999999999</v>
          </cell>
        </row>
        <row r="29">
          <cell r="AF29">
            <v>80</v>
          </cell>
          <cell r="AI29">
            <v>1.0049999999999999</v>
          </cell>
        </row>
        <row r="30">
          <cell r="AF30">
            <v>85</v>
          </cell>
          <cell r="AI30">
            <v>0.98699999999999999</v>
          </cell>
        </row>
        <row r="31">
          <cell r="AF31">
            <v>90</v>
          </cell>
          <cell r="AI31">
            <v>0.98899999999999999</v>
          </cell>
        </row>
        <row r="32">
          <cell r="AF32">
            <v>95</v>
          </cell>
          <cell r="AI32">
            <v>0.98199999999999998</v>
          </cell>
        </row>
        <row r="33">
          <cell r="AF33">
            <v>100</v>
          </cell>
          <cell r="AI33">
            <v>0.995</v>
          </cell>
        </row>
        <row r="34">
          <cell r="AF34">
            <v>105</v>
          </cell>
          <cell r="AI34">
            <v>0.98499999999999999</v>
          </cell>
        </row>
        <row r="35">
          <cell r="AF35">
            <v>110</v>
          </cell>
          <cell r="AI35">
            <v>0.97699999999999998</v>
          </cell>
        </row>
        <row r="36">
          <cell r="AF36">
            <v>115</v>
          </cell>
          <cell r="AI36">
            <v>0.98199999999999998</v>
          </cell>
        </row>
        <row r="37">
          <cell r="AF37">
            <v>120</v>
          </cell>
          <cell r="AI37">
            <v>1.02</v>
          </cell>
        </row>
        <row r="38">
          <cell r="AF38">
            <v>125</v>
          </cell>
          <cell r="AI38">
            <v>0.98199999999999998</v>
          </cell>
        </row>
        <row r="39">
          <cell r="AF39">
            <v>130</v>
          </cell>
          <cell r="AI39">
            <v>0.98899999999999999</v>
          </cell>
        </row>
        <row r="40">
          <cell r="AF40">
            <v>135</v>
          </cell>
          <cell r="AI40">
            <v>0.98899999999999999</v>
          </cell>
        </row>
        <row r="41">
          <cell r="AF41">
            <v>140</v>
          </cell>
          <cell r="AI41">
            <v>0.97699999999999998</v>
          </cell>
        </row>
        <row r="42">
          <cell r="AF42">
            <v>145</v>
          </cell>
          <cell r="AI42">
            <v>0.97899999999999998</v>
          </cell>
        </row>
        <row r="43">
          <cell r="AF43">
            <v>150</v>
          </cell>
          <cell r="AI43">
            <v>0.98399999999999999</v>
          </cell>
        </row>
        <row r="44">
          <cell r="AF44">
            <v>155</v>
          </cell>
          <cell r="AI44">
            <v>0.97799999999999998</v>
          </cell>
        </row>
        <row r="45">
          <cell r="AF45">
            <v>160</v>
          </cell>
          <cell r="AI45">
            <v>0.98499999999999999</v>
          </cell>
        </row>
        <row r="46">
          <cell r="AF46">
            <v>165</v>
          </cell>
          <cell r="AI46">
            <v>0.97899999999999998</v>
          </cell>
        </row>
        <row r="47">
          <cell r="AF47">
            <v>170</v>
          </cell>
          <cell r="AI47">
            <v>0.98599999999999999</v>
          </cell>
        </row>
        <row r="48">
          <cell r="AF48">
            <v>175</v>
          </cell>
          <cell r="AI48">
            <v>0.98</v>
          </cell>
        </row>
        <row r="49">
          <cell r="AF49">
            <v>180</v>
          </cell>
          <cell r="AI49">
            <v>0.97699999999999998</v>
          </cell>
        </row>
        <row r="50">
          <cell r="AF50">
            <v>185</v>
          </cell>
          <cell r="AI50">
            <v>0.97599999999999998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ing Profil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89370-217B-4DD9-AF64-DB87AA3918F6}" name="Table1" displayName="Table1" ref="I4:S12" totalsRowShown="0" headerRowDxfId="2">
  <autoFilter ref="I4:S12" xr:uid="{AB189370-217B-4DD9-AF64-DB87AA3918F6}"/>
  <tableColumns count="11">
    <tableColumn id="1" xr3:uid="{7955D0E7-BA6B-448E-80BD-BF648849AE77}" name="Column1" dataDxfId="1"/>
    <tableColumn id="2" xr3:uid="{8B17067E-78EB-48DA-B653-6C855C67B694}" name="CELL 1"/>
    <tableColumn id="3" xr3:uid="{75496DE6-97FC-4B9C-B74B-7E399A6F24B5}" name="CELL 2"/>
    <tableColumn id="4" xr3:uid="{456D78B6-91E1-4898-AA53-41A0A53EF3D3}" name="CELL 3"/>
    <tableColumn id="5" xr3:uid="{1E55B8AA-C98B-4409-BAC5-9B54F26AD2E5}" name="CELL 4"/>
    <tableColumn id="6" xr3:uid="{2BC72C44-0161-4017-9F84-047EA75A648F}" name="CELL 5"/>
    <tableColumn id="7" xr3:uid="{13BF6C6E-F86B-493B-9FE9-A8C9EF58DD97}" name="CELL 6"/>
    <tableColumn id="8" xr3:uid="{A3B22AAB-F522-4787-A652-BFD3A4813CDA}" name="CELL 7"/>
    <tableColumn id="9" xr3:uid="{BDD9C29D-965E-4A8B-9C1C-9A81650C8680}" name="CELL 8"/>
    <tableColumn id="10" xr3:uid="{73B477C3-6629-414F-8FEE-4BE357EBC175}" name="TOTAL VOLTAGE"/>
    <tableColumn id="11" xr3:uid="{06C1F7C4-C48C-4FBC-B711-BA2FFEEA465C}" name="WORST " dataDxfId="0">
      <calculatedColumnFormula array="1">MAX(ABS(Table1[[#This Row],[CELL 1]:[TOTAL VOLTAGE]]))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44FE46-10E8-42ED-95DC-2E71368BB896}" name="Table13" displayName="Table13" ref="AG4:AH9" totalsRowShown="0">
  <autoFilter ref="AG4:AH9" xr:uid="{7244FE46-10E8-42ED-95DC-2E71368BB896}"/>
  <tableColumns count="2">
    <tableColumn id="1" xr3:uid="{57D13848-F0C5-42BA-B80B-B63C67112145}" name="REAL"/>
    <tableColumn id="2" xr3:uid="{36162F81-EAA9-4EAC-B049-D85A92E17560}" name="1">
      <calculatedColumnFormula array="1">MIN(ABS(AH11:AH49))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58"/>
  <sheetViews>
    <sheetView workbookViewId="0">
      <selection activeCell="S7" sqref="S7"/>
    </sheetView>
  </sheetViews>
  <sheetFormatPr defaultRowHeight="15" x14ac:dyDescent="0.25"/>
  <cols>
    <col min="1" max="9" width="9.140625" style="2"/>
    <col min="10" max="10" width="11.140625" style="2" bestFit="1" customWidth="1"/>
    <col min="11" max="16384" width="9.140625" style="2"/>
  </cols>
  <sheetData>
    <row r="1" spans="2:10" x14ac:dyDescent="0.25">
      <c r="B1" s="2" t="s">
        <v>0</v>
      </c>
      <c r="C1" s="2" t="s">
        <v>1</v>
      </c>
      <c r="D1" s="2" t="s">
        <v>2</v>
      </c>
    </row>
    <row r="2" spans="2:10" x14ac:dyDescent="0.25">
      <c r="B2" s="2" t="s">
        <v>3</v>
      </c>
      <c r="C2" s="2">
        <v>29.25</v>
      </c>
      <c r="D2" s="2">
        <v>31.5</v>
      </c>
    </row>
    <row r="3" spans="2:10" x14ac:dyDescent="0.25">
      <c r="B3" s="2" t="s">
        <v>4</v>
      </c>
      <c r="C3" s="2">
        <v>1.9930000000000001</v>
      </c>
      <c r="D3" s="18">
        <v>2.17</v>
      </c>
    </row>
    <row r="4" spans="2:10" x14ac:dyDescent="0.25">
      <c r="C4" s="19">
        <f>C2*C3</f>
        <v>58.295250000000003</v>
      </c>
      <c r="D4" s="2">
        <f>D2*D3</f>
        <v>68.355000000000004</v>
      </c>
    </row>
    <row r="5" spans="2:10" x14ac:dyDescent="0.25">
      <c r="I5" s="2" t="s">
        <v>5</v>
      </c>
      <c r="J5" s="2" t="s">
        <v>6</v>
      </c>
    </row>
    <row r="6" spans="2:10" x14ac:dyDescent="0.25">
      <c r="B6" s="2" t="s">
        <v>7</v>
      </c>
      <c r="C6" s="7">
        <f>C4/D4</f>
        <v>0.85283080974325209</v>
      </c>
      <c r="D6" s="2" cm="1">
        <f t="array" ref="D6">INDEX($C:$C,6+(ROW()-6)*8)</f>
        <v>0.85283080974325209</v>
      </c>
      <c r="I6" s="2">
        <v>8.7999999999999995E-2</v>
      </c>
      <c r="J6" s="4">
        <v>0.47599999999999998</v>
      </c>
    </row>
    <row r="7" spans="2:10" x14ac:dyDescent="0.25">
      <c r="I7" s="2">
        <v>0.192</v>
      </c>
      <c r="J7" s="4">
        <v>0.65900000000000003</v>
      </c>
    </row>
    <row r="8" spans="2:10" x14ac:dyDescent="0.25">
      <c r="I8" s="2">
        <v>0.29199999999999998</v>
      </c>
      <c r="J8" s="4">
        <v>0.71699999999999997</v>
      </c>
    </row>
    <row r="9" spans="2:10" x14ac:dyDescent="0.25">
      <c r="B9" s="2" t="s">
        <v>8</v>
      </c>
      <c r="C9" s="2" t="s">
        <v>1</v>
      </c>
      <c r="D9" s="2" t="s">
        <v>2</v>
      </c>
      <c r="I9" s="2">
        <v>0.39200000000000002</v>
      </c>
      <c r="J9" s="4">
        <v>0.75</v>
      </c>
    </row>
    <row r="10" spans="2:10" x14ac:dyDescent="0.25">
      <c r="B10" s="2" t="s">
        <v>3</v>
      </c>
      <c r="C10" s="2">
        <v>33.6</v>
      </c>
      <c r="D10" s="2">
        <v>31.5</v>
      </c>
      <c r="I10" s="2">
        <v>0.49199999999999999</v>
      </c>
      <c r="J10" s="4">
        <v>0.78300000000000003</v>
      </c>
    </row>
    <row r="11" spans="2:10" x14ac:dyDescent="0.25">
      <c r="B11" s="2" t="s">
        <v>4</v>
      </c>
      <c r="C11" s="2">
        <v>1.9</v>
      </c>
      <c r="D11" s="18">
        <v>2.38</v>
      </c>
      <c r="I11" s="2">
        <v>0.59199999999999997</v>
      </c>
      <c r="J11" s="4">
        <v>0.79600000000000004</v>
      </c>
    </row>
    <row r="12" spans="2:10" x14ac:dyDescent="0.25">
      <c r="C12" s="19">
        <f>C10*C11</f>
        <v>63.839999999999996</v>
      </c>
      <c r="D12" s="2">
        <f>D10*D11</f>
        <v>74.97</v>
      </c>
      <c r="I12" s="2">
        <v>0.69199999999999995</v>
      </c>
      <c r="J12" s="4">
        <v>0.80700000000000005</v>
      </c>
    </row>
    <row r="13" spans="2:10" x14ac:dyDescent="0.25">
      <c r="I13" s="2">
        <v>0.79200000000000004</v>
      </c>
      <c r="J13" s="4">
        <v>0.82299999999999995</v>
      </c>
    </row>
    <row r="14" spans="2:10" x14ac:dyDescent="0.25">
      <c r="B14" s="2" t="s">
        <v>7</v>
      </c>
      <c r="C14" s="7">
        <f>C12/D12</f>
        <v>0.85154061624649857</v>
      </c>
      <c r="I14" s="2">
        <v>0.89200000000000002</v>
      </c>
      <c r="J14" s="4">
        <v>0.82899999999999996</v>
      </c>
    </row>
    <row r="15" spans="2:10" x14ac:dyDescent="0.25">
      <c r="I15" s="2">
        <v>0.99199999999999999</v>
      </c>
      <c r="J15" s="4">
        <v>0.83</v>
      </c>
    </row>
    <row r="16" spans="2:10" x14ac:dyDescent="0.25">
      <c r="I16" s="2">
        <v>1.0920000000000001</v>
      </c>
      <c r="J16" s="4">
        <v>0.83399999999999996</v>
      </c>
    </row>
    <row r="17" spans="2:10" x14ac:dyDescent="0.25">
      <c r="B17" s="2" t="s">
        <v>9</v>
      </c>
      <c r="C17" s="2" t="s">
        <v>1</v>
      </c>
      <c r="D17" s="2" t="s">
        <v>2</v>
      </c>
      <c r="I17" s="2">
        <v>1.1919999999999999</v>
      </c>
      <c r="J17" s="4">
        <v>0.83499999999999996</v>
      </c>
    </row>
    <row r="18" spans="2:10" x14ac:dyDescent="0.25">
      <c r="B18" s="2" t="s">
        <v>3</v>
      </c>
      <c r="C18" s="2">
        <v>33.6</v>
      </c>
      <c r="D18" s="2">
        <v>31.5</v>
      </c>
      <c r="I18" s="2">
        <v>1.292</v>
      </c>
      <c r="J18" s="4">
        <v>0.83799999999999997</v>
      </c>
    </row>
    <row r="19" spans="2:10" x14ac:dyDescent="0.25">
      <c r="B19" s="2" t="s">
        <v>4</v>
      </c>
      <c r="C19" s="2">
        <v>1.7949999999999999</v>
      </c>
      <c r="D19" s="18">
        <v>2.25</v>
      </c>
      <c r="I19" s="2">
        <v>1.3919999999999999</v>
      </c>
      <c r="J19" s="4">
        <v>0.83799999999999997</v>
      </c>
    </row>
    <row r="20" spans="2:10" x14ac:dyDescent="0.25">
      <c r="C20" s="19">
        <f>C18*C19</f>
        <v>60.311999999999998</v>
      </c>
      <c r="D20" s="2">
        <f>D18*D19</f>
        <v>70.875</v>
      </c>
      <c r="I20" s="2">
        <v>1.492</v>
      </c>
      <c r="J20" s="4">
        <v>0.84199999999999997</v>
      </c>
    </row>
    <row r="21" spans="2:10" x14ac:dyDescent="0.25">
      <c r="I21" s="2">
        <v>1.5920000000000001</v>
      </c>
      <c r="J21" s="4">
        <v>0.84199999999999997</v>
      </c>
    </row>
    <row r="22" spans="2:10" x14ac:dyDescent="0.25">
      <c r="B22" s="2" t="s">
        <v>7</v>
      </c>
      <c r="C22" s="7">
        <f>C20/D20</f>
        <v>0.85096296296296292</v>
      </c>
      <c r="I22" s="2">
        <v>1.6919999999999999</v>
      </c>
      <c r="J22" s="4">
        <v>0.84499999999999997</v>
      </c>
    </row>
    <row r="23" spans="2:10" x14ac:dyDescent="0.25">
      <c r="I23" s="2">
        <v>1.7949999999999999</v>
      </c>
      <c r="J23" s="4">
        <v>0.85099999999999998</v>
      </c>
    </row>
    <row r="24" spans="2:10" x14ac:dyDescent="0.25">
      <c r="I24" s="2">
        <v>1.9</v>
      </c>
      <c r="J24" s="4">
        <v>0.85199999999999998</v>
      </c>
    </row>
    <row r="25" spans="2:10" x14ac:dyDescent="0.25">
      <c r="B25" s="2" t="s">
        <v>10</v>
      </c>
      <c r="C25" s="2" t="s">
        <v>1</v>
      </c>
      <c r="D25" s="2" t="s">
        <v>2</v>
      </c>
      <c r="I25" s="2">
        <v>2</v>
      </c>
      <c r="J25" s="4">
        <v>0.85299999999999998</v>
      </c>
    </row>
    <row r="26" spans="2:10" x14ac:dyDescent="0.25">
      <c r="B26" s="2" t="s">
        <v>3</v>
      </c>
      <c r="C26" s="2">
        <v>33.21</v>
      </c>
      <c r="D26" s="2">
        <v>31.5</v>
      </c>
    </row>
    <row r="27" spans="2:10" x14ac:dyDescent="0.25">
      <c r="B27" s="2" t="s">
        <v>4</v>
      </c>
      <c r="C27" s="2">
        <v>1.6919999999999999</v>
      </c>
      <c r="D27" s="18">
        <v>2.11</v>
      </c>
    </row>
    <row r="28" spans="2:10" x14ac:dyDescent="0.25">
      <c r="C28" s="19">
        <f>C26*C27</f>
        <v>56.191319999999997</v>
      </c>
      <c r="D28" s="2">
        <f>D26*D27</f>
        <v>66.464999999999989</v>
      </c>
    </row>
    <row r="30" spans="2:10" x14ac:dyDescent="0.25">
      <c r="B30" s="2" t="s">
        <v>7</v>
      </c>
      <c r="C30" s="7">
        <f>C28/D28</f>
        <v>0.84542721733243065</v>
      </c>
    </row>
    <row r="33" spans="2:4" x14ac:dyDescent="0.25">
      <c r="B33" s="2" t="s">
        <v>11</v>
      </c>
      <c r="C33" s="2" t="s">
        <v>1</v>
      </c>
      <c r="D33" s="2" t="s">
        <v>2</v>
      </c>
    </row>
    <row r="34" spans="2:4" x14ac:dyDescent="0.25">
      <c r="B34" s="2" t="s">
        <v>3</v>
      </c>
      <c r="C34" s="2">
        <v>33.159999999999997</v>
      </c>
      <c r="D34" s="2">
        <v>31.5</v>
      </c>
    </row>
    <row r="35" spans="2:4" x14ac:dyDescent="0.25">
      <c r="B35" s="2" t="s">
        <v>4</v>
      </c>
      <c r="C35" s="2">
        <v>1.5920000000000001</v>
      </c>
      <c r="D35" s="18">
        <v>1.99</v>
      </c>
    </row>
    <row r="36" spans="2:4" x14ac:dyDescent="0.25">
      <c r="C36" s="19">
        <f>C34*C35</f>
        <v>52.79072</v>
      </c>
      <c r="D36" s="2">
        <f>D34*D35</f>
        <v>62.685000000000002</v>
      </c>
    </row>
    <row r="38" spans="2:4" x14ac:dyDescent="0.25">
      <c r="B38" s="2" t="s">
        <v>7</v>
      </c>
      <c r="C38" s="7">
        <f>C36/D36</f>
        <v>0.84215873015873011</v>
      </c>
    </row>
    <row r="41" spans="2:4" x14ac:dyDescent="0.25">
      <c r="B41" s="2" t="s">
        <v>12</v>
      </c>
      <c r="C41" s="2" t="s">
        <v>1</v>
      </c>
      <c r="D41" s="2" t="s">
        <v>2</v>
      </c>
    </row>
    <row r="42" spans="2:4" x14ac:dyDescent="0.25">
      <c r="B42" s="2" t="s">
        <v>3</v>
      </c>
      <c r="C42" s="2">
        <v>33.1</v>
      </c>
      <c r="D42" s="2">
        <v>31.5</v>
      </c>
    </row>
    <row r="43" spans="2:4" x14ac:dyDescent="0.25">
      <c r="B43" s="2" t="s">
        <v>4</v>
      </c>
      <c r="C43" s="2">
        <v>1.492</v>
      </c>
      <c r="D43" s="18">
        <v>1.87</v>
      </c>
    </row>
    <row r="44" spans="2:4" x14ac:dyDescent="0.25">
      <c r="C44" s="19">
        <f>C42*C43</f>
        <v>49.385200000000005</v>
      </c>
      <c r="D44" s="2">
        <f>D42*D43</f>
        <v>58.905000000000001</v>
      </c>
    </row>
    <row r="46" spans="2:4" x14ac:dyDescent="0.25">
      <c r="B46" s="2" t="s">
        <v>7</v>
      </c>
      <c r="C46" s="7">
        <f>C44/D44</f>
        <v>0.83838723368135137</v>
      </c>
    </row>
    <row r="49" spans="2:4" x14ac:dyDescent="0.25">
      <c r="B49" s="2" t="s">
        <v>13</v>
      </c>
      <c r="C49" s="2" t="s">
        <v>1</v>
      </c>
      <c r="D49" s="2" t="s">
        <v>2</v>
      </c>
    </row>
    <row r="50" spans="2:4" x14ac:dyDescent="0.25">
      <c r="B50" s="2" t="s">
        <v>3</v>
      </c>
      <c r="C50" s="2">
        <v>33.049999999999997</v>
      </c>
      <c r="D50" s="2">
        <v>31.5</v>
      </c>
    </row>
    <row r="51" spans="2:4" x14ac:dyDescent="0.25">
      <c r="B51" s="2" t="s">
        <v>4</v>
      </c>
      <c r="C51" s="2">
        <v>1.3919999999999999</v>
      </c>
      <c r="D51" s="18">
        <v>1.75</v>
      </c>
    </row>
    <row r="52" spans="2:4" x14ac:dyDescent="0.25">
      <c r="C52" s="19">
        <f>C50*C51</f>
        <v>46.005599999999994</v>
      </c>
      <c r="D52" s="2">
        <f>D50*D51</f>
        <v>55.125</v>
      </c>
    </row>
    <row r="54" spans="2:4" x14ac:dyDescent="0.25">
      <c r="B54" s="2" t="s">
        <v>7</v>
      </c>
      <c r="C54" s="7">
        <f>C52/D52</f>
        <v>0.83456870748299306</v>
      </c>
    </row>
    <row r="57" spans="2:4" x14ac:dyDescent="0.25">
      <c r="B57" s="2" t="s">
        <v>14</v>
      </c>
      <c r="C57" s="2" t="s">
        <v>1</v>
      </c>
      <c r="D57" s="2" t="s">
        <v>2</v>
      </c>
    </row>
    <row r="58" spans="2:4" x14ac:dyDescent="0.25">
      <c r="B58" s="2" t="s">
        <v>3</v>
      </c>
      <c r="C58" s="2">
        <v>32.99</v>
      </c>
      <c r="D58" s="2">
        <v>31.5</v>
      </c>
    </row>
    <row r="59" spans="2:4" x14ac:dyDescent="0.25">
      <c r="B59" s="2" t="s">
        <v>4</v>
      </c>
      <c r="C59" s="2">
        <v>1.292</v>
      </c>
      <c r="D59" s="18">
        <v>1.63</v>
      </c>
    </row>
    <row r="60" spans="2:4" x14ac:dyDescent="0.25">
      <c r="C60" s="19">
        <f>C58*C59</f>
        <v>42.623080000000002</v>
      </c>
      <c r="D60" s="2">
        <f>D58*D59</f>
        <v>51.344999999999999</v>
      </c>
    </row>
    <row r="62" spans="2:4" x14ac:dyDescent="0.25">
      <c r="B62" s="2" t="s">
        <v>7</v>
      </c>
      <c r="C62" s="7">
        <f>C60/D60</f>
        <v>0.83013107410653431</v>
      </c>
    </row>
    <row r="65" spans="2:4" x14ac:dyDescent="0.25">
      <c r="B65" s="2" t="s">
        <v>15</v>
      </c>
      <c r="C65" s="2" t="s">
        <v>1</v>
      </c>
      <c r="D65" s="2" t="s">
        <v>2</v>
      </c>
    </row>
    <row r="66" spans="2:4" x14ac:dyDescent="0.25">
      <c r="B66" s="2" t="s">
        <v>3</v>
      </c>
      <c r="C66" s="2">
        <v>32.94</v>
      </c>
      <c r="D66" s="2">
        <v>31.5</v>
      </c>
    </row>
    <row r="67" spans="2:4" x14ac:dyDescent="0.25">
      <c r="B67" s="2" t="s">
        <v>4</v>
      </c>
      <c r="C67" s="2">
        <v>1.1919999999999999</v>
      </c>
      <c r="D67" s="18">
        <v>1.48</v>
      </c>
    </row>
    <row r="68" spans="2:4" x14ac:dyDescent="0.25">
      <c r="C68" s="19">
        <f>C66*C67</f>
        <v>39.264479999999999</v>
      </c>
      <c r="D68" s="2">
        <f>D66*D67</f>
        <v>46.62</v>
      </c>
    </row>
    <row r="70" spans="2:4" x14ac:dyDescent="0.25">
      <c r="B70" s="2" t="s">
        <v>7</v>
      </c>
      <c r="C70" s="7">
        <f>C68/D68</f>
        <v>0.84222393822393826</v>
      </c>
    </row>
    <row r="73" spans="2:4" x14ac:dyDescent="0.25">
      <c r="B73" s="2" t="s">
        <v>16</v>
      </c>
      <c r="C73" s="2" t="s">
        <v>1</v>
      </c>
      <c r="D73" s="2" t="s">
        <v>2</v>
      </c>
    </row>
    <row r="74" spans="2:4" x14ac:dyDescent="0.25">
      <c r="B74" s="2" t="s">
        <v>3</v>
      </c>
      <c r="C74" s="2">
        <v>32.89</v>
      </c>
      <c r="D74" s="2">
        <v>31.5</v>
      </c>
    </row>
    <row r="75" spans="2:4" x14ac:dyDescent="0.25">
      <c r="B75" s="2" t="s">
        <v>4</v>
      </c>
      <c r="C75" s="2">
        <v>1.0920000000000001</v>
      </c>
      <c r="D75" s="18">
        <v>1.36</v>
      </c>
    </row>
    <row r="76" spans="2:4" x14ac:dyDescent="0.25">
      <c r="C76" s="19">
        <f>C74*C75</f>
        <v>35.915880000000001</v>
      </c>
      <c r="D76" s="2">
        <f>D74*D75</f>
        <v>42.84</v>
      </c>
    </row>
    <row r="78" spans="2:4" x14ac:dyDescent="0.25">
      <c r="B78" s="2" t="s">
        <v>7</v>
      </c>
      <c r="C78" s="7">
        <f>C76/D76</f>
        <v>0.83837254901960778</v>
      </c>
    </row>
    <row r="81" spans="2:4" x14ac:dyDescent="0.25">
      <c r="B81" s="2" t="s">
        <v>17</v>
      </c>
      <c r="C81" s="2" t="s">
        <v>1</v>
      </c>
      <c r="D81" s="2" t="s">
        <v>2</v>
      </c>
    </row>
    <row r="82" spans="2:4" x14ac:dyDescent="0.25">
      <c r="B82" s="2" t="s">
        <v>3</v>
      </c>
      <c r="C82" s="2">
        <v>32.840000000000003</v>
      </c>
      <c r="D82" s="2">
        <v>31.5</v>
      </c>
    </row>
    <row r="83" spans="2:4" x14ac:dyDescent="0.25">
      <c r="B83" s="2" t="s">
        <v>4</v>
      </c>
      <c r="C83" s="2">
        <v>0.99199999999999999</v>
      </c>
      <c r="D83" s="18">
        <v>1.24</v>
      </c>
    </row>
    <row r="84" spans="2:4" x14ac:dyDescent="0.25">
      <c r="C84" s="19">
        <f>C82*C83</f>
        <v>32.577280000000002</v>
      </c>
      <c r="D84" s="2">
        <f>D82*D83</f>
        <v>39.06</v>
      </c>
    </row>
    <row r="86" spans="2:4" x14ac:dyDescent="0.25">
      <c r="B86" s="2" t="s">
        <v>7</v>
      </c>
      <c r="C86" s="7">
        <f>C84/D84</f>
        <v>0.83403174603174601</v>
      </c>
    </row>
    <row r="89" spans="2:4" x14ac:dyDescent="0.25">
      <c r="B89" s="2" t="s">
        <v>18</v>
      </c>
      <c r="C89" s="2" t="s">
        <v>1</v>
      </c>
      <c r="D89" s="2" t="s">
        <v>2</v>
      </c>
    </row>
    <row r="90" spans="2:4" x14ac:dyDescent="0.25">
      <c r="B90" s="2" t="s">
        <v>3</v>
      </c>
      <c r="C90" s="2">
        <v>32.78</v>
      </c>
      <c r="D90" s="2">
        <v>31.5</v>
      </c>
    </row>
    <row r="91" spans="2:4" x14ac:dyDescent="0.25">
      <c r="B91" s="2" t="s">
        <v>4</v>
      </c>
      <c r="C91" s="2">
        <v>0.89200000000000002</v>
      </c>
      <c r="D91" s="18">
        <v>1.1200000000000001</v>
      </c>
    </row>
    <row r="92" spans="2:4" x14ac:dyDescent="0.25">
      <c r="C92" s="19">
        <f>C90*C91</f>
        <v>29.23976</v>
      </c>
      <c r="D92" s="2">
        <f>D90*D91</f>
        <v>35.28</v>
      </c>
    </row>
    <row r="94" spans="2:4" x14ac:dyDescent="0.25">
      <c r="B94" s="2" t="s">
        <v>7</v>
      </c>
      <c r="C94" s="7">
        <f>C92/D92</f>
        <v>0.8287913832199546</v>
      </c>
    </row>
    <row r="97" spans="2:4" x14ac:dyDescent="0.25">
      <c r="B97" s="2" t="s">
        <v>19</v>
      </c>
      <c r="C97" s="2" t="s">
        <v>1</v>
      </c>
      <c r="D97" s="2" t="s">
        <v>2</v>
      </c>
    </row>
    <row r="98" spans="2:4" x14ac:dyDescent="0.25">
      <c r="B98" s="2" t="s">
        <v>3</v>
      </c>
      <c r="C98" s="2">
        <v>32.729999999999997</v>
      </c>
      <c r="D98" s="2">
        <v>31.5</v>
      </c>
    </row>
    <row r="99" spans="2:4" x14ac:dyDescent="0.25">
      <c r="B99" s="2" t="s">
        <v>4</v>
      </c>
      <c r="C99" s="2">
        <v>0.79200000000000004</v>
      </c>
      <c r="D99" s="18">
        <v>1</v>
      </c>
    </row>
    <row r="100" spans="2:4" x14ac:dyDescent="0.25">
      <c r="C100" s="19">
        <f>C98*C99</f>
        <v>25.922159999999998</v>
      </c>
      <c r="D100" s="2">
        <f>D98*D99</f>
        <v>31.5</v>
      </c>
    </row>
    <row r="102" spans="2:4" x14ac:dyDescent="0.25">
      <c r="B102" s="2" t="s">
        <v>7</v>
      </c>
      <c r="C102" s="7">
        <f>C100/D100</f>
        <v>0.82292571428571426</v>
      </c>
    </row>
    <row r="105" spans="2:4" x14ac:dyDescent="0.25">
      <c r="B105" s="2" t="s">
        <v>20</v>
      </c>
      <c r="C105" s="2" t="s">
        <v>1</v>
      </c>
      <c r="D105" s="2" t="s">
        <v>2</v>
      </c>
    </row>
    <row r="106" spans="2:4" x14ac:dyDescent="0.25">
      <c r="B106" s="2" t="s">
        <v>3</v>
      </c>
      <c r="C106" s="2">
        <v>32.68</v>
      </c>
      <c r="D106" s="2">
        <v>31.5</v>
      </c>
    </row>
    <row r="107" spans="2:4" x14ac:dyDescent="0.25">
      <c r="B107" s="2" t="s">
        <v>4</v>
      </c>
      <c r="C107" s="2">
        <v>0.69199999999999995</v>
      </c>
      <c r="D107" s="18">
        <v>0.89</v>
      </c>
    </row>
    <row r="108" spans="2:4" x14ac:dyDescent="0.25">
      <c r="C108" s="19">
        <f>C106*C107</f>
        <v>22.614559999999997</v>
      </c>
      <c r="D108" s="2">
        <f>D106*D107</f>
        <v>28.035</v>
      </c>
    </row>
    <row r="110" spans="2:4" x14ac:dyDescent="0.25">
      <c r="B110" s="2" t="s">
        <v>7</v>
      </c>
      <c r="C110" s="7">
        <f>C108/D108</f>
        <v>0.80665453896914563</v>
      </c>
    </row>
    <row r="113" spans="2:4" x14ac:dyDescent="0.25">
      <c r="B113" s="2" t="s">
        <v>21</v>
      </c>
      <c r="C113" s="2" t="s">
        <v>1</v>
      </c>
      <c r="D113" s="2" t="s">
        <v>2</v>
      </c>
    </row>
    <row r="114" spans="2:4" x14ac:dyDescent="0.25">
      <c r="B114" s="2" t="s">
        <v>3</v>
      </c>
      <c r="C114" s="2">
        <v>32.630000000000003</v>
      </c>
      <c r="D114" s="2">
        <v>31.5</v>
      </c>
    </row>
    <row r="115" spans="2:4" x14ac:dyDescent="0.25">
      <c r="B115" s="2" t="s">
        <v>4</v>
      </c>
      <c r="C115" s="2">
        <v>0.59199999999999997</v>
      </c>
      <c r="D115" s="18">
        <v>0.77</v>
      </c>
    </row>
    <row r="116" spans="2:4" x14ac:dyDescent="0.25">
      <c r="C116" s="19">
        <f>C114*C115</f>
        <v>19.316960000000002</v>
      </c>
      <c r="D116" s="2">
        <f>D114*D115</f>
        <v>24.254999999999999</v>
      </c>
    </row>
    <row r="118" spans="2:4" x14ac:dyDescent="0.25">
      <c r="B118" s="2" t="s">
        <v>7</v>
      </c>
      <c r="C118" s="7">
        <f>C116/D116</f>
        <v>0.79641146155431874</v>
      </c>
    </row>
    <row r="121" spans="2:4" x14ac:dyDescent="0.25">
      <c r="B121" s="2" t="s">
        <v>22</v>
      </c>
      <c r="C121" s="2" t="s">
        <v>1</v>
      </c>
      <c r="D121" s="2" t="s">
        <v>2</v>
      </c>
    </row>
    <row r="122" spans="2:4" x14ac:dyDescent="0.25">
      <c r="B122" s="2" t="s">
        <v>3</v>
      </c>
      <c r="C122" s="2">
        <v>32.590000000000003</v>
      </c>
      <c r="D122" s="2">
        <v>31.5</v>
      </c>
    </row>
    <row r="123" spans="2:4" x14ac:dyDescent="0.25">
      <c r="B123" s="2" t="s">
        <v>4</v>
      </c>
      <c r="C123" s="2">
        <v>0.49199999999999999</v>
      </c>
      <c r="D123" s="18">
        <v>0.65</v>
      </c>
    </row>
    <row r="124" spans="2:4" x14ac:dyDescent="0.25">
      <c r="C124" s="19">
        <f>C122*C123</f>
        <v>16.034280000000003</v>
      </c>
      <c r="D124" s="2">
        <f>D122*D123</f>
        <v>20.475000000000001</v>
      </c>
    </row>
    <row r="126" spans="2:4" x14ac:dyDescent="0.25">
      <c r="B126" s="2" t="s">
        <v>7</v>
      </c>
      <c r="C126" s="7">
        <f>C124/D124</f>
        <v>0.7831150183150184</v>
      </c>
    </row>
    <row r="129" spans="2:4" x14ac:dyDescent="0.25">
      <c r="B129" s="2" t="s">
        <v>23</v>
      </c>
      <c r="C129" s="2" t="s">
        <v>1</v>
      </c>
      <c r="D129" s="2" t="s">
        <v>2</v>
      </c>
    </row>
    <row r="130" spans="2:4" x14ac:dyDescent="0.25">
      <c r="B130" s="2" t="s">
        <v>3</v>
      </c>
      <c r="C130" s="2">
        <v>32.54</v>
      </c>
      <c r="D130" s="2">
        <v>31.5</v>
      </c>
    </row>
    <row r="131" spans="2:4" x14ac:dyDescent="0.25">
      <c r="B131" s="2" t="s">
        <v>4</v>
      </c>
      <c r="C131" s="2">
        <v>0.39200000000000002</v>
      </c>
      <c r="D131" s="18">
        <v>0.54</v>
      </c>
    </row>
    <row r="132" spans="2:4" x14ac:dyDescent="0.25">
      <c r="C132" s="19">
        <f>C130*C131</f>
        <v>12.75568</v>
      </c>
      <c r="D132" s="2">
        <f>D130*D131</f>
        <v>17.010000000000002</v>
      </c>
    </row>
    <row r="134" spans="2:4" x14ac:dyDescent="0.25">
      <c r="B134" s="2" t="s">
        <v>7</v>
      </c>
      <c r="C134" s="7">
        <f>C132/D132</f>
        <v>0.7498930041152263</v>
      </c>
    </row>
    <row r="137" spans="2:4" x14ac:dyDescent="0.25">
      <c r="B137" s="2" t="s">
        <v>24</v>
      </c>
      <c r="C137" s="2" t="s">
        <v>1</v>
      </c>
      <c r="D137" s="2" t="s">
        <v>2</v>
      </c>
    </row>
    <row r="138" spans="2:4" x14ac:dyDescent="0.25">
      <c r="B138" s="2" t="s">
        <v>3</v>
      </c>
      <c r="C138" s="2">
        <v>32.49</v>
      </c>
      <c r="D138" s="2">
        <v>31.5</v>
      </c>
    </row>
    <row r="139" spans="2:4" x14ac:dyDescent="0.25">
      <c r="B139" s="2" t="s">
        <v>4</v>
      </c>
      <c r="C139" s="2">
        <v>0.29199999999999998</v>
      </c>
      <c r="D139" s="18">
        <v>0.42</v>
      </c>
    </row>
    <row r="140" spans="2:4" x14ac:dyDescent="0.25">
      <c r="C140" s="19">
        <f>C138*C139</f>
        <v>9.4870800000000006</v>
      </c>
      <c r="D140" s="2">
        <f>D138*D139</f>
        <v>13.229999999999999</v>
      </c>
    </row>
    <row r="142" spans="2:4" x14ac:dyDescent="0.25">
      <c r="B142" s="2" t="s">
        <v>7</v>
      </c>
      <c r="C142" s="7">
        <f>C140/D140</f>
        <v>0.71708843537414979</v>
      </c>
    </row>
    <row r="145" spans="2:4" x14ac:dyDescent="0.25">
      <c r="B145" s="2" t="s">
        <v>25</v>
      </c>
      <c r="C145" s="2" t="s">
        <v>1</v>
      </c>
      <c r="D145" s="2" t="s">
        <v>2</v>
      </c>
    </row>
    <row r="146" spans="2:4" x14ac:dyDescent="0.25">
      <c r="B146" s="2" t="s">
        <v>3</v>
      </c>
      <c r="C146" s="2">
        <v>32.450000000000003</v>
      </c>
      <c r="D146" s="2">
        <v>31.5</v>
      </c>
    </row>
    <row r="147" spans="2:4" x14ac:dyDescent="0.25">
      <c r="B147" s="2" t="s">
        <v>4</v>
      </c>
      <c r="C147" s="2">
        <v>0.192</v>
      </c>
      <c r="D147" s="18">
        <v>0.3</v>
      </c>
    </row>
    <row r="148" spans="2:4" x14ac:dyDescent="0.25">
      <c r="C148" s="19">
        <f>C146*C147</f>
        <v>6.2304000000000004</v>
      </c>
      <c r="D148" s="2">
        <f>D146*D147</f>
        <v>9.4499999999999993</v>
      </c>
    </row>
    <row r="150" spans="2:4" x14ac:dyDescent="0.25">
      <c r="B150" s="2" t="s">
        <v>7</v>
      </c>
      <c r="C150" s="7">
        <f>C148/D148</f>
        <v>0.65930158730158739</v>
      </c>
    </row>
    <row r="153" spans="2:4" x14ac:dyDescent="0.25">
      <c r="B153" s="2" t="s">
        <v>26</v>
      </c>
      <c r="C153" s="2" t="s">
        <v>1</v>
      </c>
      <c r="D153" s="2" t="s">
        <v>2</v>
      </c>
    </row>
    <row r="154" spans="2:4" x14ac:dyDescent="0.25">
      <c r="B154" s="2" t="s">
        <v>3</v>
      </c>
      <c r="C154" s="2">
        <v>32.4</v>
      </c>
      <c r="D154" s="2">
        <v>31.5</v>
      </c>
    </row>
    <row r="155" spans="2:4" x14ac:dyDescent="0.25">
      <c r="B155" s="2" t="s">
        <v>4</v>
      </c>
      <c r="C155" s="2">
        <v>8.7999999999999995E-2</v>
      </c>
      <c r="D155" s="18">
        <v>0.19</v>
      </c>
    </row>
    <row r="156" spans="2:4" x14ac:dyDescent="0.25">
      <c r="C156" s="19">
        <f>C154*C155</f>
        <v>2.8511999999999995</v>
      </c>
      <c r="D156" s="2">
        <f>D154*D155</f>
        <v>5.9850000000000003</v>
      </c>
    </row>
    <row r="158" spans="2:4" x14ac:dyDescent="0.25">
      <c r="B158" s="2" t="s">
        <v>7</v>
      </c>
      <c r="C158" s="7">
        <f>C156/D156</f>
        <v>0.47639097744360892</v>
      </c>
    </row>
  </sheetData>
  <sortState xmlns:xlrd2="http://schemas.microsoft.com/office/spreadsheetml/2017/richdata2" ref="I6:I25">
    <sortCondition ref="I6:I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9B04-ADC1-4C90-9B6D-8D8E922944FB}">
  <dimension ref="A3:T1818"/>
  <sheetViews>
    <sheetView tabSelected="1" topLeftCell="B30" zoomScale="85" zoomScaleNormal="85" workbookViewId="0">
      <selection activeCell="O53" sqref="O53"/>
    </sheetView>
  </sheetViews>
  <sheetFormatPr defaultRowHeight="15" x14ac:dyDescent="0.25"/>
  <cols>
    <col min="1" max="1" width="9.140625" style="2"/>
    <col min="2" max="2" width="20" style="2" bestFit="1" customWidth="1"/>
    <col min="3" max="3" width="10.42578125" style="19" bestFit="1" customWidth="1"/>
    <col min="4" max="4" width="9.7109375" style="2" customWidth="1"/>
    <col min="5" max="5" width="18.28515625" style="2" bestFit="1" customWidth="1"/>
    <col min="6" max="6" width="9.140625" style="2"/>
    <col min="7" max="7" width="12.28515625" style="2" bestFit="1" customWidth="1"/>
    <col min="8" max="8" width="9.140625" style="2"/>
    <col min="9" max="9" width="11.5703125" style="2" bestFit="1" customWidth="1"/>
    <col min="10" max="10" width="9.140625" style="3"/>
    <col min="11" max="11" width="9.140625" style="19"/>
    <col min="12" max="12" width="15.28515625" style="21" bestFit="1" customWidth="1"/>
    <col min="13" max="13" width="9.28515625" style="19" bestFit="1" customWidth="1"/>
    <col min="14" max="14" width="11.28515625" style="2" bestFit="1" customWidth="1"/>
    <col min="15" max="16" width="9.140625" style="2"/>
    <col min="17" max="17" width="17.42578125" style="2" bestFit="1" customWidth="1"/>
    <col min="18" max="18" width="18.28515625" style="2" bestFit="1" customWidth="1"/>
    <col min="19" max="19" width="15.28515625" style="2" bestFit="1" customWidth="1"/>
    <col min="20" max="22" width="9.140625" style="2"/>
    <col min="23" max="23" width="9.42578125" style="2" bestFit="1" customWidth="1"/>
    <col min="24" max="16384" width="9.140625" style="2"/>
  </cols>
  <sheetData>
    <row r="3" spans="1:20" x14ac:dyDescent="0.25">
      <c r="E3" s="2" t="s">
        <v>27</v>
      </c>
    </row>
    <row r="4" spans="1:20" x14ac:dyDescent="0.25">
      <c r="D4" s="2" t="s">
        <v>28</v>
      </c>
      <c r="E4" s="21">
        <f>E8+E8*(1-0.884)+E8*(0.09)</f>
        <v>5255.7480000000005</v>
      </c>
      <c r="F4" s="2" t="s">
        <v>29</v>
      </c>
      <c r="Q4" s="2" t="s">
        <v>30</v>
      </c>
      <c r="R4" s="2" t="s">
        <v>31</v>
      </c>
      <c r="S4" s="2" t="s">
        <v>32</v>
      </c>
      <c r="T4" s="21">
        <f>E4</f>
        <v>5255.7480000000005</v>
      </c>
    </row>
    <row r="5" spans="1:20" x14ac:dyDescent="0.25">
      <c r="D5" s="2" t="s">
        <v>33</v>
      </c>
      <c r="E5" s="21">
        <f>E9+E9*(1-0.884)+E9*(0.09)</f>
        <v>5103.7634077499943</v>
      </c>
      <c r="F5" s="2" t="s">
        <v>29</v>
      </c>
      <c r="Q5" s="2" t="s">
        <v>34</v>
      </c>
      <c r="R5" s="4">
        <v>0.89500000000000002</v>
      </c>
      <c r="S5" s="21">
        <f>R5*T4</f>
        <v>4703.8944600000004</v>
      </c>
    </row>
    <row r="6" spans="1:20" x14ac:dyDescent="0.25">
      <c r="Q6" s="2" t="s">
        <v>35</v>
      </c>
      <c r="R6" s="4">
        <v>0.88400000000000001</v>
      </c>
      <c r="S6" s="21">
        <f>R6*T4</f>
        <v>4646.0812320000005</v>
      </c>
    </row>
    <row r="7" spans="1:20" x14ac:dyDescent="0.25">
      <c r="E7" s="2" t="s">
        <v>36</v>
      </c>
      <c r="F7" s="5"/>
    </row>
    <row r="8" spans="1:20" x14ac:dyDescent="0.25">
      <c r="D8" s="2" t="s">
        <v>28</v>
      </c>
      <c r="E8" s="2">
        <v>4358</v>
      </c>
      <c r="F8" s="2" t="s">
        <v>29</v>
      </c>
      <c r="H8" s="2" t="s">
        <v>71</v>
      </c>
      <c r="I8" s="2" t="s">
        <v>38</v>
      </c>
      <c r="J8" s="3" t="s">
        <v>31</v>
      </c>
      <c r="K8" s="19" t="s">
        <v>39</v>
      </c>
      <c r="L8" s="21" t="s">
        <v>40</v>
      </c>
      <c r="M8" s="19" t="s">
        <v>41</v>
      </c>
      <c r="N8" s="2" t="s">
        <v>42</v>
      </c>
    </row>
    <row r="9" spans="1:20" x14ac:dyDescent="0.25">
      <c r="D9" s="2" t="s">
        <v>33</v>
      </c>
      <c r="E9" s="21">
        <f>L524-L13</f>
        <v>4231.9762916666614</v>
      </c>
      <c r="F9" s="2" t="s">
        <v>29</v>
      </c>
    </row>
    <row r="13" spans="1:20" x14ac:dyDescent="0.25">
      <c r="A13" s="2" t="s">
        <v>37</v>
      </c>
      <c r="B13" s="2" t="s">
        <v>72</v>
      </c>
      <c r="C13" s="19" t="s">
        <v>43</v>
      </c>
      <c r="H13" s="2">
        <v>0</v>
      </c>
      <c r="I13" s="2" t="str">
        <f>TEXT(H13/86400,"hh:mm")</f>
        <v>00:00</v>
      </c>
      <c r="J13" s="3">
        <v>0.09</v>
      </c>
      <c r="K13" s="19">
        <v>27.19</v>
      </c>
      <c r="L13" s="21">
        <f>J13*E4</f>
        <v>473.01732000000004</v>
      </c>
      <c r="M13" s="19">
        <v>0</v>
      </c>
      <c r="N13" s="2">
        <v>21.4</v>
      </c>
    </row>
    <row r="14" spans="1:20" x14ac:dyDescent="0.25">
      <c r="A14" s="2">
        <v>612368</v>
      </c>
      <c r="B14" s="2">
        <f>1.15</f>
        <v>1.1499999999999999</v>
      </c>
      <c r="C14" s="19">
        <f>M14*(H14-H13)</f>
        <v>18.75</v>
      </c>
      <c r="H14" s="2">
        <f>(A14/1000-612.368)+15</f>
        <v>15</v>
      </c>
      <c r="I14" s="2" t="str">
        <f t="shared" ref="I14:I77" si="0">TEXT(H14/86400,"hh:mm")</f>
        <v>00:00</v>
      </c>
      <c r="J14" s="3">
        <f>L14/5256</f>
        <v>9.0986615930999493E-2</v>
      </c>
      <c r="K14" s="19">
        <v>28.207999999999998</v>
      </c>
      <c r="L14" s="21">
        <f>L13+C14*1000/(60*60)</f>
        <v>478.22565333333336</v>
      </c>
      <c r="M14" s="19">
        <f t="shared" ref="M14:M77" si="1">B14+0.1</f>
        <v>1.25</v>
      </c>
      <c r="N14" s="2">
        <v>21.4</v>
      </c>
    </row>
    <row r="15" spans="1:20" x14ac:dyDescent="0.25">
      <c r="A15" s="2">
        <v>627451</v>
      </c>
      <c r="B15" s="2">
        <v>1.3</v>
      </c>
      <c r="C15" s="19">
        <f t="shared" ref="C15:C78" si="2">M15*(H15-H14)</f>
        <v>21.11619999999996</v>
      </c>
      <c r="H15" s="2">
        <f t="shared" ref="H15:H78" si="3">(A15/1000-612.368)+15</f>
        <v>30.08299999999997</v>
      </c>
      <c r="I15" s="2" t="str">
        <f t="shared" si="0"/>
        <v>00:00</v>
      </c>
      <c r="J15" s="3">
        <f t="shared" ref="J15:J78" si="4">L15/5256</f>
        <v>9.2102599780145442E-2</v>
      </c>
      <c r="K15" s="19">
        <v>28.361999999999998</v>
      </c>
      <c r="L15" s="21">
        <f>C15*1000/(60*60) + L14</f>
        <v>484.09126444444445</v>
      </c>
      <c r="M15" s="19">
        <f t="shared" si="1"/>
        <v>1.4000000000000001</v>
      </c>
      <c r="N15" s="2">
        <v>21.4</v>
      </c>
    </row>
    <row r="16" spans="1:20" x14ac:dyDescent="0.25">
      <c r="A16" s="2">
        <v>642533</v>
      </c>
      <c r="B16" s="2">
        <v>1.51</v>
      </c>
      <c r="C16" s="19">
        <f t="shared" si="2"/>
        <v>24.282019999999992</v>
      </c>
      <c r="H16" s="2">
        <f t="shared" si="3"/>
        <v>45.164999999999964</v>
      </c>
      <c r="I16" s="2" t="str">
        <f t="shared" si="0"/>
        <v>00:00</v>
      </c>
      <c r="J16" s="3">
        <f t="shared" si="4"/>
        <v>9.3385896118721459E-2</v>
      </c>
      <c r="K16" s="19">
        <v>28.518000000000001</v>
      </c>
      <c r="L16" s="21">
        <f t="shared" ref="L16:L79" si="5">C16*1000/(60*60) + L15</f>
        <v>490.83627000000001</v>
      </c>
      <c r="M16" s="19">
        <f t="shared" si="1"/>
        <v>1.61</v>
      </c>
      <c r="N16" s="2">
        <v>21.4</v>
      </c>
    </row>
    <row r="17" spans="1:14" x14ac:dyDescent="0.25">
      <c r="A17" s="2">
        <v>657614</v>
      </c>
      <c r="B17" s="2">
        <v>1.81</v>
      </c>
      <c r="C17" s="19">
        <f t="shared" si="2"/>
        <v>28.804710000000036</v>
      </c>
      <c r="H17" s="2">
        <f t="shared" si="3"/>
        <v>60.245999999999981</v>
      </c>
      <c r="I17" s="2" t="str">
        <f t="shared" si="0"/>
        <v>00:01</v>
      </c>
      <c r="J17" s="3">
        <f t="shared" si="4"/>
        <v>9.4908215055809236E-2</v>
      </c>
      <c r="K17" s="19">
        <v>28.677</v>
      </c>
      <c r="L17" s="21">
        <f t="shared" si="5"/>
        <v>498.83757833333334</v>
      </c>
      <c r="M17" s="19">
        <f t="shared" si="1"/>
        <v>1.9100000000000001</v>
      </c>
      <c r="N17" s="2">
        <v>21.4</v>
      </c>
    </row>
    <row r="18" spans="1:14" x14ac:dyDescent="0.25">
      <c r="A18" s="2">
        <v>672687</v>
      </c>
      <c r="B18" s="2">
        <v>1.86</v>
      </c>
      <c r="C18" s="19">
        <f t="shared" si="2"/>
        <v>29.543079999999961</v>
      </c>
      <c r="H18" s="2">
        <f t="shared" si="3"/>
        <v>75.31899999999996</v>
      </c>
      <c r="I18" s="2" t="str">
        <f t="shared" si="0"/>
        <v>00:01</v>
      </c>
      <c r="J18" s="3">
        <f t="shared" si="4"/>
        <v>9.6469556591408753E-2</v>
      </c>
      <c r="K18" s="19">
        <v>28.792999999999999</v>
      </c>
      <c r="L18" s="21">
        <f t="shared" si="5"/>
        <v>507.04398944444443</v>
      </c>
      <c r="M18" s="19">
        <f t="shared" si="1"/>
        <v>1.9600000000000002</v>
      </c>
      <c r="N18" s="2">
        <v>21.4</v>
      </c>
    </row>
    <row r="19" spans="1:14" x14ac:dyDescent="0.25">
      <c r="A19" s="2">
        <v>687758</v>
      </c>
      <c r="B19" s="2">
        <v>1.85</v>
      </c>
      <c r="C19" s="19">
        <f t="shared" si="2"/>
        <v>29.388450000000056</v>
      </c>
      <c r="H19" s="2">
        <f t="shared" si="3"/>
        <v>90.389999999999986</v>
      </c>
      <c r="I19" s="2" t="str">
        <f t="shared" si="0"/>
        <v>00:01</v>
      </c>
      <c r="J19" s="3">
        <f t="shared" si="4"/>
        <v>9.8022725985117548E-2</v>
      </c>
      <c r="K19" s="19">
        <v>28.87</v>
      </c>
      <c r="L19" s="21">
        <f t="shared" si="5"/>
        <v>515.20744777777782</v>
      </c>
      <c r="M19" s="19">
        <f t="shared" si="1"/>
        <v>1.9500000000000002</v>
      </c>
      <c r="N19" s="2">
        <v>21.5</v>
      </c>
    </row>
    <row r="20" spans="1:14" x14ac:dyDescent="0.25">
      <c r="A20" s="2">
        <v>702842</v>
      </c>
      <c r="B20" s="2">
        <v>1.85</v>
      </c>
      <c r="C20" s="19">
        <f t="shared" si="2"/>
        <v>29.413799999999899</v>
      </c>
      <c r="H20" s="2">
        <f t="shared" si="3"/>
        <v>105.47399999999993</v>
      </c>
      <c r="I20" s="2" t="str">
        <f t="shared" si="0"/>
        <v>00:01</v>
      </c>
      <c r="J20" s="3">
        <f t="shared" si="4"/>
        <v>9.9577235117537632E-2</v>
      </c>
      <c r="K20" s="19">
        <v>28.91</v>
      </c>
      <c r="L20" s="21">
        <f t="shared" si="5"/>
        <v>523.37794777777776</v>
      </c>
      <c r="M20" s="19">
        <f t="shared" si="1"/>
        <v>1.9500000000000002</v>
      </c>
      <c r="N20" s="2">
        <v>21.4</v>
      </c>
    </row>
    <row r="21" spans="1:14" x14ac:dyDescent="0.25">
      <c r="A21" s="2">
        <v>717911</v>
      </c>
      <c r="B21" s="2">
        <v>1.85</v>
      </c>
      <c r="C21" s="19">
        <f t="shared" si="2"/>
        <v>29.384549999999926</v>
      </c>
      <c r="H21" s="2">
        <f t="shared" si="3"/>
        <v>120.54299999999989</v>
      </c>
      <c r="I21" s="2" t="str">
        <f t="shared" si="0"/>
        <v>00:02</v>
      </c>
      <c r="J21" s="3">
        <f t="shared" si="4"/>
        <v>0.10113019839759851</v>
      </c>
      <c r="K21" s="19">
        <v>28.966999999999999</v>
      </c>
      <c r="L21" s="21">
        <f t="shared" si="5"/>
        <v>531.54032277777776</v>
      </c>
      <c r="M21" s="19">
        <f t="shared" si="1"/>
        <v>1.9500000000000002</v>
      </c>
      <c r="N21" s="2">
        <v>21.4</v>
      </c>
    </row>
    <row r="22" spans="1:14" x14ac:dyDescent="0.25">
      <c r="A22" s="2">
        <v>732996</v>
      </c>
      <c r="B22" s="2">
        <v>1.86</v>
      </c>
      <c r="C22" s="19">
        <f t="shared" si="2"/>
        <v>29.566600000000076</v>
      </c>
      <c r="H22" s="2">
        <f t="shared" si="3"/>
        <v>135.62799999999993</v>
      </c>
      <c r="I22" s="2" t="str">
        <f t="shared" si="0"/>
        <v>00:02</v>
      </c>
      <c r="J22" s="3">
        <f t="shared" si="4"/>
        <v>0.1026927829570438</v>
      </c>
      <c r="K22" s="19">
        <v>29.004999999999999</v>
      </c>
      <c r="L22" s="21">
        <f t="shared" si="5"/>
        <v>539.75326722222223</v>
      </c>
      <c r="M22" s="19">
        <f t="shared" si="1"/>
        <v>1.9600000000000002</v>
      </c>
      <c r="N22" s="2">
        <v>21.4</v>
      </c>
    </row>
    <row r="23" spans="1:14" x14ac:dyDescent="0.25">
      <c r="A23" s="2">
        <v>748077</v>
      </c>
      <c r="B23" s="2">
        <v>1.84</v>
      </c>
      <c r="C23" s="19">
        <f t="shared" si="2"/>
        <v>29.257140000000035</v>
      </c>
      <c r="H23" s="2">
        <f t="shared" si="3"/>
        <v>150.70899999999995</v>
      </c>
      <c r="I23" s="2" t="str">
        <f t="shared" si="0"/>
        <v>00:02</v>
      </c>
      <c r="J23" s="3">
        <f t="shared" si="4"/>
        <v>0.10423901266277694</v>
      </c>
      <c r="K23" s="19">
        <v>29.044</v>
      </c>
      <c r="L23" s="21">
        <f t="shared" si="5"/>
        <v>547.88025055555556</v>
      </c>
      <c r="M23" s="19">
        <f t="shared" si="1"/>
        <v>1.9400000000000002</v>
      </c>
      <c r="N23" s="2">
        <v>21.4</v>
      </c>
    </row>
    <row r="24" spans="1:14" x14ac:dyDescent="0.25">
      <c r="A24" s="2">
        <v>763158</v>
      </c>
      <c r="B24" s="2">
        <v>1.85</v>
      </c>
      <c r="C24" s="19">
        <f t="shared" si="2"/>
        <v>29.407950000000035</v>
      </c>
      <c r="H24" s="2">
        <f t="shared" si="3"/>
        <v>165.78999999999996</v>
      </c>
      <c r="I24" s="2" t="str">
        <f t="shared" si="0"/>
        <v>00:02</v>
      </c>
      <c r="J24" s="3">
        <f t="shared" si="4"/>
        <v>0.10579321262472517</v>
      </c>
      <c r="K24" s="19">
        <v>29.082000000000001</v>
      </c>
      <c r="L24" s="21">
        <f t="shared" si="5"/>
        <v>556.04912555555552</v>
      </c>
      <c r="M24" s="19">
        <f t="shared" si="1"/>
        <v>1.9500000000000002</v>
      </c>
      <c r="N24" s="2">
        <v>21.5</v>
      </c>
    </row>
    <row r="25" spans="1:14" x14ac:dyDescent="0.25">
      <c r="A25" s="2">
        <v>778240</v>
      </c>
      <c r="B25" s="2">
        <v>1.81</v>
      </c>
      <c r="C25" s="19">
        <f t="shared" si="2"/>
        <v>28.806619999999992</v>
      </c>
      <c r="H25" s="2">
        <f t="shared" si="3"/>
        <v>180.87199999999996</v>
      </c>
      <c r="I25" s="2" t="str">
        <f t="shared" si="0"/>
        <v>00:03</v>
      </c>
      <c r="J25" s="3">
        <f t="shared" si="4"/>
        <v>0.10731563250465076</v>
      </c>
      <c r="K25" s="19">
        <v>29.120999999999999</v>
      </c>
      <c r="L25" s="21">
        <f t="shared" si="5"/>
        <v>564.05096444444439</v>
      </c>
      <c r="M25" s="19">
        <f t="shared" si="1"/>
        <v>1.9100000000000001</v>
      </c>
      <c r="N25" s="2">
        <v>21.5</v>
      </c>
    </row>
    <row r="26" spans="1:14" x14ac:dyDescent="0.25">
      <c r="A26" s="2">
        <v>793321</v>
      </c>
      <c r="B26" s="2">
        <v>1.85</v>
      </c>
      <c r="C26" s="19">
        <f t="shared" si="2"/>
        <v>29.407950000000035</v>
      </c>
      <c r="H26" s="2">
        <f t="shared" si="3"/>
        <v>195.95299999999997</v>
      </c>
      <c r="I26" s="2" t="str">
        <f t="shared" si="0"/>
        <v>00:03</v>
      </c>
      <c r="J26" s="3">
        <f t="shared" si="4"/>
        <v>0.108869832466599</v>
      </c>
      <c r="K26" s="19">
        <v>29.122</v>
      </c>
      <c r="L26" s="21">
        <f t="shared" si="5"/>
        <v>572.21983944444435</v>
      </c>
      <c r="M26" s="19">
        <f t="shared" si="1"/>
        <v>1.9500000000000002</v>
      </c>
      <c r="N26" s="2">
        <v>21.5</v>
      </c>
    </row>
    <row r="27" spans="1:14" x14ac:dyDescent="0.25">
      <c r="A27" s="2">
        <v>808403</v>
      </c>
      <c r="B27" s="2">
        <v>1.85</v>
      </c>
      <c r="C27" s="19">
        <f t="shared" si="2"/>
        <v>29.40989999999999</v>
      </c>
      <c r="H27" s="2">
        <f t="shared" si="3"/>
        <v>211.03499999999997</v>
      </c>
      <c r="I27" s="2" t="str">
        <f t="shared" si="0"/>
        <v>00:03</v>
      </c>
      <c r="J27" s="3">
        <f t="shared" si="4"/>
        <v>0.11042413548537119</v>
      </c>
      <c r="K27" s="19">
        <v>29.161999999999999</v>
      </c>
      <c r="L27" s="21">
        <f t="shared" si="5"/>
        <v>580.38925611111097</v>
      </c>
      <c r="M27" s="19">
        <f t="shared" si="1"/>
        <v>1.9500000000000002</v>
      </c>
      <c r="N27" s="2">
        <v>21.5</v>
      </c>
    </row>
    <row r="28" spans="1:14" x14ac:dyDescent="0.25">
      <c r="A28" s="2">
        <v>823472</v>
      </c>
      <c r="B28" s="2">
        <v>1.83</v>
      </c>
      <c r="C28" s="19">
        <f t="shared" si="2"/>
        <v>29.083169999999924</v>
      </c>
      <c r="H28" s="2">
        <f t="shared" si="3"/>
        <v>226.10399999999993</v>
      </c>
      <c r="I28" s="2" t="str">
        <f t="shared" si="0"/>
        <v>00:03</v>
      </c>
      <c r="J28" s="3">
        <f t="shared" si="4"/>
        <v>0.11196117093691862</v>
      </c>
      <c r="K28" s="19">
        <v>29.184000000000001</v>
      </c>
      <c r="L28" s="21">
        <f t="shared" si="5"/>
        <v>588.46791444444432</v>
      </c>
      <c r="M28" s="19">
        <f t="shared" si="1"/>
        <v>1.9300000000000002</v>
      </c>
      <c r="N28" s="2">
        <v>21.6</v>
      </c>
    </row>
    <row r="29" spans="1:14" x14ac:dyDescent="0.25">
      <c r="A29" s="2">
        <v>838556</v>
      </c>
      <c r="B29" s="2">
        <v>1.85</v>
      </c>
      <c r="C29" s="19">
        <f t="shared" si="2"/>
        <v>29.413800000000119</v>
      </c>
      <c r="H29" s="2">
        <f t="shared" si="3"/>
        <v>241.18799999999999</v>
      </c>
      <c r="I29" s="2" t="str">
        <f t="shared" si="0"/>
        <v>00:04</v>
      </c>
      <c r="J29" s="3">
        <f t="shared" si="4"/>
        <v>0.11351568006933874</v>
      </c>
      <c r="K29" s="19">
        <v>29.161999999999999</v>
      </c>
      <c r="L29" s="21">
        <f t="shared" si="5"/>
        <v>596.63841444444438</v>
      </c>
      <c r="M29" s="19">
        <f t="shared" si="1"/>
        <v>1.9500000000000002</v>
      </c>
      <c r="N29" s="2">
        <v>21.6</v>
      </c>
    </row>
    <row r="30" spans="1:14" x14ac:dyDescent="0.25">
      <c r="A30" s="2">
        <v>853637</v>
      </c>
      <c r="B30" s="2">
        <v>1.84</v>
      </c>
      <c r="C30" s="19">
        <f t="shared" si="2"/>
        <v>29.257139999999815</v>
      </c>
      <c r="H30" s="2">
        <f t="shared" si="3"/>
        <v>256.26899999999989</v>
      </c>
      <c r="I30" s="2" t="str">
        <f t="shared" si="0"/>
        <v>00:04</v>
      </c>
      <c r="J30" s="3">
        <f t="shared" si="4"/>
        <v>0.11506190977507186</v>
      </c>
      <c r="K30" s="19">
        <v>29.201000000000001</v>
      </c>
      <c r="L30" s="21">
        <f t="shared" si="5"/>
        <v>604.76539777777771</v>
      </c>
      <c r="M30" s="19">
        <f t="shared" si="1"/>
        <v>1.9400000000000002</v>
      </c>
      <c r="N30" s="2">
        <v>21.5</v>
      </c>
    </row>
    <row r="31" spans="1:14" x14ac:dyDescent="0.25">
      <c r="A31" s="2">
        <v>868718</v>
      </c>
      <c r="B31" s="2">
        <v>1.85</v>
      </c>
      <c r="C31" s="19">
        <f t="shared" si="2"/>
        <v>29.407950000000035</v>
      </c>
      <c r="H31" s="2">
        <f t="shared" si="3"/>
        <v>271.34999999999991</v>
      </c>
      <c r="I31" s="2" t="str">
        <f t="shared" si="0"/>
        <v>00:04</v>
      </c>
      <c r="J31" s="3">
        <f t="shared" si="4"/>
        <v>0.11661610973702011</v>
      </c>
      <c r="K31" s="19">
        <v>29.241</v>
      </c>
      <c r="L31" s="21">
        <f t="shared" si="5"/>
        <v>612.93427277777766</v>
      </c>
      <c r="M31" s="19">
        <f t="shared" si="1"/>
        <v>1.9500000000000002</v>
      </c>
      <c r="N31" s="2">
        <v>21.6</v>
      </c>
    </row>
    <row r="32" spans="1:14" x14ac:dyDescent="0.25">
      <c r="A32" s="2">
        <v>883787</v>
      </c>
      <c r="B32" s="2">
        <v>1.86</v>
      </c>
      <c r="C32" s="19">
        <f t="shared" si="2"/>
        <v>29.535240000000147</v>
      </c>
      <c r="H32" s="2">
        <f t="shared" si="3"/>
        <v>286.41899999999998</v>
      </c>
      <c r="I32" s="2" t="str">
        <f t="shared" si="0"/>
        <v>00:04</v>
      </c>
      <c r="J32" s="3">
        <f t="shared" si="4"/>
        <v>0.11817703693133771</v>
      </c>
      <c r="K32" s="19">
        <v>29.260999999999999</v>
      </c>
      <c r="L32" s="21">
        <f t="shared" si="5"/>
        <v>621.13850611111104</v>
      </c>
      <c r="M32" s="19">
        <f t="shared" si="1"/>
        <v>1.9600000000000002</v>
      </c>
      <c r="N32" s="2">
        <v>21.6</v>
      </c>
    </row>
    <row r="33" spans="1:14" x14ac:dyDescent="0.25">
      <c r="A33" s="2">
        <v>898862</v>
      </c>
      <c r="B33" s="2">
        <v>1.87</v>
      </c>
      <c r="C33" s="19">
        <f t="shared" si="2"/>
        <v>29.697749999999868</v>
      </c>
      <c r="H33" s="2">
        <f t="shared" si="3"/>
        <v>301.49399999999991</v>
      </c>
      <c r="I33" s="2" t="str">
        <f t="shared" si="0"/>
        <v>00:05</v>
      </c>
      <c r="J33" s="3">
        <f t="shared" si="4"/>
        <v>0.11974655272281412</v>
      </c>
      <c r="K33" s="19">
        <v>29.297999999999998</v>
      </c>
      <c r="L33" s="21">
        <f t="shared" si="5"/>
        <v>629.38788111111103</v>
      </c>
      <c r="M33" s="19">
        <f t="shared" si="1"/>
        <v>1.9700000000000002</v>
      </c>
      <c r="N33" s="2">
        <v>21.6</v>
      </c>
    </row>
    <row r="34" spans="1:14" x14ac:dyDescent="0.25">
      <c r="A34" s="2">
        <v>913946</v>
      </c>
      <c r="B34" s="2">
        <v>1.89</v>
      </c>
      <c r="C34" s="19">
        <f t="shared" si="2"/>
        <v>30.017160000000118</v>
      </c>
      <c r="H34" s="2">
        <f t="shared" si="3"/>
        <v>316.57799999999997</v>
      </c>
      <c r="I34" s="2" t="str">
        <f t="shared" si="0"/>
        <v>00:05</v>
      </c>
      <c r="J34" s="3">
        <f t="shared" si="4"/>
        <v>0.12133294922205309</v>
      </c>
      <c r="K34" s="19">
        <v>29.315999999999999</v>
      </c>
      <c r="L34" s="21">
        <f t="shared" si="5"/>
        <v>637.72598111111108</v>
      </c>
      <c r="M34" s="19">
        <f t="shared" si="1"/>
        <v>1.99</v>
      </c>
      <c r="N34" s="2">
        <v>21.6</v>
      </c>
    </row>
    <row r="35" spans="1:14" x14ac:dyDescent="0.25">
      <c r="A35" s="2">
        <v>929028</v>
      </c>
      <c r="B35" s="2">
        <v>1.86</v>
      </c>
      <c r="C35" s="19">
        <f t="shared" si="2"/>
        <v>29.560719999999989</v>
      </c>
      <c r="H35" s="2">
        <f t="shared" si="3"/>
        <v>331.65999999999997</v>
      </c>
      <c r="I35" s="2" t="str">
        <f t="shared" si="0"/>
        <v>00:05</v>
      </c>
      <c r="J35" s="3">
        <f t="shared" si="4"/>
        <v>0.12289522302553693</v>
      </c>
      <c r="K35" s="19">
        <v>29.298999999999999</v>
      </c>
      <c r="L35" s="21">
        <f t="shared" si="5"/>
        <v>645.93729222222214</v>
      </c>
      <c r="M35" s="19">
        <f t="shared" si="1"/>
        <v>1.9600000000000002</v>
      </c>
      <c r="N35" s="2">
        <v>21.7</v>
      </c>
    </row>
    <row r="36" spans="1:14" x14ac:dyDescent="0.25">
      <c r="A36" s="2">
        <v>944109</v>
      </c>
      <c r="B36" s="2">
        <v>1.89</v>
      </c>
      <c r="C36" s="19">
        <f t="shared" si="2"/>
        <v>30.011190000000035</v>
      </c>
      <c r="H36" s="2">
        <f t="shared" si="3"/>
        <v>346.74099999999999</v>
      </c>
      <c r="I36" s="2" t="str">
        <f t="shared" si="0"/>
        <v>00:05</v>
      </c>
      <c r="J36" s="3">
        <f t="shared" si="4"/>
        <v>0.12448130401234567</v>
      </c>
      <c r="K36" s="19">
        <v>29.355</v>
      </c>
      <c r="L36" s="21">
        <f t="shared" si="5"/>
        <v>654.27373388888884</v>
      </c>
      <c r="M36" s="19">
        <f t="shared" si="1"/>
        <v>1.99</v>
      </c>
      <c r="N36" s="2">
        <v>21.6</v>
      </c>
    </row>
    <row r="37" spans="1:14" x14ac:dyDescent="0.25">
      <c r="A37" s="2">
        <v>959181</v>
      </c>
      <c r="B37" s="2">
        <v>1.88</v>
      </c>
      <c r="C37" s="19">
        <f t="shared" si="2"/>
        <v>29.842560000000006</v>
      </c>
      <c r="H37" s="2">
        <f t="shared" si="3"/>
        <v>361.81299999999999</v>
      </c>
      <c r="I37" s="2" t="str">
        <f t="shared" si="0"/>
        <v>00:06</v>
      </c>
      <c r="J37" s="3">
        <f t="shared" si="4"/>
        <v>0.12605847296211736</v>
      </c>
      <c r="K37" s="19">
        <v>29.337</v>
      </c>
      <c r="L37" s="21">
        <f t="shared" si="5"/>
        <v>662.56333388888879</v>
      </c>
      <c r="M37" s="19">
        <f t="shared" si="1"/>
        <v>1.98</v>
      </c>
      <c r="N37" s="2">
        <v>21.7</v>
      </c>
    </row>
    <row r="38" spans="1:14" x14ac:dyDescent="0.25">
      <c r="A38" s="2">
        <v>974265</v>
      </c>
      <c r="B38" s="2">
        <v>1.88</v>
      </c>
      <c r="C38" s="19">
        <f t="shared" si="2"/>
        <v>29.866319999999895</v>
      </c>
      <c r="H38" s="2">
        <f t="shared" si="3"/>
        <v>376.89699999999993</v>
      </c>
      <c r="I38" s="2" t="str">
        <f t="shared" si="0"/>
        <v>00:06</v>
      </c>
      <c r="J38" s="3">
        <f t="shared" si="4"/>
        <v>0.12763689761965161</v>
      </c>
      <c r="K38" s="19">
        <v>29.393000000000001</v>
      </c>
      <c r="L38" s="21">
        <f t="shared" si="5"/>
        <v>670.85953388888879</v>
      </c>
      <c r="M38" s="19">
        <f t="shared" si="1"/>
        <v>1.98</v>
      </c>
      <c r="N38" s="2">
        <v>21.7</v>
      </c>
    </row>
    <row r="39" spans="1:14" x14ac:dyDescent="0.25">
      <c r="A39" s="2">
        <v>989346</v>
      </c>
      <c r="B39" s="2">
        <v>1.87</v>
      </c>
      <c r="C39" s="19">
        <f t="shared" si="2"/>
        <v>29.709570000000038</v>
      </c>
      <c r="H39" s="2">
        <f t="shared" si="3"/>
        <v>391.97799999999995</v>
      </c>
      <c r="I39" s="2" t="str">
        <f t="shared" si="0"/>
        <v>00:06</v>
      </c>
      <c r="J39" s="3">
        <f t="shared" si="4"/>
        <v>0.12920703809403009</v>
      </c>
      <c r="K39" s="19">
        <v>29.391999999999999</v>
      </c>
      <c r="L39" s="21">
        <f t="shared" si="5"/>
        <v>679.11219222222212</v>
      </c>
      <c r="M39" s="19">
        <f t="shared" si="1"/>
        <v>1.9700000000000002</v>
      </c>
      <c r="N39" s="2">
        <v>21.7</v>
      </c>
    </row>
    <row r="40" spans="1:14" x14ac:dyDescent="0.25">
      <c r="A40" s="2">
        <v>1004427</v>
      </c>
      <c r="B40" s="2">
        <v>1.88</v>
      </c>
      <c r="C40" s="19">
        <f t="shared" si="2"/>
        <v>29.860380000000035</v>
      </c>
      <c r="H40" s="2">
        <f t="shared" si="3"/>
        <v>407.05899999999997</v>
      </c>
      <c r="I40" s="2" t="str">
        <f t="shared" si="0"/>
        <v>00:06</v>
      </c>
      <c r="J40" s="3">
        <f t="shared" si="4"/>
        <v>0.13078514882462369</v>
      </c>
      <c r="K40" s="19">
        <v>29.373999999999999</v>
      </c>
      <c r="L40" s="21">
        <f t="shared" si="5"/>
        <v>687.40674222222208</v>
      </c>
      <c r="M40" s="19">
        <f t="shared" si="1"/>
        <v>1.98</v>
      </c>
      <c r="N40" s="2">
        <v>21.7</v>
      </c>
    </row>
    <row r="41" spans="1:14" x14ac:dyDescent="0.25">
      <c r="A41" s="2">
        <v>1019508</v>
      </c>
      <c r="B41" s="2">
        <v>1.87</v>
      </c>
      <c r="C41" s="19">
        <f t="shared" si="2"/>
        <v>29.709570000000038</v>
      </c>
      <c r="H41" s="2">
        <f t="shared" si="3"/>
        <v>422.14</v>
      </c>
      <c r="I41" s="2" t="str">
        <f t="shared" si="0"/>
        <v>00:07</v>
      </c>
      <c r="J41" s="3">
        <f t="shared" si="4"/>
        <v>0.13235528929900217</v>
      </c>
      <c r="K41" s="19">
        <v>29.393999999999998</v>
      </c>
      <c r="L41" s="21">
        <f t="shared" si="5"/>
        <v>695.65940055555541</v>
      </c>
      <c r="M41" s="19">
        <f t="shared" si="1"/>
        <v>1.9700000000000002</v>
      </c>
      <c r="N41" s="2">
        <v>21.7</v>
      </c>
    </row>
    <row r="42" spans="1:14" x14ac:dyDescent="0.25">
      <c r="A42" s="2">
        <v>1034589</v>
      </c>
      <c r="B42" s="2">
        <v>1.86</v>
      </c>
      <c r="C42" s="19">
        <f t="shared" si="2"/>
        <v>29.558759999999815</v>
      </c>
      <c r="H42" s="2">
        <f t="shared" si="3"/>
        <v>437.22099999999989</v>
      </c>
      <c r="I42" s="2" t="str">
        <f t="shared" si="0"/>
        <v>00:07</v>
      </c>
      <c r="J42" s="3">
        <f t="shared" si="4"/>
        <v>0.13391745951716552</v>
      </c>
      <c r="K42" s="19">
        <v>29.433</v>
      </c>
      <c r="L42" s="21">
        <f t="shared" si="5"/>
        <v>703.87016722222199</v>
      </c>
      <c r="M42" s="19">
        <f t="shared" si="1"/>
        <v>1.9600000000000002</v>
      </c>
      <c r="N42" s="2">
        <v>21.7</v>
      </c>
    </row>
    <row r="43" spans="1:14" x14ac:dyDescent="0.25">
      <c r="A43" s="2">
        <v>1049670</v>
      </c>
      <c r="B43" s="2">
        <v>1.86</v>
      </c>
      <c r="C43" s="19">
        <f t="shared" si="2"/>
        <v>29.558760000000259</v>
      </c>
      <c r="H43" s="2">
        <f t="shared" si="3"/>
        <v>452.30200000000002</v>
      </c>
      <c r="I43" s="2" t="str">
        <f t="shared" si="0"/>
        <v>00:07</v>
      </c>
      <c r="J43" s="3">
        <f t="shared" si="4"/>
        <v>0.1354796297353289</v>
      </c>
      <c r="K43" s="19">
        <v>29.414999999999999</v>
      </c>
      <c r="L43" s="21">
        <f t="shared" si="5"/>
        <v>712.08093388888869</v>
      </c>
      <c r="M43" s="19">
        <f t="shared" si="1"/>
        <v>1.9600000000000002</v>
      </c>
      <c r="N43" s="2">
        <v>21.7</v>
      </c>
    </row>
    <row r="44" spans="1:14" x14ac:dyDescent="0.25">
      <c r="A44" s="2">
        <v>1064751</v>
      </c>
      <c r="B44" s="2">
        <v>1.89</v>
      </c>
      <c r="C44" s="19">
        <f t="shared" si="2"/>
        <v>30.011189999999807</v>
      </c>
      <c r="H44" s="2">
        <f t="shared" si="3"/>
        <v>467.38299999999992</v>
      </c>
      <c r="I44" s="2" t="str">
        <f t="shared" si="0"/>
        <v>00:07</v>
      </c>
      <c r="J44" s="3">
        <f t="shared" si="4"/>
        <v>0.13706571072213761</v>
      </c>
      <c r="K44" s="19">
        <v>29.471</v>
      </c>
      <c r="L44" s="21">
        <f t="shared" si="5"/>
        <v>720.41737555555528</v>
      </c>
      <c r="M44" s="19">
        <f t="shared" si="1"/>
        <v>1.99</v>
      </c>
      <c r="N44" s="2">
        <v>21.7</v>
      </c>
    </row>
    <row r="45" spans="1:14" x14ac:dyDescent="0.25">
      <c r="A45" s="2">
        <v>1079832</v>
      </c>
      <c r="B45" s="2">
        <v>1.89</v>
      </c>
      <c r="C45" s="19">
        <f t="shared" si="2"/>
        <v>30.011190000000262</v>
      </c>
      <c r="H45" s="2">
        <f t="shared" si="3"/>
        <v>482.46400000000006</v>
      </c>
      <c r="I45" s="2" t="str">
        <f t="shared" si="0"/>
        <v>00:08</v>
      </c>
      <c r="J45" s="3">
        <f t="shared" si="4"/>
        <v>0.13865179170894634</v>
      </c>
      <c r="K45" s="19">
        <v>29.452999999999999</v>
      </c>
      <c r="L45" s="21">
        <f t="shared" si="5"/>
        <v>728.75381722222198</v>
      </c>
      <c r="M45" s="19">
        <f t="shared" si="1"/>
        <v>1.99</v>
      </c>
      <c r="N45" s="2">
        <v>21.8</v>
      </c>
    </row>
    <row r="46" spans="1:14" x14ac:dyDescent="0.25">
      <c r="A46" s="2">
        <v>1094913</v>
      </c>
      <c r="B46" s="2">
        <v>1.87</v>
      </c>
      <c r="C46" s="19">
        <f t="shared" si="2"/>
        <v>29.709569999999815</v>
      </c>
      <c r="H46" s="2">
        <f t="shared" si="3"/>
        <v>497.54499999999996</v>
      </c>
      <c r="I46" s="2" t="str">
        <f t="shared" si="0"/>
        <v>00:08</v>
      </c>
      <c r="J46" s="3">
        <f t="shared" si="4"/>
        <v>0.14022193218332482</v>
      </c>
      <c r="K46" s="19">
        <v>29.452999999999999</v>
      </c>
      <c r="L46" s="21">
        <f t="shared" si="5"/>
        <v>737.00647555555531</v>
      </c>
      <c r="M46" s="19">
        <f t="shared" si="1"/>
        <v>1.9700000000000002</v>
      </c>
      <c r="N46" s="2">
        <v>21.8</v>
      </c>
    </row>
    <row r="47" spans="1:14" x14ac:dyDescent="0.25">
      <c r="A47" s="2">
        <v>1109994</v>
      </c>
      <c r="B47" s="2">
        <v>1.88</v>
      </c>
      <c r="C47" s="19">
        <f t="shared" si="2"/>
        <v>29.860379999999807</v>
      </c>
      <c r="H47" s="2">
        <f t="shared" si="3"/>
        <v>512.62599999999986</v>
      </c>
      <c r="I47" s="2" t="str">
        <f t="shared" si="0"/>
        <v>00:08</v>
      </c>
      <c r="J47" s="3">
        <f t="shared" si="4"/>
        <v>0.14180004291391843</v>
      </c>
      <c r="K47" s="19">
        <v>29.51</v>
      </c>
      <c r="L47" s="21">
        <f t="shared" si="5"/>
        <v>745.30102555555527</v>
      </c>
      <c r="M47" s="19">
        <f t="shared" si="1"/>
        <v>1.98</v>
      </c>
      <c r="N47" s="2">
        <v>21.8</v>
      </c>
    </row>
    <row r="48" spans="1:14" x14ac:dyDescent="0.25">
      <c r="A48" s="2">
        <v>1125076</v>
      </c>
      <c r="B48" s="2">
        <v>1.87</v>
      </c>
      <c r="C48" s="19">
        <f t="shared" si="2"/>
        <v>29.711540000000216</v>
      </c>
      <c r="H48" s="2">
        <f t="shared" si="3"/>
        <v>527.70799999999997</v>
      </c>
      <c r="I48" s="2" t="str">
        <f t="shared" si="0"/>
        <v>00:08</v>
      </c>
      <c r="J48" s="3">
        <f t="shared" si="4"/>
        <v>0.14337028750211395</v>
      </c>
      <c r="K48" s="19">
        <v>29.51</v>
      </c>
      <c r="L48" s="21">
        <f t="shared" si="5"/>
        <v>753.55423111111088</v>
      </c>
      <c r="M48" s="19">
        <f t="shared" si="1"/>
        <v>1.9700000000000002</v>
      </c>
      <c r="N48" s="2">
        <v>21.9</v>
      </c>
    </row>
    <row r="49" spans="1:14" x14ac:dyDescent="0.25">
      <c r="A49" s="2">
        <v>1140157</v>
      </c>
      <c r="B49" s="2">
        <v>1.87</v>
      </c>
      <c r="C49" s="19">
        <f t="shared" si="2"/>
        <v>29.709569999999815</v>
      </c>
      <c r="H49" s="2">
        <f t="shared" si="3"/>
        <v>542.78899999999987</v>
      </c>
      <c r="I49" s="2" t="str">
        <f t="shared" si="0"/>
        <v>00:09</v>
      </c>
      <c r="J49" s="3">
        <f t="shared" si="4"/>
        <v>0.14494042797649243</v>
      </c>
      <c r="K49" s="19">
        <v>29.494</v>
      </c>
      <c r="L49" s="21">
        <f t="shared" si="5"/>
        <v>761.80688944444421</v>
      </c>
      <c r="M49" s="19">
        <f t="shared" si="1"/>
        <v>1.9700000000000002</v>
      </c>
      <c r="N49" s="2">
        <v>21.9</v>
      </c>
    </row>
    <row r="50" spans="1:14" x14ac:dyDescent="0.25">
      <c r="A50" s="2">
        <v>1155238</v>
      </c>
      <c r="B50" s="2">
        <v>1.87</v>
      </c>
      <c r="C50" s="19">
        <f t="shared" si="2"/>
        <v>29.709570000000262</v>
      </c>
      <c r="H50" s="2">
        <f t="shared" si="3"/>
        <v>557.87</v>
      </c>
      <c r="I50" s="2" t="str">
        <f t="shared" si="0"/>
        <v>00:09</v>
      </c>
      <c r="J50" s="3">
        <f t="shared" si="4"/>
        <v>0.14651056845087093</v>
      </c>
      <c r="K50" s="19">
        <v>29.532</v>
      </c>
      <c r="L50" s="21">
        <f t="shared" si="5"/>
        <v>770.05954777777765</v>
      </c>
      <c r="M50" s="19">
        <f t="shared" si="1"/>
        <v>1.9700000000000002</v>
      </c>
      <c r="N50" s="2">
        <v>21.9</v>
      </c>
    </row>
    <row r="51" spans="1:14" x14ac:dyDescent="0.25">
      <c r="A51" s="2">
        <v>1170319</v>
      </c>
      <c r="B51" s="2">
        <v>1.9</v>
      </c>
      <c r="C51" s="19">
        <f t="shared" si="2"/>
        <v>30.161999999999807</v>
      </c>
      <c r="H51" s="2">
        <f t="shared" si="3"/>
        <v>572.95099999999991</v>
      </c>
      <c r="I51" s="2" t="str">
        <f t="shared" si="0"/>
        <v>00:09</v>
      </c>
      <c r="J51" s="3">
        <f t="shared" si="4"/>
        <v>0.1481046196938948</v>
      </c>
      <c r="K51" s="19">
        <v>29.55</v>
      </c>
      <c r="L51" s="21">
        <f t="shared" si="5"/>
        <v>778.43788111111098</v>
      </c>
      <c r="M51" s="19">
        <f t="shared" si="1"/>
        <v>2</v>
      </c>
      <c r="N51" s="2">
        <v>21.8</v>
      </c>
    </row>
    <row r="52" spans="1:14" x14ac:dyDescent="0.25">
      <c r="A52" s="2">
        <v>1185400</v>
      </c>
      <c r="B52" s="2">
        <v>1.88</v>
      </c>
      <c r="C52" s="19">
        <f t="shared" si="2"/>
        <v>29.860380000000259</v>
      </c>
      <c r="H52" s="2">
        <f t="shared" si="3"/>
        <v>588.03200000000004</v>
      </c>
      <c r="I52" s="2" t="str">
        <f t="shared" si="0"/>
        <v>00:09</v>
      </c>
      <c r="J52" s="3">
        <f t="shared" si="4"/>
        <v>0.1496827304244884</v>
      </c>
      <c r="K52" s="19">
        <v>29.532</v>
      </c>
      <c r="L52" s="21">
        <f t="shared" si="5"/>
        <v>786.73243111111105</v>
      </c>
      <c r="M52" s="19">
        <f t="shared" si="1"/>
        <v>1.98</v>
      </c>
      <c r="N52" s="2">
        <v>21.9</v>
      </c>
    </row>
    <row r="53" spans="1:14" x14ac:dyDescent="0.25">
      <c r="A53" s="2">
        <v>1200481</v>
      </c>
      <c r="B53" s="2">
        <v>1.9</v>
      </c>
      <c r="C53" s="19">
        <f t="shared" si="2"/>
        <v>30.161999999999807</v>
      </c>
      <c r="H53" s="2">
        <f t="shared" si="3"/>
        <v>603.11299999999994</v>
      </c>
      <c r="I53" s="2" t="str">
        <f t="shared" si="0"/>
        <v>00:10</v>
      </c>
      <c r="J53" s="3">
        <f t="shared" si="4"/>
        <v>0.15127678166751224</v>
      </c>
      <c r="K53" s="19">
        <v>29.532</v>
      </c>
      <c r="L53" s="21">
        <f t="shared" si="5"/>
        <v>795.11076444444438</v>
      </c>
      <c r="M53" s="19">
        <f t="shared" si="1"/>
        <v>2</v>
      </c>
      <c r="N53" s="2">
        <v>21.9</v>
      </c>
    </row>
    <row r="54" spans="1:14" x14ac:dyDescent="0.25">
      <c r="A54" s="2">
        <v>1215563</v>
      </c>
      <c r="B54" s="2">
        <v>1.88</v>
      </c>
      <c r="C54" s="19">
        <f t="shared" si="2"/>
        <v>29.862360000000212</v>
      </c>
      <c r="H54" s="2">
        <f t="shared" si="3"/>
        <v>618.19500000000005</v>
      </c>
      <c r="I54" s="2" t="str">
        <f t="shared" si="0"/>
        <v>00:10</v>
      </c>
      <c r="J54" s="3">
        <f t="shared" si="4"/>
        <v>0.15285499704041941</v>
      </c>
      <c r="K54" s="19">
        <v>29.588999999999999</v>
      </c>
      <c r="L54" s="21">
        <f t="shared" si="5"/>
        <v>803.40586444444443</v>
      </c>
      <c r="M54" s="19">
        <f t="shared" si="1"/>
        <v>1.98</v>
      </c>
      <c r="N54" s="2">
        <v>21.9</v>
      </c>
    </row>
    <row r="55" spans="1:14" x14ac:dyDescent="0.25">
      <c r="A55" s="2">
        <v>1230645</v>
      </c>
      <c r="B55" s="2">
        <v>1.87</v>
      </c>
      <c r="C55" s="19">
        <f t="shared" si="2"/>
        <v>29.711539999999765</v>
      </c>
      <c r="H55" s="2">
        <f t="shared" si="3"/>
        <v>633.27699999999993</v>
      </c>
      <c r="I55" s="2" t="str">
        <f t="shared" si="0"/>
        <v>00:10</v>
      </c>
      <c r="J55" s="3">
        <f t="shared" si="4"/>
        <v>0.1544252416286149</v>
      </c>
      <c r="K55" s="19">
        <v>29.571000000000002</v>
      </c>
      <c r="L55" s="21">
        <f t="shared" si="5"/>
        <v>811.65906999999993</v>
      </c>
      <c r="M55" s="19">
        <f t="shared" si="1"/>
        <v>1.9700000000000002</v>
      </c>
      <c r="N55" s="2">
        <v>21.9</v>
      </c>
    </row>
    <row r="56" spans="1:14" x14ac:dyDescent="0.25">
      <c r="A56" s="2">
        <v>1245727</v>
      </c>
      <c r="B56" s="2">
        <v>1.88</v>
      </c>
      <c r="C56" s="19">
        <f t="shared" si="2"/>
        <v>29.862360000000212</v>
      </c>
      <c r="H56" s="2">
        <f t="shared" si="3"/>
        <v>648.35900000000004</v>
      </c>
      <c r="I56" s="2" t="str">
        <f t="shared" si="0"/>
        <v>00:10</v>
      </c>
      <c r="J56" s="3">
        <f t="shared" si="4"/>
        <v>0.15600345700152207</v>
      </c>
      <c r="K56" s="19">
        <v>29.57</v>
      </c>
      <c r="L56" s="21">
        <f t="shared" si="5"/>
        <v>819.95416999999998</v>
      </c>
      <c r="M56" s="19">
        <f t="shared" si="1"/>
        <v>1.98</v>
      </c>
      <c r="N56" s="2">
        <v>22</v>
      </c>
    </row>
    <row r="57" spans="1:14" x14ac:dyDescent="0.25">
      <c r="A57" s="2">
        <v>1260808</v>
      </c>
      <c r="B57" s="2">
        <v>1.88</v>
      </c>
      <c r="C57" s="19">
        <f t="shared" si="2"/>
        <v>29.860379999999807</v>
      </c>
      <c r="H57" s="2">
        <f t="shared" si="3"/>
        <v>663.43999999999994</v>
      </c>
      <c r="I57" s="2" t="str">
        <f t="shared" si="0"/>
        <v>00:11</v>
      </c>
      <c r="J57" s="3">
        <f t="shared" si="4"/>
        <v>0.15758156773211565</v>
      </c>
      <c r="K57" s="19">
        <v>29.61</v>
      </c>
      <c r="L57" s="21">
        <f t="shared" si="5"/>
        <v>828.24871999999993</v>
      </c>
      <c r="M57" s="19">
        <f t="shared" si="1"/>
        <v>1.98</v>
      </c>
      <c r="N57" s="2">
        <v>22</v>
      </c>
    </row>
    <row r="58" spans="1:14" x14ac:dyDescent="0.25">
      <c r="A58" s="2">
        <v>1275890</v>
      </c>
      <c r="B58" s="2">
        <v>1.88</v>
      </c>
      <c r="C58" s="19">
        <f t="shared" si="2"/>
        <v>29.862360000000212</v>
      </c>
      <c r="H58" s="2">
        <f t="shared" si="3"/>
        <v>678.52200000000005</v>
      </c>
      <c r="I58" s="2" t="str">
        <f t="shared" si="0"/>
        <v>00:11</v>
      </c>
      <c r="J58" s="3">
        <f t="shared" si="4"/>
        <v>0.15915978310502282</v>
      </c>
      <c r="K58" s="19">
        <v>29.628</v>
      </c>
      <c r="L58" s="21">
        <f t="shared" si="5"/>
        <v>836.54381999999998</v>
      </c>
      <c r="M58" s="19">
        <f t="shared" si="1"/>
        <v>1.98</v>
      </c>
      <c r="N58" s="2">
        <v>22</v>
      </c>
    </row>
    <row r="59" spans="1:14" x14ac:dyDescent="0.25">
      <c r="A59" s="2">
        <v>1290971</v>
      </c>
      <c r="B59" s="2">
        <v>1.86</v>
      </c>
      <c r="C59" s="19">
        <f t="shared" si="2"/>
        <v>29.558759999999815</v>
      </c>
      <c r="H59" s="2">
        <f t="shared" si="3"/>
        <v>693.60299999999995</v>
      </c>
      <c r="I59" s="2" t="str">
        <f t="shared" si="0"/>
        <v>00:11</v>
      </c>
      <c r="J59" s="3">
        <f t="shared" si="4"/>
        <v>0.16072195332318617</v>
      </c>
      <c r="K59" s="19">
        <v>29.609000000000002</v>
      </c>
      <c r="L59" s="21">
        <f t="shared" si="5"/>
        <v>844.75458666666657</v>
      </c>
      <c r="M59" s="19">
        <f t="shared" si="1"/>
        <v>1.9600000000000002</v>
      </c>
      <c r="N59" s="2">
        <v>22</v>
      </c>
    </row>
    <row r="60" spans="1:14" x14ac:dyDescent="0.25">
      <c r="A60" s="2">
        <v>1306040</v>
      </c>
      <c r="B60" s="2">
        <v>1.86</v>
      </c>
      <c r="C60" s="19">
        <f t="shared" si="2"/>
        <v>29.535239999999924</v>
      </c>
      <c r="H60" s="2">
        <f t="shared" si="3"/>
        <v>708.67199999999991</v>
      </c>
      <c r="I60" s="2" t="str">
        <f t="shared" si="0"/>
        <v>00:11</v>
      </c>
      <c r="J60" s="3">
        <f t="shared" si="4"/>
        <v>0.16228288051750378</v>
      </c>
      <c r="K60" s="19">
        <v>29.649000000000001</v>
      </c>
      <c r="L60" s="21">
        <f t="shared" si="5"/>
        <v>852.95881999999983</v>
      </c>
      <c r="M60" s="19">
        <f t="shared" si="1"/>
        <v>1.9600000000000002</v>
      </c>
      <c r="N60" s="2">
        <v>22</v>
      </c>
    </row>
    <row r="61" spans="1:14" x14ac:dyDescent="0.25">
      <c r="A61" s="2">
        <v>1321137</v>
      </c>
      <c r="B61" s="2">
        <v>1.86</v>
      </c>
      <c r="C61" s="19">
        <f t="shared" si="2"/>
        <v>29.590119999999963</v>
      </c>
      <c r="H61" s="2">
        <f t="shared" si="3"/>
        <v>723.76899999999989</v>
      </c>
      <c r="I61" s="2" t="str">
        <f t="shared" si="0"/>
        <v>00:12</v>
      </c>
      <c r="J61" s="3">
        <f t="shared" si="4"/>
        <v>0.16384670810079482</v>
      </c>
      <c r="K61" s="19">
        <v>29.667999999999999</v>
      </c>
      <c r="L61" s="21">
        <f t="shared" si="5"/>
        <v>861.17829777777763</v>
      </c>
      <c r="M61" s="19">
        <f t="shared" si="1"/>
        <v>1.9600000000000002</v>
      </c>
      <c r="N61" s="2">
        <v>22</v>
      </c>
    </row>
    <row r="62" spans="1:14" x14ac:dyDescent="0.25">
      <c r="A62" s="2">
        <v>1336219</v>
      </c>
      <c r="B62" s="2">
        <v>1.89</v>
      </c>
      <c r="C62" s="19">
        <f t="shared" si="2"/>
        <v>30.013180000000215</v>
      </c>
      <c r="H62" s="2">
        <f t="shared" si="3"/>
        <v>738.851</v>
      </c>
      <c r="I62" s="2" t="str">
        <f t="shared" si="0"/>
        <v>00:12</v>
      </c>
      <c r="J62" s="3">
        <f t="shared" si="4"/>
        <v>0.16543289425841365</v>
      </c>
      <c r="K62" s="19">
        <v>29.651</v>
      </c>
      <c r="L62" s="21">
        <f t="shared" si="5"/>
        <v>869.51529222222212</v>
      </c>
      <c r="M62" s="19">
        <f t="shared" si="1"/>
        <v>1.99</v>
      </c>
      <c r="N62" s="2">
        <v>22</v>
      </c>
    </row>
    <row r="63" spans="1:14" x14ac:dyDescent="0.25">
      <c r="A63" s="2">
        <v>1351290</v>
      </c>
      <c r="B63" s="2">
        <v>1.89</v>
      </c>
      <c r="C63" s="19">
        <f t="shared" si="2"/>
        <v>29.991289999999825</v>
      </c>
      <c r="H63" s="2">
        <f t="shared" si="3"/>
        <v>753.92199999999991</v>
      </c>
      <c r="I63" s="2" t="str">
        <f t="shared" si="0"/>
        <v>00:12</v>
      </c>
      <c r="J63" s="3">
        <f t="shared" si="4"/>
        <v>0.16701792353712158</v>
      </c>
      <c r="K63" s="19">
        <v>29.65</v>
      </c>
      <c r="L63" s="21">
        <f t="shared" si="5"/>
        <v>877.84620611111097</v>
      </c>
      <c r="M63" s="19">
        <f t="shared" si="1"/>
        <v>1.99</v>
      </c>
      <c r="N63" s="2">
        <v>22</v>
      </c>
    </row>
    <row r="64" spans="1:14" x14ac:dyDescent="0.25">
      <c r="A64" s="2">
        <v>1366376</v>
      </c>
      <c r="B64" s="2">
        <v>1.9</v>
      </c>
      <c r="C64" s="19">
        <f t="shared" si="2"/>
        <v>30.172000000000025</v>
      </c>
      <c r="H64" s="2">
        <f t="shared" si="3"/>
        <v>769.00799999999992</v>
      </c>
      <c r="I64" s="2" t="str">
        <f t="shared" si="0"/>
        <v>00:12</v>
      </c>
      <c r="J64" s="3">
        <f t="shared" si="4"/>
        <v>0.16861250327667848</v>
      </c>
      <c r="K64" s="19">
        <v>29.706</v>
      </c>
      <c r="L64" s="21">
        <f t="shared" si="5"/>
        <v>886.22731722222204</v>
      </c>
      <c r="M64" s="19">
        <f t="shared" si="1"/>
        <v>2</v>
      </c>
      <c r="N64" s="2">
        <v>22</v>
      </c>
    </row>
    <row r="65" spans="1:14" x14ac:dyDescent="0.25">
      <c r="A65" s="2">
        <v>1381454</v>
      </c>
      <c r="B65" s="2">
        <v>1.87</v>
      </c>
      <c r="C65" s="19">
        <f t="shared" si="2"/>
        <v>29.703659999999953</v>
      </c>
      <c r="H65" s="2">
        <f t="shared" si="3"/>
        <v>784.0859999999999</v>
      </c>
      <c r="I65" s="2" t="str">
        <f t="shared" si="0"/>
        <v>00:13</v>
      </c>
      <c r="J65" s="3">
        <f t="shared" si="4"/>
        <v>0.1701823314096059</v>
      </c>
      <c r="K65" s="19">
        <v>29.706</v>
      </c>
      <c r="L65" s="21">
        <f t="shared" si="5"/>
        <v>894.47833388888864</v>
      </c>
      <c r="M65" s="19">
        <f t="shared" si="1"/>
        <v>1.9700000000000002</v>
      </c>
      <c r="N65" s="2">
        <v>22.1</v>
      </c>
    </row>
    <row r="66" spans="1:14" x14ac:dyDescent="0.25">
      <c r="A66" s="2">
        <v>1396532</v>
      </c>
      <c r="B66" s="2">
        <v>1.86</v>
      </c>
      <c r="C66" s="19">
        <f t="shared" si="2"/>
        <v>29.552879999999952</v>
      </c>
      <c r="H66" s="2">
        <f t="shared" si="3"/>
        <v>799.16399999999987</v>
      </c>
      <c r="I66" s="2" t="str">
        <f t="shared" si="0"/>
        <v>00:13</v>
      </c>
      <c r="J66" s="3">
        <f t="shared" si="4"/>
        <v>0.17174419087180781</v>
      </c>
      <c r="K66" s="19">
        <v>29.669</v>
      </c>
      <c r="L66" s="21">
        <f t="shared" si="5"/>
        <v>902.68746722222193</v>
      </c>
      <c r="M66" s="19">
        <f t="shared" si="1"/>
        <v>1.9600000000000002</v>
      </c>
      <c r="N66" s="2">
        <v>22.1</v>
      </c>
    </row>
    <row r="67" spans="1:14" x14ac:dyDescent="0.25">
      <c r="A67" s="2">
        <v>1411604</v>
      </c>
      <c r="B67" s="2">
        <v>1.87</v>
      </c>
      <c r="C67" s="19">
        <f t="shared" si="2"/>
        <v>29.691840000000234</v>
      </c>
      <c r="H67" s="2">
        <f t="shared" si="3"/>
        <v>814.23599999999999</v>
      </c>
      <c r="I67" s="2" t="str">
        <f t="shared" si="0"/>
        <v>00:13</v>
      </c>
      <c r="J67" s="3">
        <f t="shared" si="4"/>
        <v>0.17331339432183321</v>
      </c>
      <c r="K67" s="19">
        <v>29.725000000000001</v>
      </c>
      <c r="L67" s="21">
        <f t="shared" si="5"/>
        <v>910.9352005555553</v>
      </c>
      <c r="M67" s="19">
        <f t="shared" si="1"/>
        <v>1.9700000000000002</v>
      </c>
      <c r="N67" s="2">
        <v>22.1</v>
      </c>
    </row>
    <row r="68" spans="1:14" x14ac:dyDescent="0.25">
      <c r="A68" s="2">
        <v>1426698</v>
      </c>
      <c r="B68" s="2">
        <v>1.9</v>
      </c>
      <c r="C68" s="19">
        <f t="shared" si="2"/>
        <v>30.188000000000102</v>
      </c>
      <c r="H68" s="2">
        <f t="shared" si="3"/>
        <v>829.33</v>
      </c>
      <c r="I68" s="2" t="str">
        <f t="shared" si="0"/>
        <v>00:13</v>
      </c>
      <c r="J68" s="3">
        <f t="shared" si="4"/>
        <v>0.17490881965584301</v>
      </c>
      <c r="K68" s="19">
        <v>29.725000000000001</v>
      </c>
      <c r="L68" s="21">
        <f t="shared" si="5"/>
        <v>919.32075611111088</v>
      </c>
      <c r="M68" s="19">
        <f t="shared" si="1"/>
        <v>2</v>
      </c>
      <c r="N68" s="2">
        <v>22.1</v>
      </c>
    </row>
    <row r="69" spans="1:14" x14ac:dyDescent="0.25">
      <c r="A69" s="2">
        <v>1441778</v>
      </c>
      <c r="B69" s="2">
        <v>1.87</v>
      </c>
      <c r="C69" s="19">
        <f t="shared" si="2"/>
        <v>29.707599999999861</v>
      </c>
      <c r="H69" s="2">
        <f t="shared" si="3"/>
        <v>844.41</v>
      </c>
      <c r="I69" s="2" t="str">
        <f t="shared" si="0"/>
        <v>00:14</v>
      </c>
      <c r="J69" s="3">
        <f t="shared" si="4"/>
        <v>0.17647885601640448</v>
      </c>
      <c r="K69" s="19">
        <v>29.744</v>
      </c>
      <c r="L69" s="21">
        <f t="shared" si="5"/>
        <v>927.57286722222193</v>
      </c>
      <c r="M69" s="19">
        <f t="shared" si="1"/>
        <v>1.9700000000000002</v>
      </c>
      <c r="N69" s="2">
        <v>22.1</v>
      </c>
    </row>
    <row r="70" spans="1:14" x14ac:dyDescent="0.25">
      <c r="A70" s="2">
        <v>1456848</v>
      </c>
      <c r="B70" s="2">
        <v>1.88</v>
      </c>
      <c r="C70" s="19">
        <f t="shared" si="2"/>
        <v>29.838599999999875</v>
      </c>
      <c r="H70" s="2">
        <f t="shared" si="3"/>
        <v>859.4799999999999</v>
      </c>
      <c r="I70" s="2" t="str">
        <f t="shared" si="0"/>
        <v>00:14</v>
      </c>
      <c r="J70" s="3">
        <f t="shared" si="4"/>
        <v>0.17805581568154907</v>
      </c>
      <c r="K70" s="19">
        <v>29.725000000000001</v>
      </c>
      <c r="L70" s="21">
        <f t="shared" si="5"/>
        <v>935.86136722222193</v>
      </c>
      <c r="M70" s="19">
        <f t="shared" si="1"/>
        <v>1.98</v>
      </c>
      <c r="N70" s="2">
        <v>22.1</v>
      </c>
    </row>
    <row r="71" spans="1:14" x14ac:dyDescent="0.25">
      <c r="A71" s="2">
        <v>1471939</v>
      </c>
      <c r="B71" s="2">
        <v>1.87</v>
      </c>
      <c r="C71" s="19">
        <f t="shared" si="2"/>
        <v>29.729270000000245</v>
      </c>
      <c r="H71" s="2">
        <f t="shared" si="3"/>
        <v>874.57100000000003</v>
      </c>
      <c r="I71" s="2" t="str">
        <f t="shared" si="0"/>
        <v>00:14</v>
      </c>
      <c r="J71" s="3">
        <f t="shared" si="4"/>
        <v>0.1796269972940977</v>
      </c>
      <c r="K71" s="19">
        <v>29.725000000000001</v>
      </c>
      <c r="L71" s="21">
        <f t="shared" si="5"/>
        <v>944.1194977777775</v>
      </c>
      <c r="M71" s="19">
        <f t="shared" si="1"/>
        <v>1.9700000000000002</v>
      </c>
      <c r="N71" s="2">
        <v>22.2</v>
      </c>
    </row>
    <row r="72" spans="1:14" x14ac:dyDescent="0.25">
      <c r="A72" s="2">
        <v>1487020</v>
      </c>
      <c r="B72" s="2">
        <v>1.88</v>
      </c>
      <c r="C72" s="19">
        <f t="shared" si="2"/>
        <v>29.860379999999807</v>
      </c>
      <c r="H72" s="2">
        <f t="shared" si="3"/>
        <v>889.65199999999993</v>
      </c>
      <c r="I72" s="2" t="str">
        <f t="shared" si="0"/>
        <v>00:14</v>
      </c>
      <c r="J72" s="3">
        <f t="shared" si="4"/>
        <v>0.18120510802469131</v>
      </c>
      <c r="K72" s="19">
        <v>29.783000000000001</v>
      </c>
      <c r="L72" s="21">
        <f t="shared" si="5"/>
        <v>952.41404777777745</v>
      </c>
      <c r="M72" s="19">
        <f t="shared" si="1"/>
        <v>1.98</v>
      </c>
      <c r="N72" s="2">
        <v>22.2</v>
      </c>
    </row>
    <row r="73" spans="1:14" x14ac:dyDescent="0.25">
      <c r="A73" s="2">
        <v>1502101</v>
      </c>
      <c r="B73" s="2">
        <v>1.87</v>
      </c>
      <c r="C73" s="19">
        <f t="shared" si="2"/>
        <v>29.709570000000262</v>
      </c>
      <c r="H73" s="2">
        <f t="shared" si="3"/>
        <v>904.73300000000006</v>
      </c>
      <c r="I73" s="2" t="str">
        <f t="shared" si="0"/>
        <v>00:15</v>
      </c>
      <c r="J73" s="3">
        <f t="shared" si="4"/>
        <v>0.18277524849906981</v>
      </c>
      <c r="K73" s="19">
        <v>29.782</v>
      </c>
      <c r="L73" s="21">
        <f t="shared" si="5"/>
        <v>960.6667061111109</v>
      </c>
      <c r="M73" s="19">
        <f t="shared" si="1"/>
        <v>1.9700000000000002</v>
      </c>
      <c r="N73" s="2">
        <v>22.1</v>
      </c>
    </row>
    <row r="74" spans="1:14" x14ac:dyDescent="0.25">
      <c r="A74" s="2">
        <v>1517173</v>
      </c>
      <c r="B74" s="2">
        <v>1.89</v>
      </c>
      <c r="C74" s="19">
        <f t="shared" si="2"/>
        <v>29.993279999999778</v>
      </c>
      <c r="H74" s="2">
        <f t="shared" si="3"/>
        <v>919.80499999999995</v>
      </c>
      <c r="I74" s="2" t="str">
        <f t="shared" si="0"/>
        <v>00:15</v>
      </c>
      <c r="J74" s="3">
        <f t="shared" si="4"/>
        <v>0.18436038294858781</v>
      </c>
      <c r="K74" s="19">
        <v>29.780999999999999</v>
      </c>
      <c r="L74" s="21">
        <f t="shared" si="5"/>
        <v>968.99817277777754</v>
      </c>
      <c r="M74" s="19">
        <f t="shared" si="1"/>
        <v>1.99</v>
      </c>
      <c r="N74" s="2">
        <v>22.2</v>
      </c>
    </row>
    <row r="75" spans="1:14" x14ac:dyDescent="0.25">
      <c r="A75" s="2">
        <v>1532244</v>
      </c>
      <c r="B75" s="2">
        <v>1.86</v>
      </c>
      <c r="C75" s="19">
        <f t="shared" si="2"/>
        <v>29.539159999999832</v>
      </c>
      <c r="H75" s="2">
        <f t="shared" si="3"/>
        <v>934.87599999999986</v>
      </c>
      <c r="I75" s="2" t="str">
        <f t="shared" si="0"/>
        <v>00:15</v>
      </c>
      <c r="J75" s="3">
        <f t="shared" si="4"/>
        <v>0.18592151731354636</v>
      </c>
      <c r="K75" s="19">
        <v>29.803999999999998</v>
      </c>
      <c r="L75" s="21">
        <f t="shared" si="5"/>
        <v>977.20349499999975</v>
      </c>
      <c r="M75" s="19">
        <f t="shared" si="1"/>
        <v>1.9600000000000002</v>
      </c>
      <c r="N75" s="2">
        <v>22.2</v>
      </c>
    </row>
    <row r="76" spans="1:14" x14ac:dyDescent="0.25">
      <c r="A76" s="2">
        <v>1547316</v>
      </c>
      <c r="B76" s="2">
        <v>1.87</v>
      </c>
      <c r="C76" s="19">
        <f t="shared" si="2"/>
        <v>29.691840000000234</v>
      </c>
      <c r="H76" s="2">
        <f t="shared" si="3"/>
        <v>949.94799999999998</v>
      </c>
      <c r="I76" s="2" t="str">
        <f t="shared" si="0"/>
        <v>00:15</v>
      </c>
      <c r="J76" s="3">
        <f t="shared" si="4"/>
        <v>0.18749072076357176</v>
      </c>
      <c r="K76" s="19">
        <v>29.821000000000002</v>
      </c>
      <c r="L76" s="21">
        <f t="shared" si="5"/>
        <v>985.45122833333312</v>
      </c>
      <c r="M76" s="19">
        <f t="shared" si="1"/>
        <v>1.9700000000000002</v>
      </c>
      <c r="N76" s="2">
        <v>22.2</v>
      </c>
    </row>
    <row r="77" spans="1:14" x14ac:dyDescent="0.25">
      <c r="A77" s="2">
        <v>1562319</v>
      </c>
      <c r="B77" s="2">
        <v>1.91</v>
      </c>
      <c r="C77" s="19">
        <f t="shared" si="2"/>
        <v>30.156029999999856</v>
      </c>
      <c r="H77" s="2">
        <f t="shared" si="3"/>
        <v>964.95099999999991</v>
      </c>
      <c r="I77" s="2" t="str">
        <f t="shared" si="0"/>
        <v>00:16</v>
      </c>
      <c r="J77" s="3">
        <f t="shared" si="4"/>
        <v>0.18908445649416536</v>
      </c>
      <c r="K77" s="19">
        <v>29.823</v>
      </c>
      <c r="L77" s="21">
        <f t="shared" si="5"/>
        <v>993.8279033333331</v>
      </c>
      <c r="M77" s="19">
        <f t="shared" si="1"/>
        <v>2.0099999999999998</v>
      </c>
      <c r="N77" s="2">
        <v>22.2</v>
      </c>
    </row>
    <row r="78" spans="1:14" x14ac:dyDescent="0.25">
      <c r="A78" s="2">
        <v>1577334</v>
      </c>
      <c r="B78" s="2">
        <v>1.87</v>
      </c>
      <c r="C78" s="19">
        <f t="shared" si="2"/>
        <v>29.5795500000002</v>
      </c>
      <c r="H78" s="2">
        <f t="shared" si="3"/>
        <v>979.96600000000001</v>
      </c>
      <c r="I78" s="2" t="str">
        <f t="shared" ref="I78:I141" si="6">TEXT(H78/86400,"hh:mm")</f>
        <v>00:16</v>
      </c>
      <c r="J78" s="3">
        <f t="shared" si="4"/>
        <v>0.19064772545662095</v>
      </c>
      <c r="K78" s="19">
        <v>29.843</v>
      </c>
      <c r="L78" s="21">
        <f t="shared" si="5"/>
        <v>1002.0444449999998</v>
      </c>
      <c r="M78" s="19">
        <f t="shared" ref="M78:M141" si="7">B78+0.1</f>
        <v>1.9700000000000002</v>
      </c>
      <c r="N78" s="2">
        <v>22.3</v>
      </c>
    </row>
    <row r="79" spans="1:14" x14ac:dyDescent="0.25">
      <c r="A79" s="2">
        <v>1592415</v>
      </c>
      <c r="B79" s="2">
        <v>1.87</v>
      </c>
      <c r="C79" s="19">
        <f t="shared" ref="C79:C142" si="8">M79*(H79-H78)</f>
        <v>29.709569999999815</v>
      </c>
      <c r="H79" s="2">
        <f t="shared" ref="H79:H142" si="9">(A79/1000-612.368)+15</f>
        <v>995.04699999999991</v>
      </c>
      <c r="I79" s="2" t="str">
        <f t="shared" si="6"/>
        <v>00:16</v>
      </c>
      <c r="J79" s="3">
        <f t="shared" ref="J79:J142" si="10">L79/5256</f>
        <v>0.19221786593099946</v>
      </c>
      <c r="K79" s="19">
        <v>29.841999999999999</v>
      </c>
      <c r="L79" s="21">
        <f t="shared" si="5"/>
        <v>1010.2971033333331</v>
      </c>
      <c r="M79" s="19">
        <f t="shared" si="7"/>
        <v>1.9700000000000002</v>
      </c>
      <c r="N79" s="2">
        <v>22.3</v>
      </c>
    </row>
    <row r="80" spans="1:14" x14ac:dyDescent="0.25">
      <c r="A80" s="2">
        <v>1607497</v>
      </c>
      <c r="B80" s="2">
        <v>1.9</v>
      </c>
      <c r="C80" s="19">
        <f t="shared" si="8"/>
        <v>30.164000000000215</v>
      </c>
      <c r="H80" s="2">
        <f t="shared" si="9"/>
        <v>1010.129</v>
      </c>
      <c r="I80" s="2" t="str">
        <f t="shared" si="6"/>
        <v>00:16</v>
      </c>
      <c r="J80" s="3">
        <f t="shared" si="10"/>
        <v>0.19381202287332991</v>
      </c>
      <c r="K80" s="19">
        <v>29.861000000000001</v>
      </c>
      <c r="L80" s="21">
        <f t="shared" ref="L80:L143" si="11">C80*1000/(60*60) + L79</f>
        <v>1018.675992222222</v>
      </c>
      <c r="M80" s="19">
        <f t="shared" si="7"/>
        <v>2</v>
      </c>
      <c r="N80" s="2">
        <v>22.3</v>
      </c>
    </row>
    <row r="81" spans="1:14" x14ac:dyDescent="0.25">
      <c r="A81" s="2">
        <v>1622578</v>
      </c>
      <c r="B81" s="2">
        <v>1.88</v>
      </c>
      <c r="C81" s="19">
        <f t="shared" si="8"/>
        <v>29.860380000000035</v>
      </c>
      <c r="H81" s="2">
        <f t="shared" si="9"/>
        <v>1025.21</v>
      </c>
      <c r="I81" s="2" t="str">
        <f t="shared" si="6"/>
        <v>00:17</v>
      </c>
      <c r="J81" s="3">
        <f t="shared" si="10"/>
        <v>0.19539013360392354</v>
      </c>
      <c r="K81" s="19">
        <v>29.861000000000001</v>
      </c>
      <c r="L81" s="21">
        <f t="shared" si="11"/>
        <v>1026.9705422222221</v>
      </c>
      <c r="M81" s="19">
        <f t="shared" si="7"/>
        <v>1.98</v>
      </c>
      <c r="N81" s="2">
        <v>22.3</v>
      </c>
    </row>
    <row r="82" spans="1:14" x14ac:dyDescent="0.25">
      <c r="A82" s="2">
        <v>1637658</v>
      </c>
      <c r="B82" s="2">
        <v>1.89</v>
      </c>
      <c r="C82" s="19">
        <f t="shared" si="8"/>
        <v>30.009199999999854</v>
      </c>
      <c r="H82" s="2">
        <f t="shared" si="9"/>
        <v>1040.29</v>
      </c>
      <c r="I82" s="2" t="str">
        <f t="shared" si="6"/>
        <v>00:17</v>
      </c>
      <c r="J82" s="3">
        <f t="shared" si="10"/>
        <v>0.19697610941992216</v>
      </c>
      <c r="K82" s="19">
        <v>29.843</v>
      </c>
      <c r="L82" s="21">
        <f t="shared" si="11"/>
        <v>1035.3064311111109</v>
      </c>
      <c r="M82" s="19">
        <f t="shared" si="7"/>
        <v>1.99</v>
      </c>
      <c r="N82" s="2">
        <v>22.4</v>
      </c>
    </row>
    <row r="83" spans="1:14" x14ac:dyDescent="0.25">
      <c r="A83" s="2">
        <v>1652740</v>
      </c>
      <c r="B83" s="2">
        <v>1.88</v>
      </c>
      <c r="C83" s="19">
        <f t="shared" si="8"/>
        <v>29.862359999999761</v>
      </c>
      <c r="H83" s="2">
        <f t="shared" si="9"/>
        <v>1055.3719999999998</v>
      </c>
      <c r="I83" s="2" t="str">
        <f t="shared" si="6"/>
        <v>00:17</v>
      </c>
      <c r="J83" s="3">
        <f t="shared" si="10"/>
        <v>0.19855432479282933</v>
      </c>
      <c r="K83" s="19">
        <v>29.881</v>
      </c>
      <c r="L83" s="21">
        <f t="shared" si="11"/>
        <v>1043.6015311111109</v>
      </c>
      <c r="M83" s="19">
        <f t="shared" si="7"/>
        <v>1.98</v>
      </c>
      <c r="N83" s="2">
        <v>22.3</v>
      </c>
    </row>
    <row r="84" spans="1:14" x14ac:dyDescent="0.25">
      <c r="A84" s="2">
        <v>1667821</v>
      </c>
      <c r="B84" s="2">
        <v>1.89</v>
      </c>
      <c r="C84" s="19">
        <f t="shared" si="8"/>
        <v>30.011190000000262</v>
      </c>
      <c r="H84" s="2">
        <f t="shared" si="9"/>
        <v>1070.453</v>
      </c>
      <c r="I84" s="2" t="str">
        <f t="shared" si="6"/>
        <v>00:17</v>
      </c>
      <c r="J84" s="3">
        <f t="shared" si="10"/>
        <v>0.20014040577963807</v>
      </c>
      <c r="K84" s="19">
        <v>29.88</v>
      </c>
      <c r="L84" s="21">
        <f t="shared" si="11"/>
        <v>1051.9379727777778</v>
      </c>
      <c r="M84" s="19">
        <f t="shared" si="7"/>
        <v>1.99</v>
      </c>
      <c r="N84" s="2">
        <v>22.3</v>
      </c>
    </row>
    <row r="85" spans="1:14" x14ac:dyDescent="0.25">
      <c r="A85" s="2">
        <v>1682901</v>
      </c>
      <c r="B85" s="2">
        <v>1.86</v>
      </c>
      <c r="C85" s="19">
        <f t="shared" si="8"/>
        <v>29.556799999999861</v>
      </c>
      <c r="H85" s="2">
        <f t="shared" si="9"/>
        <v>1085.5329999999999</v>
      </c>
      <c r="I85" s="2" t="str">
        <f t="shared" si="6"/>
        <v>00:18</v>
      </c>
      <c r="J85" s="3">
        <f t="shared" si="10"/>
        <v>0.20170247241248096</v>
      </c>
      <c r="K85" s="19">
        <v>29.863</v>
      </c>
      <c r="L85" s="21">
        <f t="shared" si="11"/>
        <v>1060.148195</v>
      </c>
      <c r="M85" s="19">
        <f t="shared" si="7"/>
        <v>1.9600000000000002</v>
      </c>
      <c r="N85" s="2">
        <v>22.3</v>
      </c>
    </row>
    <row r="86" spans="1:14" x14ac:dyDescent="0.25">
      <c r="A86" s="2">
        <v>1697970</v>
      </c>
      <c r="B86" s="2">
        <v>1.9</v>
      </c>
      <c r="C86" s="19">
        <f t="shared" si="8"/>
        <v>30.13799999999992</v>
      </c>
      <c r="H86" s="2">
        <f t="shared" si="9"/>
        <v>1100.6019999999999</v>
      </c>
      <c r="I86" s="2" t="str">
        <f t="shared" si="6"/>
        <v>00:18</v>
      </c>
      <c r="J86" s="3">
        <f t="shared" si="10"/>
        <v>0.20329525526382547</v>
      </c>
      <c r="K86" s="19">
        <v>29.92</v>
      </c>
      <c r="L86" s="21">
        <f t="shared" si="11"/>
        <v>1068.5198616666667</v>
      </c>
      <c r="M86" s="19">
        <f t="shared" si="7"/>
        <v>2</v>
      </c>
      <c r="N86" s="2">
        <v>22.3</v>
      </c>
    </row>
    <row r="87" spans="1:14" x14ac:dyDescent="0.25">
      <c r="A87" s="2">
        <v>1713042</v>
      </c>
      <c r="B87" s="2">
        <v>1.9</v>
      </c>
      <c r="C87" s="19">
        <f t="shared" si="8"/>
        <v>30.144000000000233</v>
      </c>
      <c r="H87" s="2">
        <f t="shared" si="9"/>
        <v>1115.674</v>
      </c>
      <c r="I87" s="2" t="str">
        <f t="shared" si="6"/>
        <v>00:18</v>
      </c>
      <c r="J87" s="3">
        <f t="shared" si="10"/>
        <v>0.20488835521308982</v>
      </c>
      <c r="K87" s="19">
        <v>29.88</v>
      </c>
      <c r="L87" s="21">
        <f t="shared" si="11"/>
        <v>1076.8931950000001</v>
      </c>
      <c r="M87" s="19">
        <f t="shared" si="7"/>
        <v>2</v>
      </c>
      <c r="N87" s="2">
        <v>22.4</v>
      </c>
    </row>
    <row r="88" spans="1:14" x14ac:dyDescent="0.25">
      <c r="A88" s="2">
        <v>1728126</v>
      </c>
      <c r="B88" s="2">
        <v>1.9</v>
      </c>
      <c r="C88" s="19">
        <f t="shared" si="8"/>
        <v>30.167999999999665</v>
      </c>
      <c r="H88" s="2">
        <f t="shared" si="9"/>
        <v>1130.7579999999998</v>
      </c>
      <c r="I88" s="2" t="str">
        <f t="shared" si="6"/>
        <v>00:18</v>
      </c>
      <c r="J88" s="3">
        <f t="shared" si="10"/>
        <v>0.20648272355403349</v>
      </c>
      <c r="K88" s="19">
        <v>29.939</v>
      </c>
      <c r="L88" s="21">
        <f t="shared" si="11"/>
        <v>1085.273195</v>
      </c>
      <c r="M88" s="19">
        <f t="shared" si="7"/>
        <v>2</v>
      </c>
      <c r="N88" s="2">
        <v>22.4</v>
      </c>
    </row>
    <row r="89" spans="1:14" x14ac:dyDescent="0.25">
      <c r="A89" s="2">
        <v>1743199</v>
      </c>
      <c r="B89" s="2">
        <v>1.9</v>
      </c>
      <c r="C89" s="19">
        <f t="shared" si="8"/>
        <v>30.14600000000064</v>
      </c>
      <c r="H89" s="2">
        <f t="shared" si="9"/>
        <v>1145.8310000000001</v>
      </c>
      <c r="I89" s="2" t="str">
        <f t="shared" si="6"/>
        <v>00:19</v>
      </c>
      <c r="J89" s="3">
        <f t="shared" si="10"/>
        <v>0.20807592920260445</v>
      </c>
      <c r="K89" s="19">
        <v>29.939</v>
      </c>
      <c r="L89" s="21">
        <f t="shared" si="11"/>
        <v>1093.647083888889</v>
      </c>
      <c r="M89" s="19">
        <f t="shared" si="7"/>
        <v>2</v>
      </c>
      <c r="N89" s="2">
        <v>22.4</v>
      </c>
    </row>
    <row r="90" spans="1:14" x14ac:dyDescent="0.25">
      <c r="A90" s="2">
        <v>1758283</v>
      </c>
      <c r="B90" s="2">
        <v>1.86</v>
      </c>
      <c r="C90" s="19">
        <f t="shared" si="8"/>
        <v>29.564639999999674</v>
      </c>
      <c r="H90" s="2">
        <f t="shared" si="9"/>
        <v>1160.915</v>
      </c>
      <c r="I90" s="2" t="str">
        <f t="shared" si="6"/>
        <v>00:19</v>
      </c>
      <c r="J90" s="3">
        <f t="shared" si="10"/>
        <v>0.20963841017672924</v>
      </c>
      <c r="K90" s="19">
        <v>29.959</v>
      </c>
      <c r="L90" s="21">
        <f t="shared" si="11"/>
        <v>1101.8594838888889</v>
      </c>
      <c r="M90" s="19">
        <f t="shared" si="7"/>
        <v>1.9600000000000002</v>
      </c>
      <c r="N90" s="2">
        <v>22.6</v>
      </c>
    </row>
    <row r="91" spans="1:14" x14ac:dyDescent="0.25">
      <c r="A91" s="2">
        <v>1773364</v>
      </c>
      <c r="B91" s="2">
        <v>1.87</v>
      </c>
      <c r="C91" s="19">
        <f t="shared" si="8"/>
        <v>29.709570000000262</v>
      </c>
      <c r="H91" s="2">
        <f t="shared" si="9"/>
        <v>1175.9960000000001</v>
      </c>
      <c r="I91" s="2" t="str">
        <f t="shared" si="6"/>
        <v>00:19</v>
      </c>
      <c r="J91" s="3">
        <f t="shared" si="10"/>
        <v>0.21120855065110775</v>
      </c>
      <c r="K91" s="19">
        <v>29.959</v>
      </c>
      <c r="L91" s="21">
        <f t="shared" si="11"/>
        <v>1110.1121422222222</v>
      </c>
      <c r="M91" s="19">
        <f t="shared" si="7"/>
        <v>1.9700000000000002</v>
      </c>
      <c r="N91" s="2">
        <v>22.6</v>
      </c>
    </row>
    <row r="92" spans="1:14" x14ac:dyDescent="0.25">
      <c r="A92" s="2">
        <v>1788445</v>
      </c>
      <c r="B92" s="2">
        <v>1.88</v>
      </c>
      <c r="C92" s="19">
        <f t="shared" si="8"/>
        <v>29.86037999999936</v>
      </c>
      <c r="H92" s="2">
        <f t="shared" si="9"/>
        <v>1191.0769999999998</v>
      </c>
      <c r="I92" s="2" t="str">
        <f t="shared" si="6"/>
        <v>00:19</v>
      </c>
      <c r="J92" s="3">
        <f t="shared" si="10"/>
        <v>0.2127866613817013</v>
      </c>
      <c r="K92" s="19">
        <v>29.939</v>
      </c>
      <c r="L92" s="21">
        <f t="shared" si="11"/>
        <v>1118.4066922222221</v>
      </c>
      <c r="M92" s="19">
        <f t="shared" si="7"/>
        <v>1.98</v>
      </c>
      <c r="N92" s="2">
        <v>22.6</v>
      </c>
    </row>
    <row r="93" spans="1:14" x14ac:dyDescent="0.25">
      <c r="A93" s="2">
        <v>1803526</v>
      </c>
      <c r="B93" s="2">
        <v>1.88</v>
      </c>
      <c r="C93" s="19">
        <f t="shared" si="8"/>
        <v>29.860380000000259</v>
      </c>
      <c r="H93" s="2">
        <f t="shared" si="9"/>
        <v>1206.1579999999999</v>
      </c>
      <c r="I93" s="2" t="str">
        <f t="shared" si="6"/>
        <v>00:20</v>
      </c>
      <c r="J93" s="3">
        <f t="shared" si="10"/>
        <v>0.21436477211229493</v>
      </c>
      <c r="K93" s="19">
        <v>29.942</v>
      </c>
      <c r="L93" s="21">
        <f t="shared" si="11"/>
        <v>1126.7012422222222</v>
      </c>
      <c r="M93" s="19">
        <f t="shared" si="7"/>
        <v>1.98</v>
      </c>
      <c r="N93" s="2">
        <v>22.6</v>
      </c>
    </row>
    <row r="94" spans="1:14" x14ac:dyDescent="0.25">
      <c r="A94" s="2">
        <v>1818596</v>
      </c>
      <c r="B94" s="2">
        <v>1.88</v>
      </c>
      <c r="C94" s="19">
        <f t="shared" si="8"/>
        <v>29.838600000000323</v>
      </c>
      <c r="H94" s="2">
        <f t="shared" si="9"/>
        <v>1221.2280000000001</v>
      </c>
      <c r="I94" s="2" t="str">
        <f t="shared" si="6"/>
        <v>00:20</v>
      </c>
      <c r="J94" s="3">
        <f t="shared" si="10"/>
        <v>0.21594173177743956</v>
      </c>
      <c r="K94" s="19">
        <v>29.96</v>
      </c>
      <c r="L94" s="21">
        <f t="shared" si="11"/>
        <v>1134.9897422222223</v>
      </c>
      <c r="M94" s="19">
        <f t="shared" si="7"/>
        <v>1.98</v>
      </c>
      <c r="N94" s="2">
        <v>22.5</v>
      </c>
    </row>
    <row r="95" spans="1:14" x14ac:dyDescent="0.25">
      <c r="A95" s="2">
        <v>1833680</v>
      </c>
      <c r="B95" s="2">
        <v>1.9</v>
      </c>
      <c r="C95" s="19">
        <f t="shared" si="8"/>
        <v>30.167999999999665</v>
      </c>
      <c r="H95" s="2">
        <f t="shared" si="9"/>
        <v>1236.3119999999999</v>
      </c>
      <c r="I95" s="2" t="str">
        <f t="shared" si="6"/>
        <v>00:20</v>
      </c>
      <c r="J95" s="3">
        <f t="shared" si="10"/>
        <v>0.2175361001183832</v>
      </c>
      <c r="K95" s="19">
        <v>29.96</v>
      </c>
      <c r="L95" s="21">
        <f t="shared" si="11"/>
        <v>1143.3697422222222</v>
      </c>
      <c r="M95" s="19">
        <f t="shared" si="7"/>
        <v>2</v>
      </c>
      <c r="N95" s="2">
        <v>22.6</v>
      </c>
    </row>
    <row r="96" spans="1:14" x14ac:dyDescent="0.25">
      <c r="A96" s="2">
        <v>1848761</v>
      </c>
      <c r="B96" s="2">
        <v>1.9</v>
      </c>
      <c r="C96" s="19">
        <f t="shared" si="8"/>
        <v>30.162000000000262</v>
      </c>
      <c r="H96" s="2">
        <f t="shared" si="9"/>
        <v>1251.393</v>
      </c>
      <c r="I96" s="2" t="str">
        <f t="shared" si="6"/>
        <v>00:20</v>
      </c>
      <c r="J96" s="3">
        <f t="shared" si="10"/>
        <v>0.21913015136140707</v>
      </c>
      <c r="K96" s="19">
        <v>29.977</v>
      </c>
      <c r="L96" s="21">
        <f t="shared" si="11"/>
        <v>1151.7480755555555</v>
      </c>
      <c r="M96" s="19">
        <f t="shared" si="7"/>
        <v>2</v>
      </c>
      <c r="N96" s="2">
        <v>22.5</v>
      </c>
    </row>
    <row r="97" spans="1:14" x14ac:dyDescent="0.25">
      <c r="A97" s="2">
        <v>1863830</v>
      </c>
      <c r="B97" s="2">
        <v>1.87</v>
      </c>
      <c r="C97" s="19">
        <f t="shared" si="8"/>
        <v>29.685929999999924</v>
      </c>
      <c r="H97" s="2">
        <f t="shared" si="9"/>
        <v>1266.462</v>
      </c>
      <c r="I97" s="2" t="str">
        <f t="shared" si="6"/>
        <v>00:21</v>
      </c>
      <c r="J97" s="3">
        <f t="shared" si="10"/>
        <v>0.22069904246998137</v>
      </c>
      <c r="K97" s="19">
        <v>29.978999999999999</v>
      </c>
      <c r="L97" s="21">
        <f t="shared" si="11"/>
        <v>1159.9941672222221</v>
      </c>
      <c r="M97" s="19">
        <f t="shared" si="7"/>
        <v>1.9700000000000002</v>
      </c>
      <c r="N97" s="2">
        <v>22.5</v>
      </c>
    </row>
    <row r="98" spans="1:14" x14ac:dyDescent="0.25">
      <c r="A98" s="2">
        <v>1878902</v>
      </c>
      <c r="B98" s="2">
        <v>1.89</v>
      </c>
      <c r="C98" s="19">
        <f t="shared" si="8"/>
        <v>29.993280000000233</v>
      </c>
      <c r="H98" s="2">
        <f t="shared" si="9"/>
        <v>1281.5340000000001</v>
      </c>
      <c r="I98" s="2" t="str">
        <f t="shared" si="6"/>
        <v>00:21</v>
      </c>
      <c r="J98" s="3">
        <f t="shared" si="10"/>
        <v>0.22228417691949942</v>
      </c>
      <c r="K98" s="19">
        <v>29.998000000000001</v>
      </c>
      <c r="L98" s="21">
        <f t="shared" si="11"/>
        <v>1168.3256338888889</v>
      </c>
      <c r="M98" s="19">
        <f t="shared" si="7"/>
        <v>1.99</v>
      </c>
      <c r="N98" s="2">
        <v>22.5</v>
      </c>
    </row>
    <row r="99" spans="1:14" x14ac:dyDescent="0.25">
      <c r="A99" s="2">
        <v>1893983</v>
      </c>
      <c r="B99" s="2">
        <v>1.97</v>
      </c>
      <c r="C99" s="19">
        <f t="shared" si="8"/>
        <v>31.217669999999327</v>
      </c>
      <c r="H99" s="2">
        <f t="shared" si="9"/>
        <v>1296.6149999999998</v>
      </c>
      <c r="I99" s="2" t="str">
        <f t="shared" si="6"/>
        <v>00:21</v>
      </c>
      <c r="J99" s="3">
        <f t="shared" si="10"/>
        <v>0.22393401995602905</v>
      </c>
      <c r="K99" s="19">
        <v>30.036000000000001</v>
      </c>
      <c r="L99" s="21">
        <f t="shared" si="11"/>
        <v>1176.9972088888887</v>
      </c>
      <c r="M99" s="19">
        <f t="shared" si="7"/>
        <v>2.0699999999999998</v>
      </c>
      <c r="N99" s="2">
        <v>22.5</v>
      </c>
    </row>
    <row r="100" spans="1:14" x14ac:dyDescent="0.25">
      <c r="A100" s="2">
        <v>1909061</v>
      </c>
      <c r="B100" s="2">
        <v>1.89</v>
      </c>
      <c r="C100" s="19">
        <f t="shared" si="8"/>
        <v>30.005219999999948</v>
      </c>
      <c r="H100" s="2">
        <f t="shared" si="9"/>
        <v>1311.6929999999998</v>
      </c>
      <c r="I100" s="2" t="str">
        <f t="shared" si="6"/>
        <v>00:21</v>
      </c>
      <c r="J100" s="3">
        <f t="shared" si="10"/>
        <v>0.22551978543040752</v>
      </c>
      <c r="K100" s="19">
        <v>30.036999999999999</v>
      </c>
      <c r="L100" s="21">
        <f t="shared" si="11"/>
        <v>1185.331992222222</v>
      </c>
      <c r="M100" s="19">
        <f t="shared" si="7"/>
        <v>1.99</v>
      </c>
      <c r="N100" s="2">
        <v>22.5</v>
      </c>
    </row>
    <row r="101" spans="1:14" x14ac:dyDescent="0.25">
      <c r="A101" s="2">
        <v>1924142</v>
      </c>
      <c r="B101" s="2">
        <v>1.89</v>
      </c>
      <c r="C101" s="19">
        <f t="shared" si="8"/>
        <v>30.011190000000262</v>
      </c>
      <c r="H101" s="2">
        <f t="shared" si="9"/>
        <v>1326.7739999999999</v>
      </c>
      <c r="I101" s="2" t="str">
        <f t="shared" si="6"/>
        <v>00:22</v>
      </c>
      <c r="J101" s="3">
        <f t="shared" si="10"/>
        <v>0.22710586641721628</v>
      </c>
      <c r="K101" s="19">
        <v>30.038</v>
      </c>
      <c r="L101" s="21">
        <f t="shared" si="11"/>
        <v>1193.6684338888888</v>
      </c>
      <c r="M101" s="19">
        <f t="shared" si="7"/>
        <v>1.99</v>
      </c>
      <c r="N101" s="2">
        <v>22.6</v>
      </c>
    </row>
    <row r="102" spans="1:14" x14ac:dyDescent="0.25">
      <c r="A102" s="2">
        <v>1939220</v>
      </c>
      <c r="B102" s="2">
        <v>1.91</v>
      </c>
      <c r="C102" s="19">
        <f t="shared" si="8"/>
        <v>30.306779999999947</v>
      </c>
      <c r="H102" s="2">
        <f t="shared" si="9"/>
        <v>1341.8519999999999</v>
      </c>
      <c r="I102" s="2" t="str">
        <f t="shared" si="6"/>
        <v>00:22</v>
      </c>
      <c r="J102" s="3">
        <f t="shared" si="10"/>
        <v>0.22870756923304583</v>
      </c>
      <c r="K102" s="19">
        <v>30.077000000000002</v>
      </c>
      <c r="L102" s="21">
        <f t="shared" si="11"/>
        <v>1202.0869838888889</v>
      </c>
      <c r="M102" s="19">
        <f t="shared" si="7"/>
        <v>2.0099999999999998</v>
      </c>
      <c r="N102" s="2">
        <v>22.5</v>
      </c>
    </row>
    <row r="103" spans="1:14" x14ac:dyDescent="0.25">
      <c r="A103" s="2">
        <v>1954297</v>
      </c>
      <c r="B103" s="2">
        <v>1.87</v>
      </c>
      <c r="C103" s="19">
        <f t="shared" si="8"/>
        <v>29.701690000000447</v>
      </c>
      <c r="H103" s="2">
        <f t="shared" si="9"/>
        <v>1356.9290000000001</v>
      </c>
      <c r="I103" s="2" t="str">
        <f t="shared" si="6"/>
        <v>00:22</v>
      </c>
      <c r="J103" s="3">
        <f t="shared" si="10"/>
        <v>0.23027729325215632</v>
      </c>
      <c r="K103" s="19">
        <v>30.094000000000001</v>
      </c>
      <c r="L103" s="21">
        <f t="shared" si="11"/>
        <v>1210.3374533333335</v>
      </c>
      <c r="M103" s="19">
        <f t="shared" si="7"/>
        <v>1.9700000000000002</v>
      </c>
      <c r="N103" s="2">
        <v>22.5</v>
      </c>
    </row>
    <row r="104" spans="1:14" x14ac:dyDescent="0.25">
      <c r="A104" s="2">
        <v>1969376</v>
      </c>
      <c r="B104" s="2">
        <v>1.89</v>
      </c>
      <c r="C104" s="19">
        <f t="shared" si="8"/>
        <v>30.00720999999945</v>
      </c>
      <c r="H104" s="2">
        <f t="shared" si="9"/>
        <v>1372.0079999999998</v>
      </c>
      <c r="I104" s="2" t="str">
        <f t="shared" si="6"/>
        <v>00:22</v>
      </c>
      <c r="J104" s="3">
        <f t="shared" si="10"/>
        <v>0.23186316389734485</v>
      </c>
      <c r="K104" s="19">
        <v>30.094000000000001</v>
      </c>
      <c r="L104" s="21">
        <f t="shared" si="11"/>
        <v>1218.6727894444446</v>
      </c>
      <c r="M104" s="19">
        <f t="shared" si="7"/>
        <v>1.99</v>
      </c>
      <c r="N104" s="2">
        <v>22.6</v>
      </c>
    </row>
    <row r="105" spans="1:14" x14ac:dyDescent="0.25">
      <c r="A105" s="2">
        <v>1984453</v>
      </c>
      <c r="B105" s="2">
        <v>1.87</v>
      </c>
      <c r="C105" s="19">
        <f t="shared" si="8"/>
        <v>29.701690000000447</v>
      </c>
      <c r="H105" s="2">
        <f t="shared" si="9"/>
        <v>1387.085</v>
      </c>
      <c r="I105" s="2" t="str">
        <f t="shared" si="6"/>
        <v>00:23</v>
      </c>
      <c r="J105" s="3">
        <f t="shared" si="10"/>
        <v>0.23343288791645533</v>
      </c>
      <c r="K105" s="19">
        <v>30.076000000000001</v>
      </c>
      <c r="L105" s="21">
        <f t="shared" si="11"/>
        <v>1226.9232588888892</v>
      </c>
      <c r="M105" s="19">
        <f t="shared" si="7"/>
        <v>1.9700000000000002</v>
      </c>
      <c r="N105" s="2">
        <v>22.8</v>
      </c>
    </row>
    <row r="106" spans="1:14" x14ac:dyDescent="0.25">
      <c r="A106" s="2">
        <v>1999541</v>
      </c>
      <c r="B106" s="2">
        <v>1.88</v>
      </c>
      <c r="C106" s="19">
        <f t="shared" si="8"/>
        <v>29.874239999999482</v>
      </c>
      <c r="H106" s="2">
        <f t="shared" si="9"/>
        <v>1402.1729999999998</v>
      </c>
      <c r="I106" s="2" t="str">
        <f t="shared" si="6"/>
        <v>00:23</v>
      </c>
      <c r="J106" s="3">
        <f t="shared" si="10"/>
        <v>0.23501173114324375</v>
      </c>
      <c r="K106" s="19">
        <v>30.076000000000001</v>
      </c>
      <c r="L106" s="21">
        <f t="shared" si="11"/>
        <v>1235.2216588888891</v>
      </c>
      <c r="M106" s="19">
        <f t="shared" si="7"/>
        <v>1.98</v>
      </c>
      <c r="N106" s="2">
        <v>22.7</v>
      </c>
    </row>
    <row r="107" spans="1:14" x14ac:dyDescent="0.25">
      <c r="A107" s="2">
        <v>2014629</v>
      </c>
      <c r="B107" s="2">
        <v>1.87</v>
      </c>
      <c r="C107" s="19">
        <f t="shared" si="8"/>
        <v>29.723360000000383</v>
      </c>
      <c r="H107" s="2">
        <f t="shared" si="9"/>
        <v>1417.261</v>
      </c>
      <c r="I107" s="2" t="str">
        <f t="shared" si="6"/>
        <v>00:23</v>
      </c>
      <c r="J107" s="3">
        <f t="shared" si="10"/>
        <v>0.23658260041434134</v>
      </c>
      <c r="K107" s="19">
        <v>30.113</v>
      </c>
      <c r="L107" s="21">
        <f t="shared" si="11"/>
        <v>1243.4781477777781</v>
      </c>
      <c r="M107" s="19">
        <f t="shared" si="7"/>
        <v>1.9700000000000002</v>
      </c>
      <c r="N107" s="2">
        <v>22.8</v>
      </c>
    </row>
    <row r="108" spans="1:14" x14ac:dyDescent="0.25">
      <c r="A108" s="2">
        <v>2029706</v>
      </c>
      <c r="B108" s="2">
        <v>1.88</v>
      </c>
      <c r="C108" s="19">
        <f t="shared" si="8"/>
        <v>29.852459999999546</v>
      </c>
      <c r="H108" s="2">
        <f t="shared" si="9"/>
        <v>1432.3379999999997</v>
      </c>
      <c r="I108" s="2" t="str">
        <f t="shared" si="6"/>
        <v>00:23</v>
      </c>
      <c r="J108" s="3">
        <f t="shared" si="10"/>
        <v>0.23816029257568075</v>
      </c>
      <c r="K108" s="19">
        <v>30.114000000000001</v>
      </c>
      <c r="L108" s="21">
        <f t="shared" si="11"/>
        <v>1251.770497777778</v>
      </c>
      <c r="M108" s="19">
        <f t="shared" si="7"/>
        <v>1.98</v>
      </c>
      <c r="N108" s="2">
        <v>22.6</v>
      </c>
    </row>
    <row r="109" spans="1:14" x14ac:dyDescent="0.25">
      <c r="A109" s="2">
        <v>2044785</v>
      </c>
      <c r="B109" s="2">
        <v>1.85</v>
      </c>
      <c r="C109" s="19">
        <f t="shared" si="8"/>
        <v>29.40405000000035</v>
      </c>
      <c r="H109" s="2">
        <f t="shared" si="9"/>
        <v>1447.4169999999999</v>
      </c>
      <c r="I109" s="2" t="str">
        <f t="shared" si="6"/>
        <v>00:24</v>
      </c>
      <c r="J109" s="3">
        <f t="shared" si="10"/>
        <v>0.23971428642398113</v>
      </c>
      <c r="K109" s="19">
        <v>30.114000000000001</v>
      </c>
      <c r="L109" s="21">
        <f t="shared" si="11"/>
        <v>1259.9382894444448</v>
      </c>
      <c r="M109" s="19">
        <f t="shared" si="7"/>
        <v>1.9500000000000002</v>
      </c>
      <c r="N109" s="2">
        <v>22.7</v>
      </c>
    </row>
    <row r="110" spans="1:14" x14ac:dyDescent="0.25">
      <c r="A110" s="2">
        <v>2059866</v>
      </c>
      <c r="B110" s="2">
        <v>1.88</v>
      </c>
      <c r="C110" s="19">
        <f t="shared" si="8"/>
        <v>29.860380000000259</v>
      </c>
      <c r="H110" s="2">
        <f t="shared" si="9"/>
        <v>1462.498</v>
      </c>
      <c r="I110" s="2" t="str">
        <f t="shared" si="6"/>
        <v>00:24</v>
      </c>
      <c r="J110" s="3">
        <f t="shared" si="10"/>
        <v>0.24129239715457473</v>
      </c>
      <c r="K110" s="19">
        <v>30.113</v>
      </c>
      <c r="L110" s="21">
        <f t="shared" si="11"/>
        <v>1268.2328394444448</v>
      </c>
      <c r="M110" s="19">
        <f t="shared" si="7"/>
        <v>1.98</v>
      </c>
      <c r="N110" s="2">
        <v>22.7</v>
      </c>
    </row>
    <row r="111" spans="1:14" x14ac:dyDescent="0.25">
      <c r="A111" s="2">
        <v>2074942</v>
      </c>
      <c r="B111" s="2">
        <v>1.86</v>
      </c>
      <c r="C111" s="19">
        <f t="shared" si="8"/>
        <v>29.548960000000047</v>
      </c>
      <c r="H111" s="2">
        <f t="shared" si="9"/>
        <v>1477.5740000000001</v>
      </c>
      <c r="I111" s="2" t="str">
        <f t="shared" si="6"/>
        <v>00:24</v>
      </c>
      <c r="J111" s="3">
        <f t="shared" si="10"/>
        <v>0.24285404944613573</v>
      </c>
      <c r="K111" s="19">
        <v>30.170999999999999</v>
      </c>
      <c r="L111" s="21">
        <f t="shared" si="11"/>
        <v>1276.4408838888894</v>
      </c>
      <c r="M111" s="19">
        <f t="shared" si="7"/>
        <v>1.9600000000000002</v>
      </c>
      <c r="N111" s="2">
        <v>22.7</v>
      </c>
    </row>
    <row r="112" spans="1:14" x14ac:dyDescent="0.25">
      <c r="A112" s="2">
        <v>2090019</v>
      </c>
      <c r="B112" s="2">
        <v>1.87</v>
      </c>
      <c r="C112" s="19">
        <f t="shared" si="8"/>
        <v>29.701689999999552</v>
      </c>
      <c r="H112" s="2">
        <f t="shared" si="9"/>
        <v>1492.6509999999998</v>
      </c>
      <c r="I112" s="2" t="str">
        <f t="shared" si="6"/>
        <v>00:24</v>
      </c>
      <c r="J112" s="3">
        <f t="shared" si="10"/>
        <v>0.24442377346524613</v>
      </c>
      <c r="K112" s="19">
        <v>30.135000000000002</v>
      </c>
      <c r="L112" s="21">
        <f t="shared" si="11"/>
        <v>1284.6913533333336</v>
      </c>
      <c r="M112" s="19">
        <f t="shared" si="7"/>
        <v>1.9700000000000002</v>
      </c>
      <c r="N112" s="2">
        <v>22.7</v>
      </c>
    </row>
    <row r="113" spans="1:14" x14ac:dyDescent="0.25">
      <c r="A113" s="2">
        <v>2105098</v>
      </c>
      <c r="B113" s="2">
        <v>1.86</v>
      </c>
      <c r="C113" s="19">
        <f t="shared" si="8"/>
        <v>29.554840000000354</v>
      </c>
      <c r="H113" s="2">
        <f t="shared" si="9"/>
        <v>1507.73</v>
      </c>
      <c r="I113" s="2" t="str">
        <f t="shared" si="6"/>
        <v>00:25</v>
      </c>
      <c r="J113" s="3">
        <f t="shared" si="10"/>
        <v>0.24598573651276853</v>
      </c>
      <c r="K113" s="19">
        <v>30.135999999999999</v>
      </c>
      <c r="L113" s="21">
        <f t="shared" si="11"/>
        <v>1292.9010311111115</v>
      </c>
      <c r="M113" s="19">
        <f t="shared" si="7"/>
        <v>1.9600000000000002</v>
      </c>
      <c r="N113" s="2">
        <v>22.7</v>
      </c>
    </row>
    <row r="114" spans="1:14" x14ac:dyDescent="0.25">
      <c r="A114" s="2">
        <v>2120186</v>
      </c>
      <c r="B114" s="2">
        <v>1.86</v>
      </c>
      <c r="C114" s="19">
        <f t="shared" si="8"/>
        <v>29.572480000000382</v>
      </c>
      <c r="H114" s="2">
        <f t="shared" si="9"/>
        <v>1522.8180000000002</v>
      </c>
      <c r="I114" s="2" t="str">
        <f t="shared" si="6"/>
        <v>00:25</v>
      </c>
      <c r="J114" s="3">
        <f t="shared" si="10"/>
        <v>0.24754863182817527</v>
      </c>
      <c r="K114" s="19">
        <v>30.193000000000001</v>
      </c>
      <c r="L114" s="21">
        <f t="shared" si="11"/>
        <v>1301.1156088888893</v>
      </c>
      <c r="M114" s="19">
        <f t="shared" si="7"/>
        <v>1.9600000000000002</v>
      </c>
      <c r="N114" s="2">
        <v>22.8</v>
      </c>
    </row>
    <row r="115" spans="1:14" x14ac:dyDescent="0.25">
      <c r="A115" s="2">
        <v>2135259</v>
      </c>
      <c r="B115" s="2">
        <v>1.86</v>
      </c>
      <c r="C115" s="19">
        <f t="shared" si="8"/>
        <v>29.54307999999974</v>
      </c>
      <c r="H115" s="2">
        <f t="shared" si="9"/>
        <v>1537.8910000000001</v>
      </c>
      <c r="I115" s="2" t="str">
        <f t="shared" si="6"/>
        <v>00:25</v>
      </c>
      <c r="J115" s="3">
        <f t="shared" si="10"/>
        <v>0.2491099733637748</v>
      </c>
      <c r="K115" s="19">
        <v>30.192</v>
      </c>
      <c r="L115" s="21">
        <f t="shared" si="11"/>
        <v>1309.3220200000003</v>
      </c>
      <c r="M115" s="19">
        <f t="shared" si="7"/>
        <v>1.9600000000000002</v>
      </c>
      <c r="N115" s="2">
        <v>22.7</v>
      </c>
    </row>
    <row r="116" spans="1:14" x14ac:dyDescent="0.25">
      <c r="A116" s="2">
        <v>2150339</v>
      </c>
      <c r="B116" s="2">
        <v>1.88</v>
      </c>
      <c r="C116" s="19">
        <f t="shared" si="8"/>
        <v>29.858399999999854</v>
      </c>
      <c r="H116" s="2">
        <f t="shared" si="9"/>
        <v>1552.971</v>
      </c>
      <c r="I116" s="2" t="str">
        <f t="shared" si="6"/>
        <v>00:25</v>
      </c>
      <c r="J116" s="3">
        <f t="shared" si="10"/>
        <v>0.25068797945205484</v>
      </c>
      <c r="K116" s="19">
        <v>30.192</v>
      </c>
      <c r="L116" s="21">
        <f t="shared" si="11"/>
        <v>1317.6160200000002</v>
      </c>
      <c r="M116" s="19">
        <f t="shared" si="7"/>
        <v>1.98</v>
      </c>
      <c r="N116" s="2">
        <v>22.8</v>
      </c>
    </row>
    <row r="117" spans="1:14" x14ac:dyDescent="0.25">
      <c r="A117" s="2">
        <v>2165427</v>
      </c>
      <c r="B117" s="2">
        <v>1.88</v>
      </c>
      <c r="C117" s="19">
        <f t="shared" si="8"/>
        <v>29.87424000000038</v>
      </c>
      <c r="H117" s="2">
        <f t="shared" si="9"/>
        <v>1568.0590000000002</v>
      </c>
      <c r="I117" s="2" t="str">
        <f t="shared" si="6"/>
        <v>00:26</v>
      </c>
      <c r="J117" s="3">
        <f t="shared" si="10"/>
        <v>0.25226682267884326</v>
      </c>
      <c r="K117" s="19">
        <v>30.209</v>
      </c>
      <c r="L117" s="21">
        <f t="shared" si="11"/>
        <v>1325.9144200000003</v>
      </c>
      <c r="M117" s="19">
        <f t="shared" si="7"/>
        <v>1.98</v>
      </c>
      <c r="N117" s="2">
        <v>22.8</v>
      </c>
    </row>
    <row r="118" spans="1:14" x14ac:dyDescent="0.25">
      <c r="A118" s="2">
        <v>2180506</v>
      </c>
      <c r="B118" s="2">
        <v>1.84</v>
      </c>
      <c r="C118" s="19">
        <f t="shared" si="8"/>
        <v>29.253259999999464</v>
      </c>
      <c r="H118" s="2">
        <f t="shared" si="9"/>
        <v>1583.1379999999999</v>
      </c>
      <c r="I118" s="2" t="str">
        <f t="shared" si="6"/>
        <v>00:26</v>
      </c>
      <c r="J118" s="3">
        <f t="shared" si="10"/>
        <v>0.25381284732792153</v>
      </c>
      <c r="K118" s="19">
        <v>30.190999999999999</v>
      </c>
      <c r="L118" s="21">
        <f t="shared" si="11"/>
        <v>1334.0403255555557</v>
      </c>
      <c r="M118" s="19">
        <f t="shared" si="7"/>
        <v>1.9400000000000002</v>
      </c>
      <c r="N118" s="2">
        <v>22.8</v>
      </c>
    </row>
    <row r="119" spans="1:14" x14ac:dyDescent="0.25">
      <c r="A119" s="2">
        <v>2195594</v>
      </c>
      <c r="B119" s="2">
        <v>1.88</v>
      </c>
      <c r="C119" s="19">
        <f t="shared" si="8"/>
        <v>29.87424000000038</v>
      </c>
      <c r="H119" s="2">
        <f t="shared" si="9"/>
        <v>1598.2260000000001</v>
      </c>
      <c r="I119" s="2" t="str">
        <f t="shared" si="6"/>
        <v>00:26</v>
      </c>
      <c r="J119" s="3">
        <f t="shared" si="10"/>
        <v>0.25539169055471</v>
      </c>
      <c r="K119" s="19">
        <v>30.23</v>
      </c>
      <c r="L119" s="21">
        <f t="shared" si="11"/>
        <v>1342.3387255555558</v>
      </c>
      <c r="M119" s="19">
        <f t="shared" si="7"/>
        <v>1.98</v>
      </c>
      <c r="N119" s="2">
        <v>22.9</v>
      </c>
    </row>
    <row r="120" spans="1:14" x14ac:dyDescent="0.25">
      <c r="A120" s="2">
        <v>2210672</v>
      </c>
      <c r="B120" s="2">
        <v>1.89</v>
      </c>
      <c r="C120" s="19">
        <f t="shared" si="8"/>
        <v>30.005219999999948</v>
      </c>
      <c r="H120" s="2">
        <f t="shared" si="9"/>
        <v>1613.3040000000001</v>
      </c>
      <c r="I120" s="2" t="str">
        <f t="shared" si="6"/>
        <v>00:26</v>
      </c>
      <c r="J120" s="3">
        <f t="shared" si="10"/>
        <v>0.2569774560290885</v>
      </c>
      <c r="K120" s="19">
        <v>30.231000000000002</v>
      </c>
      <c r="L120" s="21">
        <f t="shared" si="11"/>
        <v>1350.673508888889</v>
      </c>
      <c r="M120" s="19">
        <f t="shared" si="7"/>
        <v>1.99</v>
      </c>
      <c r="N120" s="2">
        <v>22.8</v>
      </c>
    </row>
    <row r="121" spans="1:14" x14ac:dyDescent="0.25">
      <c r="A121" s="2">
        <v>2225760</v>
      </c>
      <c r="B121" s="2">
        <v>1.89</v>
      </c>
      <c r="C121" s="19">
        <f t="shared" si="8"/>
        <v>30.025120000000385</v>
      </c>
      <c r="H121" s="2">
        <f t="shared" si="9"/>
        <v>1628.3920000000003</v>
      </c>
      <c r="I121" s="2" t="str">
        <f t="shared" si="6"/>
        <v>00:27</v>
      </c>
      <c r="J121" s="3">
        <f t="shared" si="10"/>
        <v>0.25856427321156777</v>
      </c>
      <c r="K121" s="19">
        <v>30.231999999999999</v>
      </c>
      <c r="L121" s="21">
        <f t="shared" si="11"/>
        <v>1359.0138200000004</v>
      </c>
      <c r="M121" s="19">
        <f t="shared" si="7"/>
        <v>1.99</v>
      </c>
      <c r="N121" s="2">
        <v>22.8</v>
      </c>
    </row>
    <row r="122" spans="1:14" x14ac:dyDescent="0.25">
      <c r="A122" s="2">
        <v>2240848</v>
      </c>
      <c r="B122" s="2">
        <v>1.88</v>
      </c>
      <c r="C122" s="19">
        <f t="shared" si="8"/>
        <v>29.874239999999482</v>
      </c>
      <c r="H122" s="2">
        <f t="shared" si="9"/>
        <v>1643.48</v>
      </c>
      <c r="I122" s="2" t="str">
        <f t="shared" si="6"/>
        <v>00:27</v>
      </c>
      <c r="J122" s="3">
        <f t="shared" si="10"/>
        <v>0.26014311643835619</v>
      </c>
      <c r="K122" s="19">
        <v>30.231000000000002</v>
      </c>
      <c r="L122" s="21">
        <f t="shared" si="11"/>
        <v>1367.3122200000003</v>
      </c>
      <c r="M122" s="19">
        <f t="shared" si="7"/>
        <v>1.98</v>
      </c>
      <c r="N122" s="2">
        <v>23</v>
      </c>
    </row>
    <row r="123" spans="1:14" x14ac:dyDescent="0.25">
      <c r="A123" s="2">
        <v>2255926</v>
      </c>
      <c r="B123" s="2">
        <v>1.88</v>
      </c>
      <c r="C123" s="19">
        <f t="shared" si="8"/>
        <v>29.854439999999951</v>
      </c>
      <c r="H123" s="2">
        <f t="shared" si="9"/>
        <v>1658.558</v>
      </c>
      <c r="I123" s="2" t="str">
        <f t="shared" si="6"/>
        <v>00:27</v>
      </c>
      <c r="J123" s="3">
        <f t="shared" si="10"/>
        <v>0.26172091324200919</v>
      </c>
      <c r="K123" s="19">
        <v>30.213999999999999</v>
      </c>
      <c r="L123" s="21">
        <f t="shared" si="11"/>
        <v>1375.6051200000002</v>
      </c>
      <c r="M123" s="19">
        <f t="shared" si="7"/>
        <v>1.98</v>
      </c>
      <c r="N123" s="2">
        <v>22.9</v>
      </c>
    </row>
    <row r="124" spans="1:14" x14ac:dyDescent="0.25">
      <c r="A124" s="2">
        <v>2271004</v>
      </c>
      <c r="B124" s="2">
        <v>1.89</v>
      </c>
      <c r="C124" s="19">
        <f t="shared" si="8"/>
        <v>30.005219999999948</v>
      </c>
      <c r="H124" s="2">
        <f t="shared" si="9"/>
        <v>1673.636</v>
      </c>
      <c r="I124" s="2" t="str">
        <f t="shared" si="6"/>
        <v>00:27</v>
      </c>
      <c r="J124" s="3">
        <f t="shared" si="10"/>
        <v>0.26330667871638763</v>
      </c>
      <c r="K124" s="19">
        <v>30.231999999999999</v>
      </c>
      <c r="L124" s="21">
        <f t="shared" si="11"/>
        <v>1383.9399033333334</v>
      </c>
      <c r="M124" s="19">
        <f t="shared" si="7"/>
        <v>1.99</v>
      </c>
      <c r="N124" s="2">
        <v>22.9</v>
      </c>
    </row>
    <row r="125" spans="1:14" x14ac:dyDescent="0.25">
      <c r="A125" s="2">
        <v>2286092</v>
      </c>
      <c r="B125" s="2">
        <v>1.88</v>
      </c>
      <c r="C125" s="19">
        <f t="shared" si="8"/>
        <v>29.87424000000038</v>
      </c>
      <c r="H125" s="2">
        <f t="shared" si="9"/>
        <v>1688.7240000000002</v>
      </c>
      <c r="I125" s="2" t="str">
        <f t="shared" si="6"/>
        <v>00:28</v>
      </c>
      <c r="J125" s="3">
        <f t="shared" si="10"/>
        <v>0.26488552194317611</v>
      </c>
      <c r="K125" s="19">
        <v>30.213999999999999</v>
      </c>
      <c r="L125" s="21">
        <f t="shared" si="11"/>
        <v>1392.2383033333335</v>
      </c>
      <c r="M125" s="19">
        <f t="shared" si="7"/>
        <v>1.98</v>
      </c>
      <c r="N125" s="2">
        <v>22.9</v>
      </c>
    </row>
    <row r="126" spans="1:14" x14ac:dyDescent="0.25">
      <c r="A126" s="2">
        <v>2301170</v>
      </c>
      <c r="B126" s="2">
        <v>1.89</v>
      </c>
      <c r="C126" s="19">
        <f t="shared" si="8"/>
        <v>30.005219999999948</v>
      </c>
      <c r="H126" s="2">
        <f t="shared" si="9"/>
        <v>1703.8020000000001</v>
      </c>
      <c r="I126" s="2" t="str">
        <f t="shared" si="6"/>
        <v>00:28</v>
      </c>
      <c r="J126" s="3">
        <f t="shared" si="10"/>
        <v>0.26647128741755455</v>
      </c>
      <c r="K126" s="19">
        <v>30.268999999999998</v>
      </c>
      <c r="L126" s="21">
        <f t="shared" si="11"/>
        <v>1400.5730866666668</v>
      </c>
      <c r="M126" s="19">
        <f t="shared" si="7"/>
        <v>1.99</v>
      </c>
      <c r="N126" s="2">
        <v>23</v>
      </c>
    </row>
    <row r="127" spans="1:14" x14ac:dyDescent="0.25">
      <c r="A127" s="2">
        <v>2316259</v>
      </c>
      <c r="B127" s="2">
        <v>1.91</v>
      </c>
      <c r="C127" s="19">
        <f t="shared" si="8"/>
        <v>30.32888999999988</v>
      </c>
      <c r="H127" s="2">
        <f t="shared" si="9"/>
        <v>1718.8910000000001</v>
      </c>
      <c r="I127" s="2" t="str">
        <f t="shared" si="6"/>
        <v>00:28</v>
      </c>
      <c r="J127" s="3">
        <f t="shared" si="10"/>
        <v>0.26807415873921869</v>
      </c>
      <c r="K127" s="19">
        <v>30.268999999999998</v>
      </c>
      <c r="L127" s="21">
        <f t="shared" si="11"/>
        <v>1408.9977783333334</v>
      </c>
      <c r="M127" s="19">
        <f t="shared" si="7"/>
        <v>2.0099999999999998</v>
      </c>
      <c r="N127" s="2">
        <v>23</v>
      </c>
    </row>
    <row r="128" spans="1:14" x14ac:dyDescent="0.25">
      <c r="A128" s="2">
        <v>2331337</v>
      </c>
      <c r="B128" s="2">
        <v>1.89</v>
      </c>
      <c r="C128" s="19">
        <f t="shared" si="8"/>
        <v>30.005219999999948</v>
      </c>
      <c r="H128" s="2">
        <f t="shared" si="9"/>
        <v>1733.9690000000001</v>
      </c>
      <c r="I128" s="2" t="str">
        <f t="shared" si="6"/>
        <v>00:28</v>
      </c>
      <c r="J128" s="3">
        <f t="shared" si="10"/>
        <v>0.26965992421359714</v>
      </c>
      <c r="K128" s="19">
        <v>30.27</v>
      </c>
      <c r="L128" s="21">
        <f t="shared" si="11"/>
        <v>1417.3325616666666</v>
      </c>
      <c r="M128" s="19">
        <f t="shared" si="7"/>
        <v>1.99</v>
      </c>
      <c r="N128" s="2">
        <v>23</v>
      </c>
    </row>
    <row r="129" spans="1:14" x14ac:dyDescent="0.25">
      <c r="A129" s="2">
        <v>2346415</v>
      </c>
      <c r="B129" s="2">
        <v>1.87</v>
      </c>
      <c r="C129" s="19">
        <f t="shared" si="8"/>
        <v>29.703659999999953</v>
      </c>
      <c r="H129" s="2">
        <f t="shared" si="9"/>
        <v>1749.047</v>
      </c>
      <c r="I129" s="2" t="str">
        <f t="shared" si="6"/>
        <v>00:29</v>
      </c>
      <c r="J129" s="3">
        <f t="shared" si="10"/>
        <v>0.27122975234652458</v>
      </c>
      <c r="K129" s="19">
        <v>30.271000000000001</v>
      </c>
      <c r="L129" s="21">
        <f t="shared" si="11"/>
        <v>1425.5835783333332</v>
      </c>
      <c r="M129" s="19">
        <f t="shared" si="7"/>
        <v>1.9700000000000002</v>
      </c>
      <c r="N129" s="2">
        <v>23</v>
      </c>
    </row>
    <row r="130" spans="1:14" x14ac:dyDescent="0.25">
      <c r="A130" s="2">
        <v>2361493</v>
      </c>
      <c r="B130" s="2">
        <v>1.89</v>
      </c>
      <c r="C130" s="19">
        <f t="shared" si="8"/>
        <v>30.005219999999948</v>
      </c>
      <c r="H130" s="2">
        <f t="shared" si="9"/>
        <v>1764.125</v>
      </c>
      <c r="I130" s="2" t="str">
        <f t="shared" si="6"/>
        <v>00:29</v>
      </c>
      <c r="J130" s="3">
        <f t="shared" si="10"/>
        <v>0.27281551782090308</v>
      </c>
      <c r="K130" s="19">
        <v>30.326000000000001</v>
      </c>
      <c r="L130" s="21">
        <f t="shared" si="11"/>
        <v>1433.9183616666664</v>
      </c>
      <c r="M130" s="19">
        <f t="shared" si="7"/>
        <v>1.99</v>
      </c>
      <c r="N130" s="2">
        <v>23</v>
      </c>
    </row>
    <row r="131" spans="1:14" x14ac:dyDescent="0.25">
      <c r="A131" s="2">
        <v>2376571</v>
      </c>
      <c r="B131" s="2">
        <v>1.89</v>
      </c>
      <c r="C131" s="19">
        <f t="shared" si="8"/>
        <v>30.005219999999948</v>
      </c>
      <c r="H131" s="2">
        <f t="shared" si="9"/>
        <v>1779.203</v>
      </c>
      <c r="I131" s="2" t="str">
        <f t="shared" si="6"/>
        <v>00:29</v>
      </c>
      <c r="J131" s="3">
        <f t="shared" si="10"/>
        <v>0.27440128329528152</v>
      </c>
      <c r="K131" s="19">
        <v>30.308</v>
      </c>
      <c r="L131" s="21">
        <f t="shared" si="11"/>
        <v>1442.2531449999997</v>
      </c>
      <c r="M131" s="19">
        <f t="shared" si="7"/>
        <v>1.99</v>
      </c>
      <c r="N131" s="2">
        <v>23.1</v>
      </c>
    </row>
    <row r="132" spans="1:14" x14ac:dyDescent="0.25">
      <c r="A132" s="2">
        <v>2391659</v>
      </c>
      <c r="B132" s="2">
        <v>1.84</v>
      </c>
      <c r="C132" s="19">
        <f t="shared" si="8"/>
        <v>29.270720000000377</v>
      </c>
      <c r="H132" s="2">
        <f t="shared" si="9"/>
        <v>1794.2910000000002</v>
      </c>
      <c r="I132" s="2" t="str">
        <f t="shared" si="6"/>
        <v>00:29</v>
      </c>
      <c r="J132" s="3">
        <f t="shared" si="10"/>
        <v>0.27594823069930657</v>
      </c>
      <c r="K132" s="19">
        <v>30.309000000000001</v>
      </c>
      <c r="L132" s="21">
        <f t="shared" si="11"/>
        <v>1450.3839005555553</v>
      </c>
      <c r="M132" s="19">
        <f t="shared" si="7"/>
        <v>1.9400000000000002</v>
      </c>
      <c r="N132" s="2">
        <v>23</v>
      </c>
    </row>
    <row r="133" spans="1:14" x14ac:dyDescent="0.25">
      <c r="A133" s="2">
        <v>2406737</v>
      </c>
      <c r="B133" s="2">
        <v>1.9</v>
      </c>
      <c r="C133" s="19">
        <f t="shared" si="8"/>
        <v>30.155999999999949</v>
      </c>
      <c r="H133" s="2">
        <f t="shared" si="9"/>
        <v>1809.3690000000001</v>
      </c>
      <c r="I133" s="2" t="str">
        <f t="shared" si="6"/>
        <v>00:30</v>
      </c>
      <c r="J133" s="3">
        <f t="shared" si="10"/>
        <v>0.27754196484441057</v>
      </c>
      <c r="K133" s="19">
        <v>30.347000000000001</v>
      </c>
      <c r="L133" s="21">
        <f t="shared" si="11"/>
        <v>1458.7605672222219</v>
      </c>
      <c r="M133" s="19">
        <f t="shared" si="7"/>
        <v>2</v>
      </c>
      <c r="N133" s="2">
        <v>23</v>
      </c>
    </row>
    <row r="134" spans="1:14" x14ac:dyDescent="0.25">
      <c r="A134" s="2">
        <v>2421824</v>
      </c>
      <c r="B134" s="2">
        <v>1.89</v>
      </c>
      <c r="C134" s="19">
        <f t="shared" si="8"/>
        <v>30.023129999999977</v>
      </c>
      <c r="H134" s="2">
        <f t="shared" si="9"/>
        <v>1824.4560000000001</v>
      </c>
      <c r="I134" s="2" t="str">
        <f t="shared" si="6"/>
        <v>00:30</v>
      </c>
      <c r="J134" s="3">
        <f>L134/5256</f>
        <v>0.27912867685607973</v>
      </c>
      <c r="K134" s="19">
        <v>30.329000000000001</v>
      </c>
      <c r="L134" s="21">
        <f t="shared" si="11"/>
        <v>1467.1003255555552</v>
      </c>
      <c r="M134" s="19">
        <f t="shared" si="7"/>
        <v>1.99</v>
      </c>
      <c r="N134" s="2">
        <v>23.1</v>
      </c>
    </row>
    <row r="135" spans="1:14" x14ac:dyDescent="0.25">
      <c r="A135" s="2">
        <v>2436903</v>
      </c>
      <c r="B135" s="2">
        <v>1.87</v>
      </c>
      <c r="C135" s="19">
        <f t="shared" si="8"/>
        <v>29.705629999999459</v>
      </c>
      <c r="H135" s="2">
        <f t="shared" si="9"/>
        <v>1839.5349999999999</v>
      </c>
      <c r="I135" s="2" t="str">
        <f t="shared" si="6"/>
        <v>00:30</v>
      </c>
      <c r="J135" s="3">
        <f t="shared" si="10"/>
        <v>0.28069860910282418</v>
      </c>
      <c r="K135" s="19">
        <v>30.347000000000001</v>
      </c>
      <c r="L135" s="21">
        <f t="shared" si="11"/>
        <v>1475.3518894444439</v>
      </c>
      <c r="M135" s="19">
        <f t="shared" si="7"/>
        <v>1.9700000000000002</v>
      </c>
      <c r="N135" s="2">
        <v>23.1</v>
      </c>
    </row>
    <row r="136" spans="1:14" x14ac:dyDescent="0.25">
      <c r="A136" s="2">
        <v>2451991</v>
      </c>
      <c r="B136" s="2">
        <v>1.88</v>
      </c>
      <c r="C136" s="19">
        <f t="shared" si="8"/>
        <v>29.87424000000038</v>
      </c>
      <c r="H136" s="2">
        <f t="shared" si="9"/>
        <v>1854.623</v>
      </c>
      <c r="I136" s="2" t="str">
        <f t="shared" si="6"/>
        <v>00:30</v>
      </c>
      <c r="J136" s="3">
        <f t="shared" si="10"/>
        <v>0.28227745232961265</v>
      </c>
      <c r="K136" s="19">
        <v>30.347999999999999</v>
      </c>
      <c r="L136" s="21">
        <f t="shared" si="11"/>
        <v>1483.6502894444441</v>
      </c>
      <c r="M136" s="19">
        <f t="shared" si="7"/>
        <v>1.98</v>
      </c>
      <c r="N136" s="2">
        <v>23.3</v>
      </c>
    </row>
    <row r="137" spans="1:14" x14ac:dyDescent="0.25">
      <c r="A137" s="2">
        <v>2467083</v>
      </c>
      <c r="B137" s="2">
        <v>1.88</v>
      </c>
      <c r="C137" s="19">
        <f t="shared" si="8"/>
        <v>29.882160000000194</v>
      </c>
      <c r="H137" s="2">
        <f t="shared" si="9"/>
        <v>1869.7150000000001</v>
      </c>
      <c r="I137" s="2" t="str">
        <f t="shared" si="6"/>
        <v>00:31</v>
      </c>
      <c r="J137" s="3">
        <f t="shared" si="10"/>
        <v>0.28385671412565527</v>
      </c>
      <c r="K137" s="19">
        <v>30.366</v>
      </c>
      <c r="L137" s="21">
        <f t="shared" si="11"/>
        <v>1491.9508894444441</v>
      </c>
      <c r="M137" s="19">
        <f t="shared" si="7"/>
        <v>1.98</v>
      </c>
      <c r="N137" s="2">
        <v>23.3</v>
      </c>
    </row>
    <row r="138" spans="1:14" x14ac:dyDescent="0.25">
      <c r="A138" s="2">
        <v>2482162</v>
      </c>
      <c r="B138" s="2">
        <v>1.88</v>
      </c>
      <c r="C138" s="19">
        <f t="shared" si="8"/>
        <v>29.856419999999453</v>
      </c>
      <c r="H138" s="2">
        <f t="shared" si="9"/>
        <v>1884.7939999999999</v>
      </c>
      <c r="I138" s="2" t="str">
        <f t="shared" si="6"/>
        <v>00:31</v>
      </c>
      <c r="J138" s="3">
        <f t="shared" si="10"/>
        <v>0.28543461557162175</v>
      </c>
      <c r="K138" s="19">
        <v>30.347999999999999</v>
      </c>
      <c r="L138" s="21">
        <f t="shared" si="11"/>
        <v>1500.244339444444</v>
      </c>
      <c r="M138" s="19">
        <f t="shared" si="7"/>
        <v>1.98</v>
      </c>
      <c r="N138" s="2">
        <v>23.1</v>
      </c>
    </row>
    <row r="139" spans="1:14" x14ac:dyDescent="0.25">
      <c r="A139" s="2">
        <v>2497238</v>
      </c>
      <c r="B139" s="2">
        <v>1.88</v>
      </c>
      <c r="C139" s="19">
        <f t="shared" si="8"/>
        <v>29.850480000000044</v>
      </c>
      <c r="H139" s="2">
        <f t="shared" si="9"/>
        <v>1899.87</v>
      </c>
      <c r="I139" s="2" t="str">
        <f t="shared" si="6"/>
        <v>00:31</v>
      </c>
      <c r="J139" s="3">
        <f t="shared" si="10"/>
        <v>0.28701220309064762</v>
      </c>
      <c r="K139" s="19">
        <v>30.385999999999999</v>
      </c>
      <c r="L139" s="21">
        <f t="shared" si="11"/>
        <v>1508.536139444444</v>
      </c>
      <c r="M139" s="19">
        <f t="shared" si="7"/>
        <v>1.98</v>
      </c>
      <c r="N139" s="2">
        <v>23.2</v>
      </c>
    </row>
    <row r="140" spans="1:14" x14ac:dyDescent="0.25">
      <c r="A140" s="2">
        <v>2512316</v>
      </c>
      <c r="B140" s="2">
        <v>1.88</v>
      </c>
      <c r="C140" s="19">
        <f t="shared" si="8"/>
        <v>29.854439999999951</v>
      </c>
      <c r="H140" s="2">
        <f t="shared" si="9"/>
        <v>1914.9479999999999</v>
      </c>
      <c r="I140" s="2" t="str">
        <f t="shared" si="6"/>
        <v>00:31</v>
      </c>
      <c r="J140" s="3">
        <f t="shared" si="10"/>
        <v>0.28858999989430056</v>
      </c>
      <c r="K140" s="19">
        <v>30.37</v>
      </c>
      <c r="L140" s="21">
        <f t="shared" si="11"/>
        <v>1516.8290394444439</v>
      </c>
      <c r="M140" s="19">
        <f t="shared" si="7"/>
        <v>1.98</v>
      </c>
      <c r="N140" s="2">
        <v>23.3</v>
      </c>
    </row>
    <row r="141" spans="1:14" x14ac:dyDescent="0.25">
      <c r="A141" s="2">
        <v>2527404</v>
      </c>
      <c r="B141" s="2">
        <v>1.89</v>
      </c>
      <c r="C141" s="19">
        <f t="shared" si="8"/>
        <v>30.025120000000385</v>
      </c>
      <c r="H141" s="2">
        <f t="shared" si="9"/>
        <v>1930.0360000000001</v>
      </c>
      <c r="I141" s="2" t="str">
        <f t="shared" si="6"/>
        <v>00:32</v>
      </c>
      <c r="J141" s="3">
        <f t="shared" si="10"/>
        <v>0.29017681707677989</v>
      </c>
      <c r="K141" s="19">
        <v>30.388000000000002</v>
      </c>
      <c r="L141" s="21">
        <f t="shared" si="11"/>
        <v>1525.1693505555552</v>
      </c>
      <c r="M141" s="19">
        <f t="shared" si="7"/>
        <v>1.99</v>
      </c>
      <c r="N141" s="2">
        <v>23.2</v>
      </c>
    </row>
    <row r="142" spans="1:14" x14ac:dyDescent="0.25">
      <c r="A142" s="2">
        <v>2542475</v>
      </c>
      <c r="B142" s="2">
        <v>1.89</v>
      </c>
      <c r="C142" s="19">
        <f t="shared" si="8"/>
        <v>29.991289999999825</v>
      </c>
      <c r="H142" s="2">
        <f t="shared" si="9"/>
        <v>1945.107</v>
      </c>
      <c r="I142" s="2" t="str">
        <f t="shared" ref="I142:I205" si="12">TEXT(H142/86400,"hh:mm")</f>
        <v>00:32</v>
      </c>
      <c r="J142" s="3">
        <f t="shared" si="10"/>
        <v>0.2917618463554878</v>
      </c>
      <c r="K142" s="19">
        <v>30.388000000000002</v>
      </c>
      <c r="L142" s="21">
        <f t="shared" si="11"/>
        <v>1533.5002644444439</v>
      </c>
      <c r="M142" s="19">
        <f t="shared" ref="M142:M205" si="13">B142+0.1</f>
        <v>1.99</v>
      </c>
      <c r="N142" s="2">
        <v>23.2</v>
      </c>
    </row>
    <row r="143" spans="1:14" x14ac:dyDescent="0.25">
      <c r="A143" s="2">
        <v>2557554</v>
      </c>
      <c r="B143" s="2">
        <v>1.89</v>
      </c>
      <c r="C143" s="19">
        <f t="shared" ref="C143:C206" si="14">M143*(H143-H142)</f>
        <v>30.007210000000356</v>
      </c>
      <c r="H143" s="2">
        <f t="shared" ref="H143:H206" si="15">(A143/1000-612.368)+15</f>
        <v>1960.1860000000001</v>
      </c>
      <c r="I143" s="2" t="str">
        <f t="shared" si="12"/>
        <v>00:32</v>
      </c>
      <c r="J143" s="3">
        <f t="shared" ref="J143:J206" si="16">L143/5256</f>
        <v>0.29334771700067641</v>
      </c>
      <c r="K143" s="19">
        <v>30.387</v>
      </c>
      <c r="L143" s="21">
        <f t="shared" si="11"/>
        <v>1541.8356005555552</v>
      </c>
      <c r="M143" s="19">
        <f t="shared" si="13"/>
        <v>1.99</v>
      </c>
      <c r="N143" s="2">
        <v>23.2</v>
      </c>
    </row>
    <row r="144" spans="1:14" x14ac:dyDescent="0.25">
      <c r="A144" s="2">
        <v>2572632</v>
      </c>
      <c r="B144" s="2">
        <v>1.88</v>
      </c>
      <c r="C144" s="19">
        <f t="shared" si="14"/>
        <v>29.854439999999951</v>
      </c>
      <c r="H144" s="2">
        <f t="shared" si="15"/>
        <v>1975.2640000000001</v>
      </c>
      <c r="I144" s="2" t="str">
        <f t="shared" si="12"/>
        <v>00:32</v>
      </c>
      <c r="J144" s="3">
        <f t="shared" si="16"/>
        <v>0.29492551380432935</v>
      </c>
      <c r="K144" s="19">
        <v>30.388000000000002</v>
      </c>
      <c r="L144" s="21">
        <f t="shared" ref="L144:L207" si="17">C144*1000/(60*60) + L143</f>
        <v>1550.1285005555551</v>
      </c>
      <c r="M144" s="19">
        <f t="shared" si="13"/>
        <v>1.98</v>
      </c>
      <c r="N144" s="2">
        <v>23.3</v>
      </c>
    </row>
    <row r="145" spans="1:14" x14ac:dyDescent="0.25">
      <c r="A145" s="2">
        <v>2587723</v>
      </c>
      <c r="B145" s="2">
        <v>1.88</v>
      </c>
      <c r="C145" s="19">
        <f t="shared" si="14"/>
        <v>29.88017999999979</v>
      </c>
      <c r="H145" s="2">
        <f t="shared" si="15"/>
        <v>1990.355</v>
      </c>
      <c r="I145" s="2" t="str">
        <f t="shared" si="12"/>
        <v>00:33</v>
      </c>
      <c r="J145" s="3">
        <f t="shared" si="16"/>
        <v>0.29650467095805838</v>
      </c>
      <c r="K145" s="19">
        <v>30.427</v>
      </c>
      <c r="L145" s="21">
        <f t="shared" si="17"/>
        <v>1558.4285505555549</v>
      </c>
      <c r="M145" s="19">
        <f t="shared" si="13"/>
        <v>1.98</v>
      </c>
      <c r="N145" s="2">
        <v>23.2</v>
      </c>
    </row>
    <row r="146" spans="1:14" x14ac:dyDescent="0.25">
      <c r="A146" s="2">
        <v>2602799</v>
      </c>
      <c r="B146" s="2">
        <v>1.89</v>
      </c>
      <c r="C146" s="19">
        <f t="shared" si="14"/>
        <v>30.001240000000042</v>
      </c>
      <c r="H146" s="2">
        <f t="shared" si="15"/>
        <v>2005.431</v>
      </c>
      <c r="I146" s="2" t="str">
        <f t="shared" si="12"/>
        <v>00:33</v>
      </c>
      <c r="J146" s="3">
        <f t="shared" si="16"/>
        <v>0.29809022609081676</v>
      </c>
      <c r="K146" s="19">
        <v>30.408999999999999</v>
      </c>
      <c r="L146" s="21">
        <f t="shared" si="17"/>
        <v>1566.7622283333328</v>
      </c>
      <c r="M146" s="19">
        <f t="shared" si="13"/>
        <v>1.99</v>
      </c>
      <c r="N146" s="2">
        <v>23.3</v>
      </c>
    </row>
    <row r="147" spans="1:14" x14ac:dyDescent="0.25">
      <c r="A147" s="2">
        <v>2617887</v>
      </c>
      <c r="B147" s="2">
        <v>1.91</v>
      </c>
      <c r="C147" s="19">
        <f t="shared" si="14"/>
        <v>30.326880000000383</v>
      </c>
      <c r="H147" s="2">
        <f t="shared" si="15"/>
        <v>2020.5190000000002</v>
      </c>
      <c r="I147" s="2" t="str">
        <f t="shared" si="12"/>
        <v>00:33</v>
      </c>
      <c r="J147" s="3">
        <f t="shared" si="16"/>
        <v>0.29969299118467774</v>
      </c>
      <c r="K147" s="19">
        <v>30.425000000000001</v>
      </c>
      <c r="L147" s="21">
        <f t="shared" si="17"/>
        <v>1575.1863616666662</v>
      </c>
      <c r="M147" s="19">
        <f t="shared" si="13"/>
        <v>2.0099999999999998</v>
      </c>
      <c r="N147" s="2">
        <v>23.3</v>
      </c>
    </row>
    <row r="148" spans="1:14" x14ac:dyDescent="0.25">
      <c r="A148" s="2">
        <v>2632965</v>
      </c>
      <c r="B148" s="2">
        <v>1.87</v>
      </c>
      <c r="C148" s="19">
        <f t="shared" si="14"/>
        <v>29.703659999999953</v>
      </c>
      <c r="H148" s="2">
        <f t="shared" si="15"/>
        <v>2035.5970000000002</v>
      </c>
      <c r="I148" s="2" t="str">
        <f t="shared" si="12"/>
        <v>00:33</v>
      </c>
      <c r="J148" s="3">
        <f t="shared" si="16"/>
        <v>0.30126281931760518</v>
      </c>
      <c r="K148" s="19">
        <v>30.408999999999999</v>
      </c>
      <c r="L148" s="21">
        <f t="shared" si="17"/>
        <v>1583.4373783333328</v>
      </c>
      <c r="M148" s="19">
        <f t="shared" si="13"/>
        <v>1.9700000000000002</v>
      </c>
      <c r="N148" s="2">
        <v>23.3</v>
      </c>
    </row>
    <row r="149" spans="1:14" x14ac:dyDescent="0.25">
      <c r="A149" s="2">
        <v>2648043</v>
      </c>
      <c r="B149" s="2">
        <v>1.91</v>
      </c>
      <c r="C149" s="19">
        <f t="shared" si="14"/>
        <v>30.306779999999947</v>
      </c>
      <c r="H149" s="2">
        <f t="shared" si="15"/>
        <v>2050.6750000000002</v>
      </c>
      <c r="I149" s="2" t="str">
        <f t="shared" si="12"/>
        <v>00:34</v>
      </c>
      <c r="J149" s="3">
        <f t="shared" si="16"/>
        <v>0.30286452213343473</v>
      </c>
      <c r="K149" s="19">
        <v>30.428000000000001</v>
      </c>
      <c r="L149" s="21">
        <f t="shared" si="17"/>
        <v>1591.8559283333329</v>
      </c>
      <c r="M149" s="19">
        <f t="shared" si="13"/>
        <v>2.0099999999999998</v>
      </c>
      <c r="N149" s="2">
        <v>23.3</v>
      </c>
    </row>
    <row r="150" spans="1:14" x14ac:dyDescent="0.25">
      <c r="A150" s="2">
        <v>2663121</v>
      </c>
      <c r="B150" s="2">
        <v>1.89</v>
      </c>
      <c r="C150" s="19">
        <f t="shared" si="14"/>
        <v>30.005219999999948</v>
      </c>
      <c r="H150" s="2">
        <f t="shared" si="15"/>
        <v>2065.7530000000002</v>
      </c>
      <c r="I150" s="2" t="str">
        <f t="shared" si="12"/>
        <v>00:34</v>
      </c>
      <c r="J150" s="3">
        <f t="shared" si="16"/>
        <v>0.30445028760781317</v>
      </c>
      <c r="K150" s="19">
        <v>30.465</v>
      </c>
      <c r="L150" s="21">
        <f t="shared" si="17"/>
        <v>1600.1907116666662</v>
      </c>
      <c r="M150" s="19">
        <f t="shared" si="13"/>
        <v>1.99</v>
      </c>
      <c r="N150" s="2">
        <v>23.4</v>
      </c>
    </row>
    <row r="151" spans="1:14" x14ac:dyDescent="0.25">
      <c r="A151" s="2">
        <v>2678199</v>
      </c>
      <c r="B151" s="2">
        <v>1.88</v>
      </c>
      <c r="C151" s="19">
        <f t="shared" si="14"/>
        <v>29.854439999999951</v>
      </c>
      <c r="H151" s="2">
        <f t="shared" si="15"/>
        <v>2080.8310000000001</v>
      </c>
      <c r="I151" s="2" t="str">
        <f t="shared" si="12"/>
        <v>00:34</v>
      </c>
      <c r="J151" s="3">
        <f t="shared" si="16"/>
        <v>0.30602808441146617</v>
      </c>
      <c r="K151" s="19">
        <v>30.481999999999999</v>
      </c>
      <c r="L151" s="21">
        <f t="shared" si="17"/>
        <v>1608.4836116666661</v>
      </c>
      <c r="M151" s="19">
        <f t="shared" si="13"/>
        <v>1.98</v>
      </c>
      <c r="N151" s="2">
        <v>23.5</v>
      </c>
    </row>
    <row r="152" spans="1:14" x14ac:dyDescent="0.25">
      <c r="A152" s="2">
        <v>2693287</v>
      </c>
      <c r="B152" s="2">
        <v>1.87</v>
      </c>
      <c r="C152" s="19">
        <f t="shared" si="14"/>
        <v>29.723359999999488</v>
      </c>
      <c r="H152" s="2">
        <f t="shared" si="15"/>
        <v>2095.9189999999999</v>
      </c>
      <c r="I152" s="2" t="str">
        <f t="shared" si="12"/>
        <v>00:34</v>
      </c>
      <c r="J152" s="3">
        <f t="shared" si="16"/>
        <v>0.30759895368256368</v>
      </c>
      <c r="K152" s="19">
        <v>30.465</v>
      </c>
      <c r="L152" s="21">
        <f t="shared" si="17"/>
        <v>1616.7401005555548</v>
      </c>
      <c r="M152" s="19">
        <f t="shared" si="13"/>
        <v>1.9700000000000002</v>
      </c>
      <c r="N152" s="2">
        <v>23.4</v>
      </c>
    </row>
    <row r="153" spans="1:14" x14ac:dyDescent="0.25">
      <c r="A153" s="2">
        <v>2708375</v>
      </c>
      <c r="B153" s="2">
        <v>1.88</v>
      </c>
      <c r="C153" s="19">
        <f t="shared" si="14"/>
        <v>29.87424000000038</v>
      </c>
      <c r="H153" s="2">
        <f t="shared" si="15"/>
        <v>2111.0070000000001</v>
      </c>
      <c r="I153" s="2" t="str">
        <f t="shared" si="12"/>
        <v>00:35</v>
      </c>
      <c r="J153" s="3">
        <f t="shared" si="16"/>
        <v>0.30917779690935215</v>
      </c>
      <c r="K153" s="19">
        <v>30.466000000000001</v>
      </c>
      <c r="L153" s="21">
        <f t="shared" si="17"/>
        <v>1625.0385005555549</v>
      </c>
      <c r="M153" s="19">
        <f t="shared" si="13"/>
        <v>1.98</v>
      </c>
      <c r="N153" s="2">
        <v>23.6</v>
      </c>
    </row>
    <row r="154" spans="1:14" x14ac:dyDescent="0.25">
      <c r="A154" s="2">
        <v>2723453</v>
      </c>
      <c r="B154" s="2">
        <v>1.88</v>
      </c>
      <c r="C154" s="19">
        <f t="shared" si="14"/>
        <v>29.854439999999951</v>
      </c>
      <c r="H154" s="2">
        <f t="shared" si="15"/>
        <v>2126.085</v>
      </c>
      <c r="I154" s="2" t="str">
        <f t="shared" si="12"/>
        <v>00:35</v>
      </c>
      <c r="J154" s="3">
        <f t="shared" si="16"/>
        <v>0.3107555937130051</v>
      </c>
      <c r="K154" s="19">
        <v>30.504999999999999</v>
      </c>
      <c r="L154" s="21">
        <f t="shared" si="17"/>
        <v>1633.3314005555549</v>
      </c>
      <c r="M154" s="19">
        <f t="shared" si="13"/>
        <v>1.98</v>
      </c>
      <c r="N154" s="2">
        <v>23.4</v>
      </c>
    </row>
    <row r="155" spans="1:14" x14ac:dyDescent="0.25">
      <c r="A155" s="2">
        <v>2738541</v>
      </c>
      <c r="B155" s="2">
        <v>1.9</v>
      </c>
      <c r="C155" s="19">
        <f t="shared" si="14"/>
        <v>30.176000000000386</v>
      </c>
      <c r="H155" s="2">
        <f t="shared" si="15"/>
        <v>2141.1730000000002</v>
      </c>
      <c r="I155" s="2" t="str">
        <f t="shared" si="12"/>
        <v>00:35</v>
      </c>
      <c r="J155" s="3">
        <f t="shared" si="16"/>
        <v>0.31235038485117528</v>
      </c>
      <c r="K155" s="19">
        <v>30.465</v>
      </c>
      <c r="L155" s="21">
        <f t="shared" si="17"/>
        <v>1641.7136227777771</v>
      </c>
      <c r="M155" s="19">
        <f t="shared" si="13"/>
        <v>2</v>
      </c>
      <c r="N155" s="2">
        <v>23.4</v>
      </c>
    </row>
    <row r="156" spans="1:14" x14ac:dyDescent="0.25">
      <c r="A156" s="2">
        <v>2753619</v>
      </c>
      <c r="B156" s="2">
        <v>1.89</v>
      </c>
      <c r="C156" s="19">
        <f t="shared" si="14"/>
        <v>30.005219999999948</v>
      </c>
      <c r="H156" s="2">
        <f t="shared" si="15"/>
        <v>2156.2510000000002</v>
      </c>
      <c r="I156" s="2" t="str">
        <f t="shared" si="12"/>
        <v>00:35</v>
      </c>
      <c r="J156" s="3">
        <f t="shared" si="16"/>
        <v>0.31393615032555372</v>
      </c>
      <c r="K156" s="19">
        <v>30.446000000000002</v>
      </c>
      <c r="L156" s="21">
        <f t="shared" si="17"/>
        <v>1650.0484061111104</v>
      </c>
      <c r="M156" s="19">
        <f t="shared" si="13"/>
        <v>1.99</v>
      </c>
      <c r="N156" s="2">
        <v>23.4</v>
      </c>
    </row>
    <row r="157" spans="1:14" x14ac:dyDescent="0.25">
      <c r="A157" s="2">
        <v>2768697</v>
      </c>
      <c r="B157" s="2">
        <v>1.9</v>
      </c>
      <c r="C157" s="19">
        <f t="shared" si="14"/>
        <v>30.155999999999949</v>
      </c>
      <c r="H157" s="2">
        <f t="shared" si="15"/>
        <v>2171.3290000000002</v>
      </c>
      <c r="I157" s="2" t="str">
        <f t="shared" si="12"/>
        <v>00:36</v>
      </c>
      <c r="J157" s="3">
        <f t="shared" si="16"/>
        <v>0.31552988447065772</v>
      </c>
      <c r="K157" s="19">
        <v>30.503</v>
      </c>
      <c r="L157" s="21">
        <f t="shared" si="17"/>
        <v>1658.4250727777769</v>
      </c>
      <c r="M157" s="19">
        <f t="shared" si="13"/>
        <v>2</v>
      </c>
      <c r="N157" s="2">
        <v>23.5</v>
      </c>
    </row>
    <row r="158" spans="1:14" x14ac:dyDescent="0.25">
      <c r="A158" s="2">
        <v>2783775</v>
      </c>
      <c r="B158" s="2">
        <v>1.89</v>
      </c>
      <c r="C158" s="19">
        <f t="shared" si="14"/>
        <v>30.005219999999948</v>
      </c>
      <c r="H158" s="2">
        <f t="shared" si="15"/>
        <v>2186.4070000000002</v>
      </c>
      <c r="I158" s="2" t="str">
        <f t="shared" si="12"/>
        <v>00:36</v>
      </c>
      <c r="J158" s="3">
        <f t="shared" si="16"/>
        <v>0.31711564994503616</v>
      </c>
      <c r="K158" s="19">
        <v>30.501999999999999</v>
      </c>
      <c r="L158" s="21">
        <f t="shared" si="17"/>
        <v>1666.7598561111101</v>
      </c>
      <c r="M158" s="19">
        <f t="shared" si="13"/>
        <v>1.99</v>
      </c>
      <c r="N158" s="2">
        <v>23.6</v>
      </c>
    </row>
    <row r="159" spans="1:14" x14ac:dyDescent="0.25">
      <c r="A159" s="2">
        <v>2798853</v>
      </c>
      <c r="B159" s="2">
        <v>1.88</v>
      </c>
      <c r="C159" s="19">
        <f t="shared" si="14"/>
        <v>29.854439999999951</v>
      </c>
      <c r="H159" s="2">
        <f t="shared" si="15"/>
        <v>2201.4850000000001</v>
      </c>
      <c r="I159" s="2" t="str">
        <f t="shared" si="12"/>
        <v>00:36</v>
      </c>
      <c r="J159" s="3">
        <f t="shared" si="16"/>
        <v>0.3186934467486891</v>
      </c>
      <c r="K159" s="19">
        <v>30.541</v>
      </c>
      <c r="L159" s="21">
        <f t="shared" si="17"/>
        <v>1675.0527561111101</v>
      </c>
      <c r="M159" s="19">
        <f t="shared" si="13"/>
        <v>1.98</v>
      </c>
      <c r="N159" s="2">
        <v>23.4</v>
      </c>
    </row>
    <row r="160" spans="1:14" x14ac:dyDescent="0.25">
      <c r="A160" s="2">
        <v>2813941</v>
      </c>
      <c r="B160" s="2">
        <v>1.9</v>
      </c>
      <c r="C160" s="19">
        <f t="shared" si="14"/>
        <v>30.175999999999476</v>
      </c>
      <c r="H160" s="2">
        <f t="shared" si="15"/>
        <v>2216.5729999999999</v>
      </c>
      <c r="I160" s="2" t="str">
        <f t="shared" si="12"/>
        <v>00:36</v>
      </c>
      <c r="J160" s="3">
        <f t="shared" si="16"/>
        <v>0.32028823788685923</v>
      </c>
      <c r="K160" s="19">
        <v>30.501999999999999</v>
      </c>
      <c r="L160" s="21">
        <f t="shared" si="17"/>
        <v>1683.4349783333321</v>
      </c>
      <c r="M160" s="19">
        <f t="shared" si="13"/>
        <v>2</v>
      </c>
      <c r="N160" s="2">
        <v>23.4</v>
      </c>
    </row>
    <row r="161" spans="1:14" x14ac:dyDescent="0.25">
      <c r="A161" s="2">
        <v>2829019</v>
      </c>
      <c r="B161" s="2">
        <v>1.86</v>
      </c>
      <c r="C161" s="19">
        <f t="shared" si="14"/>
        <v>29.552879999999952</v>
      </c>
      <c r="H161" s="2">
        <f t="shared" si="15"/>
        <v>2231.6509999999998</v>
      </c>
      <c r="I161" s="2" t="str">
        <f t="shared" si="12"/>
        <v>00:37</v>
      </c>
      <c r="J161" s="3">
        <f t="shared" si="16"/>
        <v>0.32185009734906117</v>
      </c>
      <c r="K161" s="19">
        <v>30.542000000000002</v>
      </c>
      <c r="L161" s="21">
        <f t="shared" si="17"/>
        <v>1691.6441116666654</v>
      </c>
      <c r="M161" s="19">
        <f t="shared" si="13"/>
        <v>1.9600000000000002</v>
      </c>
      <c r="N161" s="2">
        <v>23.5</v>
      </c>
    </row>
    <row r="162" spans="1:14" x14ac:dyDescent="0.25">
      <c r="A162" s="2">
        <v>2844107</v>
      </c>
      <c r="B162" s="2">
        <v>1.89</v>
      </c>
      <c r="C162" s="19">
        <f t="shared" si="14"/>
        <v>30.025120000000385</v>
      </c>
      <c r="H162" s="2">
        <f t="shared" si="15"/>
        <v>2246.739</v>
      </c>
      <c r="I162" s="2" t="str">
        <f t="shared" si="12"/>
        <v>00:37</v>
      </c>
      <c r="J162" s="3">
        <f t="shared" si="16"/>
        <v>0.32343691453154044</v>
      </c>
      <c r="K162" s="19">
        <v>30.542000000000002</v>
      </c>
      <c r="L162" s="21">
        <f t="shared" si="17"/>
        <v>1699.9844227777767</v>
      </c>
      <c r="M162" s="19">
        <f t="shared" si="13"/>
        <v>1.99</v>
      </c>
      <c r="N162" s="2">
        <v>23.4</v>
      </c>
    </row>
    <row r="163" spans="1:14" x14ac:dyDescent="0.25">
      <c r="A163" s="2">
        <v>2859185</v>
      </c>
      <c r="B163" s="2">
        <v>1.9</v>
      </c>
      <c r="C163" s="19">
        <f t="shared" si="14"/>
        <v>30.155999999999949</v>
      </c>
      <c r="H163" s="2">
        <f t="shared" si="15"/>
        <v>2261.817</v>
      </c>
      <c r="I163" s="2" t="str">
        <f t="shared" si="12"/>
        <v>00:37</v>
      </c>
      <c r="J163" s="3">
        <f t="shared" si="16"/>
        <v>0.32503064867664444</v>
      </c>
      <c r="K163" s="19">
        <v>30.562999999999999</v>
      </c>
      <c r="L163" s="21">
        <f t="shared" si="17"/>
        <v>1708.3610894444432</v>
      </c>
      <c r="M163" s="19">
        <f t="shared" si="13"/>
        <v>2</v>
      </c>
      <c r="N163" s="2">
        <v>23.4</v>
      </c>
    </row>
    <row r="164" spans="1:14" x14ac:dyDescent="0.25">
      <c r="A164" s="2">
        <v>2874273</v>
      </c>
      <c r="B164" s="2">
        <v>1.88</v>
      </c>
      <c r="C164" s="19">
        <f t="shared" si="14"/>
        <v>29.87424000000038</v>
      </c>
      <c r="H164" s="2">
        <f t="shared" si="15"/>
        <v>2276.9050000000002</v>
      </c>
      <c r="I164" s="2" t="str">
        <f t="shared" si="12"/>
        <v>00:37</v>
      </c>
      <c r="J164" s="3">
        <f t="shared" si="16"/>
        <v>0.32660949190343291</v>
      </c>
      <c r="K164" s="19">
        <v>30.562999999999999</v>
      </c>
      <c r="L164" s="21">
        <f t="shared" si="17"/>
        <v>1716.6594894444434</v>
      </c>
      <c r="M164" s="19">
        <f t="shared" si="13"/>
        <v>1.98</v>
      </c>
      <c r="N164" s="2">
        <v>23.4</v>
      </c>
    </row>
    <row r="165" spans="1:14" x14ac:dyDescent="0.25">
      <c r="A165" s="2">
        <v>2889351</v>
      </c>
      <c r="B165" s="2">
        <v>1.9</v>
      </c>
      <c r="C165" s="19">
        <f t="shared" si="14"/>
        <v>30.155999999999949</v>
      </c>
      <c r="H165" s="2">
        <f t="shared" si="15"/>
        <v>2291.9830000000002</v>
      </c>
      <c r="I165" s="2" t="str">
        <f t="shared" si="12"/>
        <v>00:38</v>
      </c>
      <c r="J165" s="3">
        <f t="shared" si="16"/>
        <v>0.32820322604853691</v>
      </c>
      <c r="K165" s="19">
        <v>30.581</v>
      </c>
      <c r="L165" s="21">
        <f t="shared" si="17"/>
        <v>1725.0361561111099</v>
      </c>
      <c r="M165" s="19">
        <f t="shared" si="13"/>
        <v>2</v>
      </c>
      <c r="N165" s="2">
        <v>23.5</v>
      </c>
    </row>
    <row r="166" spans="1:14" x14ac:dyDescent="0.25">
      <c r="A166" s="2">
        <v>2904440</v>
      </c>
      <c r="B166" s="2">
        <v>1.88</v>
      </c>
      <c r="C166" s="19">
        <f t="shared" si="14"/>
        <v>29.876219999999883</v>
      </c>
      <c r="H166" s="2">
        <f t="shared" si="15"/>
        <v>2307.0720000000001</v>
      </c>
      <c r="I166" s="2" t="str">
        <f t="shared" si="12"/>
        <v>00:38</v>
      </c>
      <c r="J166" s="3">
        <f t="shared" si="16"/>
        <v>0.32978217391763887</v>
      </c>
      <c r="K166" s="19">
        <v>30.579000000000001</v>
      </c>
      <c r="L166" s="21">
        <f t="shared" si="17"/>
        <v>1733.3351061111098</v>
      </c>
      <c r="M166" s="19">
        <f t="shared" si="13"/>
        <v>1.98</v>
      </c>
      <c r="N166" s="2">
        <v>23.5</v>
      </c>
    </row>
    <row r="167" spans="1:14" x14ac:dyDescent="0.25">
      <c r="A167" s="2">
        <v>2919518</v>
      </c>
      <c r="B167" s="2">
        <v>1.9</v>
      </c>
      <c r="C167" s="19">
        <f t="shared" si="14"/>
        <v>30.155999999999949</v>
      </c>
      <c r="H167" s="2">
        <f t="shared" si="15"/>
        <v>2322.15</v>
      </c>
      <c r="I167" s="2" t="str">
        <f t="shared" si="12"/>
        <v>00:38</v>
      </c>
      <c r="J167" s="3">
        <f t="shared" si="16"/>
        <v>0.33137590806274281</v>
      </c>
      <c r="K167" s="19">
        <v>30.562000000000001</v>
      </c>
      <c r="L167" s="21">
        <f t="shared" si="17"/>
        <v>1741.7117727777763</v>
      </c>
      <c r="M167" s="19">
        <f t="shared" si="13"/>
        <v>2</v>
      </c>
      <c r="N167" s="2">
        <v>23.5</v>
      </c>
    </row>
    <row r="168" spans="1:14" x14ac:dyDescent="0.25">
      <c r="A168" s="2">
        <v>2934606</v>
      </c>
      <c r="B168" s="2">
        <v>1.88</v>
      </c>
      <c r="C168" s="19">
        <f t="shared" si="14"/>
        <v>29.87424000000038</v>
      </c>
      <c r="H168" s="2">
        <f t="shared" si="15"/>
        <v>2337.2380000000003</v>
      </c>
      <c r="I168" s="2" t="str">
        <f t="shared" si="12"/>
        <v>00:38</v>
      </c>
      <c r="J168" s="3">
        <f t="shared" si="16"/>
        <v>0.33295475128953128</v>
      </c>
      <c r="K168" s="19">
        <v>30.62</v>
      </c>
      <c r="L168" s="21">
        <f t="shared" si="17"/>
        <v>1750.0101727777765</v>
      </c>
      <c r="M168" s="19">
        <f t="shared" si="13"/>
        <v>1.98</v>
      </c>
      <c r="N168" s="2">
        <v>23.7</v>
      </c>
    </row>
    <row r="169" spans="1:14" x14ac:dyDescent="0.25">
      <c r="A169" s="2">
        <v>2949684</v>
      </c>
      <c r="B169" s="2">
        <v>1.89</v>
      </c>
      <c r="C169" s="19">
        <f t="shared" si="14"/>
        <v>30.005219999999948</v>
      </c>
      <c r="H169" s="2">
        <f t="shared" si="15"/>
        <v>2352.3160000000003</v>
      </c>
      <c r="I169" s="2" t="str">
        <f t="shared" si="12"/>
        <v>00:39</v>
      </c>
      <c r="J169" s="3">
        <f t="shared" si="16"/>
        <v>0.33454051676390978</v>
      </c>
      <c r="K169" s="19">
        <v>30.602</v>
      </c>
      <c r="L169" s="21">
        <f t="shared" si="17"/>
        <v>1758.3449561111097</v>
      </c>
      <c r="M169" s="19">
        <f t="shared" si="13"/>
        <v>1.99</v>
      </c>
      <c r="N169" s="2">
        <v>23.7</v>
      </c>
    </row>
    <row r="170" spans="1:14" x14ac:dyDescent="0.25">
      <c r="A170" s="2">
        <v>2964762</v>
      </c>
      <c r="B170" s="2">
        <v>1.89</v>
      </c>
      <c r="C170" s="19">
        <f t="shared" si="14"/>
        <v>30.005219999999948</v>
      </c>
      <c r="H170" s="2">
        <f t="shared" si="15"/>
        <v>2367.3940000000002</v>
      </c>
      <c r="I170" s="2" t="str">
        <f t="shared" si="12"/>
        <v>00:39</v>
      </c>
      <c r="J170" s="3">
        <f t="shared" si="16"/>
        <v>0.33612628223828822</v>
      </c>
      <c r="K170" s="19">
        <v>30.62</v>
      </c>
      <c r="L170" s="21">
        <f t="shared" si="17"/>
        <v>1766.6797394444429</v>
      </c>
      <c r="M170" s="19">
        <f t="shared" si="13"/>
        <v>1.99</v>
      </c>
      <c r="N170" s="2">
        <v>23.8</v>
      </c>
    </row>
    <row r="171" spans="1:14" x14ac:dyDescent="0.25">
      <c r="A171" s="2">
        <v>2979850</v>
      </c>
      <c r="B171" s="2">
        <v>1.89</v>
      </c>
      <c r="C171" s="19">
        <f t="shared" si="14"/>
        <v>30.025119999999479</v>
      </c>
      <c r="H171" s="2">
        <f t="shared" si="15"/>
        <v>2382.482</v>
      </c>
      <c r="I171" s="2" t="str">
        <f t="shared" si="12"/>
        <v>00:39</v>
      </c>
      <c r="J171" s="3">
        <f t="shared" si="16"/>
        <v>0.33771309942076749</v>
      </c>
      <c r="K171" s="19">
        <v>30.619</v>
      </c>
      <c r="L171" s="21">
        <f t="shared" si="17"/>
        <v>1775.020050555554</v>
      </c>
      <c r="M171" s="19">
        <f t="shared" si="13"/>
        <v>1.99</v>
      </c>
      <c r="N171" s="2">
        <v>23.9</v>
      </c>
    </row>
    <row r="172" spans="1:14" x14ac:dyDescent="0.25">
      <c r="A172" s="2">
        <v>2994928</v>
      </c>
      <c r="B172" s="2">
        <v>1.88</v>
      </c>
      <c r="C172" s="19">
        <f t="shared" si="14"/>
        <v>29.854439999999951</v>
      </c>
      <c r="H172" s="2">
        <f t="shared" si="15"/>
        <v>2397.56</v>
      </c>
      <c r="I172" s="2" t="str">
        <f t="shared" si="12"/>
        <v>00:39</v>
      </c>
      <c r="J172" s="3">
        <f t="shared" si="16"/>
        <v>0.33929089622442044</v>
      </c>
      <c r="K172" s="19">
        <v>30.600999999999999</v>
      </c>
      <c r="L172" s="21">
        <f t="shared" si="17"/>
        <v>1783.3129505555539</v>
      </c>
      <c r="M172" s="19">
        <f t="shared" si="13"/>
        <v>1.98</v>
      </c>
      <c r="N172" s="2">
        <v>23.8</v>
      </c>
    </row>
    <row r="173" spans="1:14" x14ac:dyDescent="0.25">
      <c r="A173" s="2">
        <v>3010006</v>
      </c>
      <c r="B173" s="2">
        <v>1.87</v>
      </c>
      <c r="C173" s="19">
        <f t="shared" si="14"/>
        <v>29.703659999999953</v>
      </c>
      <c r="H173" s="2">
        <f t="shared" si="15"/>
        <v>2412.6379999999999</v>
      </c>
      <c r="I173" s="2" t="str">
        <f t="shared" si="12"/>
        <v>00:40</v>
      </c>
      <c r="J173" s="3">
        <f t="shared" si="16"/>
        <v>0.34086072435734788</v>
      </c>
      <c r="K173" s="19">
        <v>30.64</v>
      </c>
      <c r="L173" s="21">
        <f t="shared" si="17"/>
        <v>1791.5639672222205</v>
      </c>
      <c r="M173" s="19">
        <f t="shared" si="13"/>
        <v>1.9700000000000002</v>
      </c>
      <c r="N173" s="2">
        <v>23.7</v>
      </c>
    </row>
    <row r="174" spans="1:14" x14ac:dyDescent="0.25">
      <c r="A174" s="2">
        <v>3025094</v>
      </c>
      <c r="B174" s="2">
        <v>1.9</v>
      </c>
      <c r="C174" s="19">
        <f t="shared" si="14"/>
        <v>30.176000000000386</v>
      </c>
      <c r="H174" s="2">
        <f t="shared" si="15"/>
        <v>2427.7260000000001</v>
      </c>
      <c r="I174" s="2" t="str">
        <f t="shared" si="12"/>
        <v>00:40</v>
      </c>
      <c r="J174" s="3">
        <f t="shared" si="16"/>
        <v>0.34245551549551806</v>
      </c>
      <c r="K174" s="19">
        <v>30.658000000000001</v>
      </c>
      <c r="L174" s="21">
        <f t="shared" si="17"/>
        <v>1799.9461894444428</v>
      </c>
      <c r="M174" s="19">
        <f t="shared" si="13"/>
        <v>2</v>
      </c>
      <c r="N174" s="2">
        <v>23.7</v>
      </c>
    </row>
    <row r="175" spans="1:14" x14ac:dyDescent="0.25">
      <c r="A175" s="2">
        <v>3040182</v>
      </c>
      <c r="B175" s="2">
        <v>1.89</v>
      </c>
      <c r="C175" s="19">
        <f t="shared" si="14"/>
        <v>30.025119999999479</v>
      </c>
      <c r="H175" s="2">
        <f t="shared" si="15"/>
        <v>2442.8139999999999</v>
      </c>
      <c r="I175" s="2" t="str">
        <f t="shared" si="12"/>
        <v>00:40</v>
      </c>
      <c r="J175" s="3">
        <f t="shared" si="16"/>
        <v>0.34404233267799733</v>
      </c>
      <c r="K175" s="19">
        <v>30.658000000000001</v>
      </c>
      <c r="L175" s="21">
        <f t="shared" si="17"/>
        <v>1808.2865005555539</v>
      </c>
      <c r="M175" s="19">
        <f t="shared" si="13"/>
        <v>1.99</v>
      </c>
      <c r="N175" s="2">
        <v>23.7</v>
      </c>
    </row>
    <row r="176" spans="1:14" x14ac:dyDescent="0.25">
      <c r="A176" s="2">
        <v>3055274</v>
      </c>
      <c r="B176" s="2">
        <v>1.92</v>
      </c>
      <c r="C176" s="19">
        <f t="shared" si="14"/>
        <v>30.485840000000199</v>
      </c>
      <c r="H176" s="2">
        <f t="shared" si="15"/>
        <v>2457.9059999999999</v>
      </c>
      <c r="I176" s="2" t="str">
        <f t="shared" si="12"/>
        <v>00:40</v>
      </c>
      <c r="J176" s="3">
        <f t="shared" si="16"/>
        <v>0.34565349875274787</v>
      </c>
      <c r="K176" s="19">
        <v>30.658999999999999</v>
      </c>
      <c r="L176" s="21">
        <f t="shared" si="17"/>
        <v>1816.7547894444428</v>
      </c>
      <c r="M176" s="19">
        <f t="shared" si="13"/>
        <v>2.02</v>
      </c>
      <c r="N176" s="2">
        <v>23.8</v>
      </c>
    </row>
    <row r="177" spans="1:14" x14ac:dyDescent="0.25">
      <c r="A177" s="2">
        <v>3070351</v>
      </c>
      <c r="B177" s="2">
        <v>1.88</v>
      </c>
      <c r="C177" s="19">
        <f t="shared" si="14"/>
        <v>29.852460000000445</v>
      </c>
      <c r="H177" s="2">
        <f t="shared" si="15"/>
        <v>2472.9830000000002</v>
      </c>
      <c r="I177" s="2" t="str">
        <f t="shared" si="12"/>
        <v>00:41</v>
      </c>
      <c r="J177" s="3">
        <f t="shared" si="16"/>
        <v>0.34723119091408733</v>
      </c>
      <c r="K177" s="19">
        <v>30.698</v>
      </c>
      <c r="L177" s="21">
        <f t="shared" si="17"/>
        <v>1825.047139444443</v>
      </c>
      <c r="M177" s="19">
        <f t="shared" si="13"/>
        <v>1.98</v>
      </c>
      <c r="N177" s="2">
        <v>23.7</v>
      </c>
    </row>
    <row r="178" spans="1:14" x14ac:dyDescent="0.25">
      <c r="A178" s="2">
        <v>3085433</v>
      </c>
      <c r="B178" s="2">
        <v>1.89</v>
      </c>
      <c r="C178" s="19">
        <f t="shared" si="14"/>
        <v>30.01317999999976</v>
      </c>
      <c r="H178" s="2">
        <f t="shared" si="15"/>
        <v>2488.0650000000001</v>
      </c>
      <c r="I178" s="2" t="str">
        <f t="shared" si="12"/>
        <v>00:41</v>
      </c>
      <c r="J178" s="3">
        <f t="shared" si="16"/>
        <v>0.34881737707170613</v>
      </c>
      <c r="K178" s="19">
        <v>30.658999999999999</v>
      </c>
      <c r="L178" s="21">
        <f t="shared" si="17"/>
        <v>1833.3841338888874</v>
      </c>
      <c r="M178" s="19">
        <f t="shared" si="13"/>
        <v>1.99</v>
      </c>
      <c r="N178" s="2">
        <v>23.8</v>
      </c>
    </row>
    <row r="179" spans="1:14" x14ac:dyDescent="0.25">
      <c r="A179" s="2">
        <v>3100522</v>
      </c>
      <c r="B179" s="2">
        <v>1.91</v>
      </c>
      <c r="C179" s="19">
        <f t="shared" si="14"/>
        <v>30.32888999999988</v>
      </c>
      <c r="H179" s="2">
        <f t="shared" si="15"/>
        <v>2503.154</v>
      </c>
      <c r="I179" s="2" t="str">
        <f t="shared" si="12"/>
        <v>00:41</v>
      </c>
      <c r="J179" s="3">
        <f t="shared" si="16"/>
        <v>0.35042024839337022</v>
      </c>
      <c r="K179" s="19">
        <v>30.696999999999999</v>
      </c>
      <c r="L179" s="21">
        <f t="shared" si="17"/>
        <v>1841.808825555554</v>
      </c>
      <c r="M179" s="19">
        <f t="shared" si="13"/>
        <v>2.0099999999999998</v>
      </c>
      <c r="N179" s="2">
        <v>23.8</v>
      </c>
    </row>
    <row r="180" spans="1:14" x14ac:dyDescent="0.25">
      <c r="A180" s="2">
        <v>3115597</v>
      </c>
      <c r="B180" s="2">
        <v>1.89</v>
      </c>
      <c r="C180" s="19">
        <f t="shared" si="14"/>
        <v>29.999250000000544</v>
      </c>
      <c r="H180" s="2">
        <f t="shared" si="15"/>
        <v>2518.2290000000003</v>
      </c>
      <c r="I180" s="2" t="str">
        <f t="shared" si="12"/>
        <v>00:41</v>
      </c>
      <c r="J180" s="3">
        <f t="shared" si="16"/>
        <v>0.35200569835531853</v>
      </c>
      <c r="K180" s="19">
        <v>30.658000000000001</v>
      </c>
      <c r="L180" s="21">
        <f t="shared" si="17"/>
        <v>1850.1419505555541</v>
      </c>
      <c r="M180" s="19">
        <f t="shared" si="13"/>
        <v>1.99</v>
      </c>
      <c r="N180" s="2">
        <v>23.7</v>
      </c>
    </row>
    <row r="181" spans="1:14" x14ac:dyDescent="0.25">
      <c r="A181" s="2">
        <v>3130685</v>
      </c>
      <c r="B181" s="2">
        <v>1.9</v>
      </c>
      <c r="C181" s="19">
        <f t="shared" si="14"/>
        <v>30.175999999999476</v>
      </c>
      <c r="H181" s="2">
        <f t="shared" si="15"/>
        <v>2533.317</v>
      </c>
      <c r="I181" s="2" t="str">
        <f t="shared" si="12"/>
        <v>00:42</v>
      </c>
      <c r="J181" s="3">
        <f t="shared" si="16"/>
        <v>0.3536004894934886</v>
      </c>
      <c r="K181" s="19">
        <v>30.715</v>
      </c>
      <c r="L181" s="21">
        <f t="shared" si="17"/>
        <v>1858.5241727777761</v>
      </c>
      <c r="M181" s="19">
        <f t="shared" si="13"/>
        <v>2</v>
      </c>
      <c r="N181" s="2">
        <v>23.7</v>
      </c>
    </row>
    <row r="182" spans="1:14" x14ac:dyDescent="0.25">
      <c r="A182" s="2">
        <v>3145763</v>
      </c>
      <c r="B182" s="2">
        <v>1.91</v>
      </c>
      <c r="C182" s="19">
        <f t="shared" si="14"/>
        <v>30.306779999999947</v>
      </c>
      <c r="H182" s="2">
        <f t="shared" si="15"/>
        <v>2548.395</v>
      </c>
      <c r="I182" s="2" t="str">
        <f t="shared" si="12"/>
        <v>00:42</v>
      </c>
      <c r="J182" s="3">
        <f t="shared" si="16"/>
        <v>0.35520219230931815</v>
      </c>
      <c r="K182" s="19">
        <v>30.68</v>
      </c>
      <c r="L182" s="21">
        <f t="shared" si="17"/>
        <v>1866.9427227777762</v>
      </c>
      <c r="M182" s="19">
        <f t="shared" si="13"/>
        <v>2.0099999999999998</v>
      </c>
      <c r="N182" s="2">
        <v>24</v>
      </c>
    </row>
    <row r="183" spans="1:14" x14ac:dyDescent="0.25">
      <c r="A183" s="2">
        <v>3160841</v>
      </c>
      <c r="B183" s="2">
        <v>1.89</v>
      </c>
      <c r="C183" s="19">
        <f t="shared" si="14"/>
        <v>30.005219999999948</v>
      </c>
      <c r="H183" s="2">
        <f t="shared" si="15"/>
        <v>2563.473</v>
      </c>
      <c r="I183" s="2" t="str">
        <f t="shared" si="12"/>
        <v>00:42</v>
      </c>
      <c r="J183" s="3">
        <f t="shared" si="16"/>
        <v>0.35678795778369665</v>
      </c>
      <c r="K183" s="19">
        <v>30.736000000000001</v>
      </c>
      <c r="L183" s="21">
        <f t="shared" si="17"/>
        <v>1875.2775061111095</v>
      </c>
      <c r="M183" s="19">
        <f t="shared" si="13"/>
        <v>1.99</v>
      </c>
      <c r="N183" s="2">
        <v>23.8</v>
      </c>
    </row>
    <row r="184" spans="1:14" x14ac:dyDescent="0.25">
      <c r="A184" s="2">
        <v>3175929</v>
      </c>
      <c r="B184" s="2">
        <v>1.88</v>
      </c>
      <c r="C184" s="19">
        <f t="shared" si="14"/>
        <v>29.87424000000038</v>
      </c>
      <c r="H184" s="2">
        <f t="shared" si="15"/>
        <v>2578.5610000000001</v>
      </c>
      <c r="I184" s="2" t="str">
        <f t="shared" si="12"/>
        <v>00:42</v>
      </c>
      <c r="J184" s="3">
        <f t="shared" si="16"/>
        <v>0.35836680101048507</v>
      </c>
      <c r="K184" s="19">
        <v>30.736000000000001</v>
      </c>
      <c r="L184" s="21">
        <f t="shared" si="17"/>
        <v>1883.5759061111096</v>
      </c>
      <c r="M184" s="19">
        <f t="shared" si="13"/>
        <v>1.98</v>
      </c>
      <c r="N184" s="2">
        <v>23.9</v>
      </c>
    </row>
    <row r="185" spans="1:14" x14ac:dyDescent="0.25">
      <c r="A185" s="2">
        <v>3191007</v>
      </c>
      <c r="B185" s="2">
        <v>1.89</v>
      </c>
      <c r="C185" s="19">
        <f t="shared" si="14"/>
        <v>30.005219999999948</v>
      </c>
      <c r="H185" s="2">
        <f t="shared" si="15"/>
        <v>2593.6390000000001</v>
      </c>
      <c r="I185" s="2" t="str">
        <f t="shared" si="12"/>
        <v>00:43</v>
      </c>
      <c r="J185" s="3">
        <f t="shared" si="16"/>
        <v>0.35995256648486357</v>
      </c>
      <c r="K185" s="19">
        <v>30.734999999999999</v>
      </c>
      <c r="L185" s="21">
        <f t="shared" si="17"/>
        <v>1891.9106894444428</v>
      </c>
      <c r="M185" s="19">
        <f t="shared" si="13"/>
        <v>1.99</v>
      </c>
      <c r="N185" s="2">
        <v>24</v>
      </c>
    </row>
    <row r="186" spans="1:14" x14ac:dyDescent="0.25">
      <c r="A186" s="2">
        <v>3206095</v>
      </c>
      <c r="B186" s="2">
        <v>1.89</v>
      </c>
      <c r="C186" s="19">
        <f t="shared" si="14"/>
        <v>30.025119999999479</v>
      </c>
      <c r="H186" s="2">
        <f t="shared" si="15"/>
        <v>2608.7269999999999</v>
      </c>
      <c r="I186" s="2" t="str">
        <f t="shared" si="12"/>
        <v>00:43</v>
      </c>
      <c r="J186" s="3">
        <f t="shared" si="16"/>
        <v>0.36153938366734284</v>
      </c>
      <c r="K186" s="19">
        <v>30.718</v>
      </c>
      <c r="L186" s="21">
        <f t="shared" si="17"/>
        <v>1900.2510005555539</v>
      </c>
      <c r="M186" s="19">
        <f t="shared" si="13"/>
        <v>1.99</v>
      </c>
      <c r="N186" s="2">
        <v>23.8</v>
      </c>
    </row>
    <row r="187" spans="1:14" x14ac:dyDescent="0.25">
      <c r="A187" s="2">
        <v>3221184</v>
      </c>
      <c r="B187" s="2">
        <v>1.89</v>
      </c>
      <c r="C187" s="19">
        <f t="shared" si="14"/>
        <v>30.027110000000789</v>
      </c>
      <c r="H187" s="2">
        <f t="shared" si="15"/>
        <v>2623.8160000000003</v>
      </c>
      <c r="I187" s="2" t="str">
        <f t="shared" si="12"/>
        <v>00:43</v>
      </c>
      <c r="J187" s="3">
        <f t="shared" si="16"/>
        <v>0.36312630602063223</v>
      </c>
      <c r="K187" s="19">
        <v>30.734000000000002</v>
      </c>
      <c r="L187" s="21">
        <f t="shared" si="17"/>
        <v>1908.591864444443</v>
      </c>
      <c r="M187" s="19">
        <f t="shared" si="13"/>
        <v>1.99</v>
      </c>
      <c r="N187" s="2">
        <v>24.1</v>
      </c>
    </row>
    <row r="188" spans="1:14" x14ac:dyDescent="0.25">
      <c r="A188" s="2">
        <v>3236272</v>
      </c>
      <c r="B188" s="2">
        <v>1.9</v>
      </c>
      <c r="C188" s="19">
        <f t="shared" si="14"/>
        <v>30.175999999999476</v>
      </c>
      <c r="H188" s="2">
        <f t="shared" si="15"/>
        <v>2638.904</v>
      </c>
      <c r="I188" s="2" t="str">
        <f t="shared" si="12"/>
        <v>00:43</v>
      </c>
      <c r="J188" s="3">
        <f t="shared" si="16"/>
        <v>0.3647210971588023</v>
      </c>
      <c r="K188" s="19">
        <v>30.774000000000001</v>
      </c>
      <c r="L188" s="21">
        <f t="shared" si="17"/>
        <v>1916.974086666665</v>
      </c>
      <c r="M188" s="19">
        <f t="shared" si="13"/>
        <v>2</v>
      </c>
      <c r="N188" s="2">
        <v>24.1</v>
      </c>
    </row>
    <row r="189" spans="1:14" x14ac:dyDescent="0.25">
      <c r="A189" s="2">
        <v>3251350</v>
      </c>
      <c r="B189" s="2">
        <v>1.89</v>
      </c>
      <c r="C189" s="19">
        <f t="shared" si="14"/>
        <v>30.005219999999948</v>
      </c>
      <c r="H189" s="2">
        <f t="shared" si="15"/>
        <v>2653.982</v>
      </c>
      <c r="I189" s="2" t="str">
        <f t="shared" si="12"/>
        <v>00:44</v>
      </c>
      <c r="J189" s="3">
        <f t="shared" si="16"/>
        <v>0.3663068626331808</v>
      </c>
      <c r="K189" s="19">
        <v>30.774999999999999</v>
      </c>
      <c r="L189" s="21">
        <f t="shared" si="17"/>
        <v>1925.3088699999983</v>
      </c>
      <c r="M189" s="19">
        <f t="shared" si="13"/>
        <v>1.99</v>
      </c>
      <c r="N189" s="2">
        <v>24</v>
      </c>
    </row>
    <row r="190" spans="1:14" x14ac:dyDescent="0.25">
      <c r="A190" s="2">
        <v>3266439</v>
      </c>
      <c r="B190" s="2">
        <v>1.9</v>
      </c>
      <c r="C190" s="19">
        <f t="shared" si="14"/>
        <v>30.177999999999884</v>
      </c>
      <c r="H190" s="2">
        <f t="shared" si="15"/>
        <v>2669.0709999999999</v>
      </c>
      <c r="I190" s="2" t="str">
        <f t="shared" si="12"/>
        <v>00:44</v>
      </c>
      <c r="J190" s="3">
        <f t="shared" si="16"/>
        <v>0.36790175947065756</v>
      </c>
      <c r="K190" s="19">
        <v>30.757999999999999</v>
      </c>
      <c r="L190" s="21">
        <f t="shared" si="17"/>
        <v>1933.6916477777761</v>
      </c>
      <c r="M190" s="19">
        <f t="shared" si="13"/>
        <v>2</v>
      </c>
      <c r="N190" s="2">
        <v>24.1</v>
      </c>
    </row>
    <row r="191" spans="1:14" x14ac:dyDescent="0.25">
      <c r="A191" s="2">
        <v>3281517</v>
      </c>
      <c r="B191" s="2">
        <v>1.89</v>
      </c>
      <c r="C191" s="19">
        <f t="shared" si="14"/>
        <v>30.005219999999948</v>
      </c>
      <c r="H191" s="2">
        <f t="shared" si="15"/>
        <v>2684.1489999999999</v>
      </c>
      <c r="I191" s="2" t="str">
        <f t="shared" si="12"/>
        <v>00:44</v>
      </c>
      <c r="J191" s="3">
        <f t="shared" si="16"/>
        <v>0.36948752494503601</v>
      </c>
      <c r="K191" s="19">
        <v>30.776</v>
      </c>
      <c r="L191" s="21">
        <f t="shared" si="17"/>
        <v>1942.0264311111093</v>
      </c>
      <c r="M191" s="19">
        <f t="shared" si="13"/>
        <v>1.99</v>
      </c>
      <c r="N191" s="2">
        <v>24.1</v>
      </c>
    </row>
    <row r="192" spans="1:14" x14ac:dyDescent="0.25">
      <c r="A192" s="2">
        <v>3296595</v>
      </c>
      <c r="B192" s="2">
        <v>1.9</v>
      </c>
      <c r="C192" s="19">
        <f t="shared" si="14"/>
        <v>30.155999999999949</v>
      </c>
      <c r="H192" s="2">
        <f t="shared" si="15"/>
        <v>2699.2269999999999</v>
      </c>
      <c r="I192" s="2" t="str">
        <f t="shared" si="12"/>
        <v>00:44</v>
      </c>
      <c r="J192" s="3">
        <f t="shared" si="16"/>
        <v>0.37108125909014</v>
      </c>
      <c r="K192" s="19">
        <v>30.776</v>
      </c>
      <c r="L192" s="21">
        <f t="shared" si="17"/>
        <v>1950.4030977777759</v>
      </c>
      <c r="M192" s="19">
        <f t="shared" si="13"/>
        <v>2</v>
      </c>
      <c r="N192" s="2">
        <v>24.1</v>
      </c>
    </row>
    <row r="193" spans="1:14" x14ac:dyDescent="0.25">
      <c r="A193" s="2">
        <v>3311673</v>
      </c>
      <c r="B193" s="2">
        <v>1.92</v>
      </c>
      <c r="C193" s="19">
        <f t="shared" si="14"/>
        <v>30.457559999999948</v>
      </c>
      <c r="H193" s="2">
        <f t="shared" si="15"/>
        <v>2714.3049999999998</v>
      </c>
      <c r="I193" s="2" t="str">
        <f t="shared" si="12"/>
        <v>00:45</v>
      </c>
      <c r="J193" s="3">
        <f t="shared" si="16"/>
        <v>0.37269093057669506</v>
      </c>
      <c r="K193" s="19">
        <v>30.815000000000001</v>
      </c>
      <c r="L193" s="21">
        <f t="shared" si="17"/>
        <v>1958.8635311111093</v>
      </c>
      <c r="M193" s="19">
        <f t="shared" si="13"/>
        <v>2.02</v>
      </c>
      <c r="N193" s="2">
        <v>24.1</v>
      </c>
    </row>
    <row r="194" spans="1:14" x14ac:dyDescent="0.25">
      <c r="A194" s="2">
        <v>3326751</v>
      </c>
      <c r="B194" s="2">
        <v>1.89</v>
      </c>
      <c r="C194" s="19">
        <f t="shared" si="14"/>
        <v>30.005220000000854</v>
      </c>
      <c r="H194" s="2">
        <f t="shared" si="15"/>
        <v>2729.3830000000003</v>
      </c>
      <c r="I194" s="2" t="str">
        <f t="shared" si="12"/>
        <v>00:45</v>
      </c>
      <c r="J194" s="3">
        <f t="shared" si="16"/>
        <v>0.37427669605107361</v>
      </c>
      <c r="K194" s="19">
        <v>30.795000000000002</v>
      </c>
      <c r="L194" s="21">
        <f t="shared" si="17"/>
        <v>1967.1983144444428</v>
      </c>
      <c r="M194" s="19">
        <f t="shared" si="13"/>
        <v>1.99</v>
      </c>
      <c r="N194" s="2">
        <v>23.9</v>
      </c>
    </row>
    <row r="195" spans="1:14" x14ac:dyDescent="0.25">
      <c r="A195" s="2">
        <v>3341839</v>
      </c>
      <c r="B195" s="2">
        <v>1.9</v>
      </c>
      <c r="C195" s="19">
        <f t="shared" si="14"/>
        <v>30.175999999999476</v>
      </c>
      <c r="H195" s="2">
        <f t="shared" si="15"/>
        <v>2744.471</v>
      </c>
      <c r="I195" s="2" t="str">
        <f t="shared" si="12"/>
        <v>00:45</v>
      </c>
      <c r="J195" s="3">
        <f t="shared" si="16"/>
        <v>0.37587148718924368</v>
      </c>
      <c r="K195" s="19">
        <v>30.797000000000001</v>
      </c>
      <c r="L195" s="21">
        <f t="shared" si="17"/>
        <v>1975.5805366666648</v>
      </c>
      <c r="M195" s="19">
        <f t="shared" si="13"/>
        <v>2</v>
      </c>
      <c r="N195" s="2">
        <v>24.1</v>
      </c>
    </row>
    <row r="196" spans="1:14" x14ac:dyDescent="0.25">
      <c r="A196" s="2">
        <v>3356917</v>
      </c>
      <c r="B196" s="2">
        <v>1.9</v>
      </c>
      <c r="C196" s="19">
        <f t="shared" si="14"/>
        <v>30.155999999999949</v>
      </c>
      <c r="H196" s="2">
        <f t="shared" si="15"/>
        <v>2759.549</v>
      </c>
      <c r="I196" s="2" t="str">
        <f t="shared" si="12"/>
        <v>00:46</v>
      </c>
      <c r="J196" s="3">
        <f t="shared" si="16"/>
        <v>0.37746522133434768</v>
      </c>
      <c r="K196" s="19">
        <v>30.814</v>
      </c>
      <c r="L196" s="21">
        <f t="shared" si="17"/>
        <v>1983.9572033333313</v>
      </c>
      <c r="M196" s="19">
        <f t="shared" si="13"/>
        <v>2</v>
      </c>
      <c r="N196" s="2">
        <v>24.1</v>
      </c>
    </row>
    <row r="197" spans="1:14" x14ac:dyDescent="0.25">
      <c r="A197" s="2">
        <v>3372005</v>
      </c>
      <c r="B197" s="2">
        <v>1.88</v>
      </c>
      <c r="C197" s="19">
        <f t="shared" si="14"/>
        <v>29.87424000000038</v>
      </c>
      <c r="H197" s="2">
        <f t="shared" si="15"/>
        <v>2774.6370000000002</v>
      </c>
      <c r="I197" s="2" t="str">
        <f t="shared" si="12"/>
        <v>00:46</v>
      </c>
      <c r="J197" s="3">
        <f t="shared" si="16"/>
        <v>0.3790440645611361</v>
      </c>
      <c r="K197" s="19">
        <v>30.814</v>
      </c>
      <c r="L197" s="21">
        <f t="shared" si="17"/>
        <v>1992.2556033333315</v>
      </c>
      <c r="M197" s="19">
        <f t="shared" si="13"/>
        <v>1.98</v>
      </c>
      <c r="N197" s="2">
        <v>24.1</v>
      </c>
    </row>
    <row r="198" spans="1:14" x14ac:dyDescent="0.25">
      <c r="A198" s="2">
        <v>3387076</v>
      </c>
      <c r="B198" s="2">
        <v>1.91</v>
      </c>
      <c r="C198" s="19">
        <f t="shared" si="14"/>
        <v>30.292709999999822</v>
      </c>
      <c r="H198" s="2">
        <f t="shared" si="15"/>
        <v>2789.7080000000001</v>
      </c>
      <c r="I198" s="2" t="str">
        <f t="shared" si="12"/>
        <v>00:46</v>
      </c>
      <c r="J198" s="3">
        <f t="shared" si="16"/>
        <v>0.38064502378234361</v>
      </c>
      <c r="K198" s="19">
        <v>30.837</v>
      </c>
      <c r="L198" s="21">
        <f t="shared" si="17"/>
        <v>2000.670244999998</v>
      </c>
      <c r="M198" s="19">
        <f t="shared" si="13"/>
        <v>2.0099999999999998</v>
      </c>
      <c r="N198" s="2">
        <v>24.1</v>
      </c>
    </row>
    <row r="199" spans="1:14" x14ac:dyDescent="0.25">
      <c r="A199" s="2">
        <v>3402155</v>
      </c>
      <c r="B199" s="2">
        <v>1.89</v>
      </c>
      <c r="C199" s="19">
        <f t="shared" si="14"/>
        <v>30.007210000000356</v>
      </c>
      <c r="H199" s="2">
        <f t="shared" si="15"/>
        <v>2804.7870000000003</v>
      </c>
      <c r="I199" s="2" t="str">
        <f t="shared" si="12"/>
        <v>00:46</v>
      </c>
      <c r="J199" s="3">
        <f t="shared" si="16"/>
        <v>0.38223089442753222</v>
      </c>
      <c r="K199" s="19">
        <v>30.853999999999999</v>
      </c>
      <c r="L199" s="21">
        <f t="shared" si="17"/>
        <v>2009.0055811111092</v>
      </c>
      <c r="M199" s="19">
        <f t="shared" si="13"/>
        <v>1.99</v>
      </c>
      <c r="N199" s="2">
        <v>24.2</v>
      </c>
    </row>
    <row r="200" spans="1:14" x14ac:dyDescent="0.25">
      <c r="A200" s="2">
        <v>3417243</v>
      </c>
      <c r="B200" s="2">
        <v>1.89</v>
      </c>
      <c r="C200" s="19">
        <f t="shared" si="14"/>
        <v>30.025119999999479</v>
      </c>
      <c r="H200" s="2">
        <f t="shared" si="15"/>
        <v>2819.875</v>
      </c>
      <c r="I200" s="2" t="str">
        <f t="shared" si="12"/>
        <v>00:47</v>
      </c>
      <c r="J200" s="3">
        <f t="shared" si="16"/>
        <v>0.38381771161001149</v>
      </c>
      <c r="K200" s="19">
        <v>30.853999999999999</v>
      </c>
      <c r="L200" s="21">
        <f t="shared" si="17"/>
        <v>2017.3458922222203</v>
      </c>
      <c r="M200" s="19">
        <f t="shared" si="13"/>
        <v>1.99</v>
      </c>
      <c r="N200" s="2">
        <v>24.3</v>
      </c>
    </row>
    <row r="201" spans="1:14" x14ac:dyDescent="0.25">
      <c r="A201" s="2">
        <v>3432331</v>
      </c>
      <c r="B201" s="2">
        <v>1.91</v>
      </c>
      <c r="C201" s="19">
        <f t="shared" si="14"/>
        <v>30.326880000000383</v>
      </c>
      <c r="H201" s="2">
        <f t="shared" si="15"/>
        <v>2834.9630000000002</v>
      </c>
      <c r="I201" s="2" t="str">
        <f t="shared" si="12"/>
        <v>00:47</v>
      </c>
      <c r="J201" s="3">
        <f t="shared" si="16"/>
        <v>0.38542047670387247</v>
      </c>
      <c r="K201" s="19">
        <v>30.835999999999999</v>
      </c>
      <c r="L201" s="21">
        <f t="shared" si="17"/>
        <v>2025.7700255555537</v>
      </c>
      <c r="M201" s="19">
        <f t="shared" si="13"/>
        <v>2.0099999999999998</v>
      </c>
      <c r="N201" s="2">
        <v>24.3</v>
      </c>
    </row>
    <row r="202" spans="1:14" x14ac:dyDescent="0.25">
      <c r="A202" s="2">
        <v>3447409</v>
      </c>
      <c r="B202" s="2">
        <v>1.9</v>
      </c>
      <c r="C202" s="19">
        <f t="shared" si="14"/>
        <v>30.155999999999949</v>
      </c>
      <c r="H202" s="2">
        <f t="shared" si="15"/>
        <v>2850.0410000000002</v>
      </c>
      <c r="I202" s="2" t="str">
        <f t="shared" si="12"/>
        <v>00:47</v>
      </c>
      <c r="J202" s="3">
        <f t="shared" si="16"/>
        <v>0.38701421084897647</v>
      </c>
      <c r="K202" s="19">
        <v>30.853000000000002</v>
      </c>
      <c r="L202" s="21">
        <f t="shared" si="17"/>
        <v>2034.1466922222203</v>
      </c>
      <c r="M202" s="19">
        <f t="shared" si="13"/>
        <v>2</v>
      </c>
      <c r="N202" s="2">
        <v>24.3</v>
      </c>
    </row>
    <row r="203" spans="1:14" x14ac:dyDescent="0.25">
      <c r="A203" s="2">
        <v>3462497</v>
      </c>
      <c r="B203" s="2">
        <v>1.9</v>
      </c>
      <c r="C203" s="19">
        <f t="shared" si="14"/>
        <v>30.175999999999476</v>
      </c>
      <c r="H203" s="2">
        <f t="shared" si="15"/>
        <v>2865.1289999999999</v>
      </c>
      <c r="I203" s="2" t="str">
        <f t="shared" si="12"/>
        <v>00:47</v>
      </c>
      <c r="J203" s="3">
        <f t="shared" si="16"/>
        <v>0.38860900198714654</v>
      </c>
      <c r="K203" s="19">
        <v>30.893000000000001</v>
      </c>
      <c r="L203" s="21">
        <f t="shared" si="17"/>
        <v>2042.5289144444423</v>
      </c>
      <c r="M203" s="19">
        <f t="shared" si="13"/>
        <v>2</v>
      </c>
      <c r="N203" s="2">
        <v>24.3</v>
      </c>
    </row>
    <row r="204" spans="1:14" x14ac:dyDescent="0.25">
      <c r="A204" s="2">
        <v>3477585</v>
      </c>
      <c r="B204" s="2">
        <v>1.88</v>
      </c>
      <c r="C204" s="19">
        <f t="shared" si="14"/>
        <v>29.87424000000038</v>
      </c>
      <c r="H204" s="2">
        <f t="shared" si="15"/>
        <v>2880.2170000000001</v>
      </c>
      <c r="I204" s="2" t="str">
        <f t="shared" si="12"/>
        <v>00:48</v>
      </c>
      <c r="J204" s="3">
        <f t="shared" si="16"/>
        <v>0.39018784521393501</v>
      </c>
      <c r="K204" s="19">
        <v>30.911000000000001</v>
      </c>
      <c r="L204" s="21">
        <f t="shared" si="17"/>
        <v>2050.8273144444424</v>
      </c>
      <c r="M204" s="19">
        <f t="shared" si="13"/>
        <v>1.98</v>
      </c>
      <c r="N204" s="2">
        <v>24.3</v>
      </c>
    </row>
    <row r="205" spans="1:14" x14ac:dyDescent="0.25">
      <c r="A205" s="2">
        <v>3492663</v>
      </c>
      <c r="B205" s="2">
        <v>1.88</v>
      </c>
      <c r="C205" s="19">
        <f t="shared" si="14"/>
        <v>29.854439999999951</v>
      </c>
      <c r="H205" s="2">
        <f t="shared" si="15"/>
        <v>2895.2950000000001</v>
      </c>
      <c r="I205" s="2" t="str">
        <f t="shared" si="12"/>
        <v>00:48</v>
      </c>
      <c r="J205" s="3">
        <f t="shared" si="16"/>
        <v>0.39176564201758796</v>
      </c>
      <c r="K205" s="19">
        <v>30.891999999999999</v>
      </c>
      <c r="L205" s="21">
        <f t="shared" si="17"/>
        <v>2059.1202144444424</v>
      </c>
      <c r="M205" s="19">
        <f t="shared" si="13"/>
        <v>1.98</v>
      </c>
      <c r="N205" s="2">
        <v>24.2</v>
      </c>
    </row>
    <row r="206" spans="1:14" x14ac:dyDescent="0.25">
      <c r="A206" s="2">
        <v>3507741</v>
      </c>
      <c r="B206" s="2">
        <v>1.9</v>
      </c>
      <c r="C206" s="19">
        <f t="shared" si="14"/>
        <v>30.155999999999949</v>
      </c>
      <c r="H206" s="2">
        <f t="shared" si="15"/>
        <v>2910.373</v>
      </c>
      <c r="I206" s="2" t="str">
        <f t="shared" ref="I206:I269" si="18">TEXT(H206/86400,"hh:mm")</f>
        <v>00:48</v>
      </c>
      <c r="J206" s="3">
        <f t="shared" si="16"/>
        <v>0.39335937616269195</v>
      </c>
      <c r="K206" s="19">
        <v>30.893000000000001</v>
      </c>
      <c r="L206" s="21">
        <f t="shared" si="17"/>
        <v>2067.4968811111089</v>
      </c>
      <c r="M206" s="19">
        <f t="shared" ref="M206:M269" si="19">B206+0.1</f>
        <v>2</v>
      </c>
      <c r="N206" s="2">
        <v>24.3</v>
      </c>
    </row>
    <row r="207" spans="1:14" x14ac:dyDescent="0.25">
      <c r="A207" s="2">
        <v>3522819</v>
      </c>
      <c r="B207" s="2">
        <v>1.9</v>
      </c>
      <c r="C207" s="19">
        <f t="shared" ref="C207:C270" si="20">M207*(H207-H206)</f>
        <v>30.155999999999949</v>
      </c>
      <c r="H207" s="2">
        <f t="shared" ref="H207:H270" si="21">(A207/1000-612.368)+15</f>
        <v>2925.451</v>
      </c>
      <c r="I207" s="2" t="str">
        <f t="shared" si="18"/>
        <v>00:48</v>
      </c>
      <c r="J207" s="3">
        <f t="shared" ref="J207:J270" si="22">L207/5256</f>
        <v>0.39495311030779595</v>
      </c>
      <c r="K207" s="19">
        <v>30.893000000000001</v>
      </c>
      <c r="L207" s="21">
        <f t="shared" si="17"/>
        <v>2075.8735477777755</v>
      </c>
      <c r="M207" s="19">
        <f t="shared" si="19"/>
        <v>2</v>
      </c>
      <c r="N207" s="2">
        <v>24.2</v>
      </c>
    </row>
    <row r="208" spans="1:14" x14ac:dyDescent="0.25">
      <c r="A208" s="2">
        <v>3537907</v>
      </c>
      <c r="B208" s="2">
        <v>1.91</v>
      </c>
      <c r="C208" s="19">
        <f t="shared" si="20"/>
        <v>30.326880000000383</v>
      </c>
      <c r="H208" s="2">
        <f t="shared" si="21"/>
        <v>2940.5390000000002</v>
      </c>
      <c r="I208" s="2" t="str">
        <f t="shared" si="18"/>
        <v>00:49</v>
      </c>
      <c r="J208" s="3">
        <f t="shared" si="22"/>
        <v>0.39655587540165693</v>
      </c>
      <c r="K208" s="19">
        <v>30.914000000000001</v>
      </c>
      <c r="L208" s="21">
        <f t="shared" ref="L208:L271" si="23">C208*1000/(60*60) + L207</f>
        <v>2084.2976811111089</v>
      </c>
      <c r="M208" s="19">
        <f t="shared" si="19"/>
        <v>2.0099999999999998</v>
      </c>
      <c r="N208" s="2">
        <v>24.2</v>
      </c>
    </row>
    <row r="209" spans="1:14" x14ac:dyDescent="0.25">
      <c r="A209" s="2">
        <v>3552995</v>
      </c>
      <c r="B209" s="2">
        <v>1.9</v>
      </c>
      <c r="C209" s="19">
        <f t="shared" si="20"/>
        <v>30.175999999999476</v>
      </c>
      <c r="H209" s="2">
        <f t="shared" si="21"/>
        <v>2955.627</v>
      </c>
      <c r="I209" s="2" t="str">
        <f t="shared" si="18"/>
        <v>00:49</v>
      </c>
      <c r="J209" s="3">
        <f t="shared" si="22"/>
        <v>0.39815066653982706</v>
      </c>
      <c r="K209" s="19">
        <v>30.914000000000001</v>
      </c>
      <c r="L209" s="21">
        <f t="shared" si="23"/>
        <v>2092.6799033333309</v>
      </c>
      <c r="M209" s="19">
        <f t="shared" si="19"/>
        <v>2</v>
      </c>
      <c r="N209" s="2">
        <v>24.3</v>
      </c>
    </row>
    <row r="210" spans="1:14" x14ac:dyDescent="0.25">
      <c r="A210" s="2">
        <v>3568073</v>
      </c>
      <c r="B210" s="2">
        <v>1.9</v>
      </c>
      <c r="C210" s="19">
        <f t="shared" si="20"/>
        <v>30.155999999999949</v>
      </c>
      <c r="H210" s="2">
        <f t="shared" si="21"/>
        <v>2970.7049999999999</v>
      </c>
      <c r="I210" s="2" t="str">
        <f t="shared" si="18"/>
        <v>00:49</v>
      </c>
      <c r="J210" s="3">
        <f t="shared" si="22"/>
        <v>0.399744400684931</v>
      </c>
      <c r="K210" s="19">
        <v>30.911999999999999</v>
      </c>
      <c r="L210" s="21">
        <f t="shared" si="23"/>
        <v>2101.0565699999975</v>
      </c>
      <c r="M210" s="19">
        <f t="shared" si="19"/>
        <v>2</v>
      </c>
      <c r="N210" s="2">
        <v>24.2</v>
      </c>
    </row>
    <row r="211" spans="1:14" x14ac:dyDescent="0.25">
      <c r="A211" s="2">
        <v>3583151</v>
      </c>
      <c r="B211" s="2">
        <v>1.9</v>
      </c>
      <c r="C211" s="19">
        <f t="shared" si="20"/>
        <v>30.155999999999949</v>
      </c>
      <c r="H211" s="2">
        <f t="shared" si="21"/>
        <v>2985.7829999999999</v>
      </c>
      <c r="I211" s="2" t="str">
        <f t="shared" si="18"/>
        <v>00:49</v>
      </c>
      <c r="J211" s="3">
        <f t="shared" si="22"/>
        <v>0.401338134830035</v>
      </c>
      <c r="K211" s="19">
        <v>30.931000000000001</v>
      </c>
      <c r="L211" s="21">
        <f t="shared" si="23"/>
        <v>2109.433236666664</v>
      </c>
      <c r="M211" s="19">
        <f t="shared" si="19"/>
        <v>2</v>
      </c>
      <c r="N211" s="2">
        <v>24.4</v>
      </c>
    </row>
    <row r="212" spans="1:14" x14ac:dyDescent="0.25">
      <c r="A212" s="2">
        <v>3598239</v>
      </c>
      <c r="B212" s="2">
        <v>1.89</v>
      </c>
      <c r="C212" s="19">
        <f t="shared" si="20"/>
        <v>30.025120000000385</v>
      </c>
      <c r="H212" s="2">
        <f t="shared" si="21"/>
        <v>3000.8710000000001</v>
      </c>
      <c r="I212" s="2" t="str">
        <f t="shared" si="18"/>
        <v>00:50</v>
      </c>
      <c r="J212" s="3">
        <f t="shared" si="22"/>
        <v>0.40292495201251427</v>
      </c>
      <c r="K212" s="19">
        <v>30.952000000000002</v>
      </c>
      <c r="L212" s="21">
        <f t="shared" si="23"/>
        <v>2117.7735477777751</v>
      </c>
      <c r="M212" s="19">
        <f t="shared" si="19"/>
        <v>1.99</v>
      </c>
      <c r="N212" s="2">
        <v>24.2</v>
      </c>
    </row>
    <row r="213" spans="1:14" x14ac:dyDescent="0.25">
      <c r="A213" s="2">
        <v>3613317</v>
      </c>
      <c r="B213" s="2">
        <v>1.91</v>
      </c>
      <c r="C213" s="19">
        <f t="shared" si="20"/>
        <v>30.306779999999947</v>
      </c>
      <c r="H213" s="2">
        <f t="shared" si="21"/>
        <v>3015.9490000000001</v>
      </c>
      <c r="I213" s="2" t="str">
        <f t="shared" si="18"/>
        <v>00:50</v>
      </c>
      <c r="J213" s="3">
        <f t="shared" si="22"/>
        <v>0.40452665482834377</v>
      </c>
      <c r="K213" s="19">
        <v>30.952000000000002</v>
      </c>
      <c r="L213" s="21">
        <f t="shared" si="23"/>
        <v>2126.192097777775</v>
      </c>
      <c r="M213" s="19">
        <f t="shared" si="19"/>
        <v>2.0099999999999998</v>
      </c>
      <c r="N213" s="2">
        <v>24.4</v>
      </c>
    </row>
    <row r="214" spans="1:14" x14ac:dyDescent="0.25">
      <c r="A214" s="2">
        <v>3628405</v>
      </c>
      <c r="B214" s="2">
        <v>1.9</v>
      </c>
      <c r="C214" s="19">
        <f t="shared" si="20"/>
        <v>30.176000000000386</v>
      </c>
      <c r="H214" s="2">
        <f t="shared" si="21"/>
        <v>3031.0370000000003</v>
      </c>
      <c r="I214" s="2" t="str">
        <f t="shared" si="18"/>
        <v>00:50</v>
      </c>
      <c r="J214" s="3">
        <f t="shared" si="22"/>
        <v>0.40612144596651395</v>
      </c>
      <c r="K214" s="19">
        <v>30.952000000000002</v>
      </c>
      <c r="L214" s="21">
        <f t="shared" si="23"/>
        <v>2134.5743199999974</v>
      </c>
      <c r="M214" s="19">
        <f t="shared" si="19"/>
        <v>2</v>
      </c>
      <c r="N214" s="2">
        <v>24.4</v>
      </c>
    </row>
    <row r="215" spans="1:14" x14ac:dyDescent="0.25">
      <c r="A215" s="2">
        <v>3643493</v>
      </c>
      <c r="B215" s="2">
        <v>1.9</v>
      </c>
      <c r="C215" s="19">
        <f t="shared" si="20"/>
        <v>30.175999999999476</v>
      </c>
      <c r="H215" s="2">
        <f t="shared" si="21"/>
        <v>3046.125</v>
      </c>
      <c r="I215" s="2" t="str">
        <f t="shared" si="18"/>
        <v>00:50</v>
      </c>
      <c r="J215" s="3">
        <f t="shared" si="22"/>
        <v>0.40771623710468408</v>
      </c>
      <c r="K215" s="19">
        <v>30.969000000000001</v>
      </c>
      <c r="L215" s="21">
        <f t="shared" si="23"/>
        <v>2142.9565422222195</v>
      </c>
      <c r="M215" s="19">
        <f t="shared" si="19"/>
        <v>2</v>
      </c>
      <c r="N215" s="2">
        <v>24.2</v>
      </c>
    </row>
    <row r="216" spans="1:14" x14ac:dyDescent="0.25">
      <c r="A216" s="2">
        <v>3658571</v>
      </c>
      <c r="B216" s="2">
        <v>1.88</v>
      </c>
      <c r="C216" s="19">
        <f t="shared" si="20"/>
        <v>29.854439999999951</v>
      </c>
      <c r="H216" s="2">
        <f t="shared" si="21"/>
        <v>3061.203</v>
      </c>
      <c r="I216" s="2" t="str">
        <f t="shared" si="18"/>
        <v>00:51</v>
      </c>
      <c r="J216" s="3">
        <f t="shared" si="22"/>
        <v>0.40929403390833702</v>
      </c>
      <c r="K216" s="19">
        <v>30.97</v>
      </c>
      <c r="L216" s="21">
        <f t="shared" si="23"/>
        <v>2151.2494422222194</v>
      </c>
      <c r="M216" s="19">
        <f t="shared" si="19"/>
        <v>1.98</v>
      </c>
      <c r="N216" s="2">
        <v>24.3</v>
      </c>
    </row>
    <row r="217" spans="1:14" x14ac:dyDescent="0.25">
      <c r="A217" s="2">
        <v>3673659</v>
      </c>
      <c r="B217" s="2">
        <v>1.86</v>
      </c>
      <c r="C217" s="19">
        <f t="shared" si="20"/>
        <v>29.572480000000382</v>
      </c>
      <c r="H217" s="2">
        <f t="shared" si="21"/>
        <v>3076.2910000000002</v>
      </c>
      <c r="I217" s="2" t="str">
        <f t="shared" si="18"/>
        <v>00:51</v>
      </c>
      <c r="J217" s="3">
        <f t="shared" si="22"/>
        <v>0.41085692922374373</v>
      </c>
      <c r="K217" s="19">
        <v>30.99</v>
      </c>
      <c r="L217" s="21">
        <f t="shared" si="23"/>
        <v>2159.4640199999972</v>
      </c>
      <c r="M217" s="19">
        <f t="shared" si="19"/>
        <v>1.9600000000000002</v>
      </c>
      <c r="N217" s="2">
        <v>24.3</v>
      </c>
    </row>
    <row r="218" spans="1:14" x14ac:dyDescent="0.25">
      <c r="A218" s="2">
        <v>3688737</v>
      </c>
      <c r="B218" s="2">
        <v>1.9</v>
      </c>
      <c r="C218" s="19">
        <f t="shared" si="20"/>
        <v>30.155999999999949</v>
      </c>
      <c r="H218" s="2">
        <f t="shared" si="21"/>
        <v>3091.3690000000001</v>
      </c>
      <c r="I218" s="2" t="str">
        <f t="shared" si="18"/>
        <v>00:51</v>
      </c>
      <c r="J218" s="3">
        <f t="shared" si="22"/>
        <v>0.41245066336884773</v>
      </c>
      <c r="K218" s="19">
        <v>31.007999999999999</v>
      </c>
      <c r="L218" s="21">
        <f t="shared" si="23"/>
        <v>2167.8406866666637</v>
      </c>
      <c r="M218" s="19">
        <f t="shared" si="19"/>
        <v>2</v>
      </c>
      <c r="N218" s="2">
        <v>24.2</v>
      </c>
    </row>
    <row r="219" spans="1:14" x14ac:dyDescent="0.25">
      <c r="A219" s="2">
        <v>3703816</v>
      </c>
      <c r="B219" s="2">
        <v>1.9</v>
      </c>
      <c r="C219" s="19">
        <f t="shared" si="20"/>
        <v>30.157999999999447</v>
      </c>
      <c r="H219" s="2">
        <f t="shared" si="21"/>
        <v>3106.4479999999999</v>
      </c>
      <c r="I219" s="2" t="str">
        <f t="shared" si="18"/>
        <v>00:51</v>
      </c>
      <c r="J219" s="3">
        <f t="shared" si="22"/>
        <v>0.41404450321325831</v>
      </c>
      <c r="K219" s="19">
        <v>31.009</v>
      </c>
      <c r="L219" s="21">
        <f t="shared" si="23"/>
        <v>2176.2179088888856</v>
      </c>
      <c r="M219" s="19">
        <f t="shared" si="19"/>
        <v>2</v>
      </c>
      <c r="N219" s="2">
        <v>24.3</v>
      </c>
    </row>
    <row r="220" spans="1:14" x14ac:dyDescent="0.25">
      <c r="A220" s="2">
        <v>3718894</v>
      </c>
      <c r="B220" s="2">
        <v>1.91</v>
      </c>
      <c r="C220" s="19">
        <f t="shared" si="20"/>
        <v>30.306779999999947</v>
      </c>
      <c r="H220" s="2">
        <f t="shared" si="21"/>
        <v>3121.5259999999998</v>
      </c>
      <c r="I220" s="2" t="str">
        <f t="shared" si="18"/>
        <v>00:52</v>
      </c>
      <c r="J220" s="3">
        <f t="shared" si="22"/>
        <v>0.41564620602908781</v>
      </c>
      <c r="K220" s="19">
        <v>31.007999999999999</v>
      </c>
      <c r="L220" s="21">
        <f t="shared" si="23"/>
        <v>2184.6364588888855</v>
      </c>
      <c r="M220" s="19">
        <f t="shared" si="19"/>
        <v>2.0099999999999998</v>
      </c>
      <c r="N220" s="2">
        <v>24.3</v>
      </c>
    </row>
    <row r="221" spans="1:14" x14ac:dyDescent="0.25">
      <c r="A221" s="2">
        <v>3733972</v>
      </c>
      <c r="B221" s="2">
        <v>1.9</v>
      </c>
      <c r="C221" s="19">
        <f t="shared" si="20"/>
        <v>30.156000000000859</v>
      </c>
      <c r="H221" s="2">
        <f t="shared" si="21"/>
        <v>3136.6040000000003</v>
      </c>
      <c r="I221" s="2" t="str">
        <f t="shared" si="18"/>
        <v>00:52</v>
      </c>
      <c r="J221" s="3">
        <f t="shared" si="22"/>
        <v>0.41723994017419186</v>
      </c>
      <c r="K221" s="19">
        <v>31.007999999999999</v>
      </c>
      <c r="L221" s="21">
        <f t="shared" si="23"/>
        <v>2193.0131255555525</v>
      </c>
      <c r="M221" s="19">
        <f t="shared" si="19"/>
        <v>2</v>
      </c>
      <c r="N221" s="2">
        <v>24.3</v>
      </c>
    </row>
    <row r="222" spans="1:14" x14ac:dyDescent="0.25">
      <c r="A222" s="2">
        <v>3749060</v>
      </c>
      <c r="B222" s="2">
        <v>1.9</v>
      </c>
      <c r="C222" s="19">
        <f t="shared" si="20"/>
        <v>30.175999999999476</v>
      </c>
      <c r="H222" s="2">
        <f t="shared" si="21"/>
        <v>3151.692</v>
      </c>
      <c r="I222" s="2" t="str">
        <f t="shared" si="18"/>
        <v>00:52</v>
      </c>
      <c r="J222" s="3">
        <f t="shared" si="22"/>
        <v>0.41883473131236199</v>
      </c>
      <c r="K222" s="19">
        <v>31.029</v>
      </c>
      <c r="L222" s="21">
        <f t="shared" si="23"/>
        <v>2201.3953477777745</v>
      </c>
      <c r="M222" s="19">
        <f t="shared" si="19"/>
        <v>2</v>
      </c>
      <c r="N222" s="2">
        <v>24.3</v>
      </c>
    </row>
    <row r="223" spans="1:14" x14ac:dyDescent="0.25">
      <c r="A223" s="2">
        <v>3764138</v>
      </c>
      <c r="B223" s="2">
        <v>1.89</v>
      </c>
      <c r="C223" s="19">
        <f t="shared" si="20"/>
        <v>30.005219999999948</v>
      </c>
      <c r="H223" s="2">
        <f t="shared" si="21"/>
        <v>3166.77</v>
      </c>
      <c r="I223" s="2" t="str">
        <f t="shared" si="18"/>
        <v>00:52</v>
      </c>
      <c r="J223" s="3">
        <f t="shared" si="22"/>
        <v>0.42042049678674043</v>
      </c>
      <c r="K223" s="19">
        <v>31.029</v>
      </c>
      <c r="L223" s="21">
        <f t="shared" si="23"/>
        <v>2209.7301311111078</v>
      </c>
      <c r="M223" s="19">
        <f t="shared" si="19"/>
        <v>1.99</v>
      </c>
      <c r="N223" s="2">
        <v>24.3</v>
      </c>
    </row>
    <row r="224" spans="1:14" x14ac:dyDescent="0.25">
      <c r="A224" s="2">
        <v>3779226</v>
      </c>
      <c r="B224" s="2">
        <v>1.89</v>
      </c>
      <c r="C224" s="19">
        <f t="shared" si="20"/>
        <v>30.025120000000385</v>
      </c>
      <c r="H224" s="2">
        <f t="shared" si="21"/>
        <v>3181.8580000000002</v>
      </c>
      <c r="I224" s="2" t="str">
        <f t="shared" si="18"/>
        <v>00:53</v>
      </c>
      <c r="J224" s="3">
        <f t="shared" si="22"/>
        <v>0.4220073139692197</v>
      </c>
      <c r="K224" s="19">
        <v>31.045999999999999</v>
      </c>
      <c r="L224" s="21">
        <f t="shared" si="23"/>
        <v>2218.0704422222188</v>
      </c>
      <c r="M224" s="19">
        <f t="shared" si="19"/>
        <v>1.99</v>
      </c>
      <c r="N224" s="2">
        <v>24.2</v>
      </c>
    </row>
    <row r="225" spans="1:14" x14ac:dyDescent="0.25">
      <c r="A225" s="2">
        <v>3794304</v>
      </c>
      <c r="B225" s="2">
        <v>1.87</v>
      </c>
      <c r="C225" s="19">
        <f t="shared" si="20"/>
        <v>29.703659999999953</v>
      </c>
      <c r="H225" s="2">
        <f t="shared" si="21"/>
        <v>3196.9360000000001</v>
      </c>
      <c r="I225" s="2" t="str">
        <f t="shared" si="18"/>
        <v>00:53</v>
      </c>
      <c r="J225" s="3">
        <f t="shared" si="22"/>
        <v>0.42357714210214714</v>
      </c>
      <c r="K225" s="19">
        <v>31.027999999999999</v>
      </c>
      <c r="L225" s="21">
        <f t="shared" si="23"/>
        <v>2226.3214588888854</v>
      </c>
      <c r="M225" s="19">
        <f t="shared" si="19"/>
        <v>1.9700000000000002</v>
      </c>
      <c r="N225" s="2">
        <v>24.3</v>
      </c>
    </row>
    <row r="226" spans="1:14" x14ac:dyDescent="0.25">
      <c r="A226" s="2">
        <v>3809382</v>
      </c>
      <c r="B226" s="2">
        <v>1.88</v>
      </c>
      <c r="C226" s="19">
        <f t="shared" si="20"/>
        <v>29.854439999999951</v>
      </c>
      <c r="H226" s="2">
        <f t="shared" si="21"/>
        <v>3212.0140000000001</v>
      </c>
      <c r="I226" s="2" t="str">
        <f t="shared" si="18"/>
        <v>00:53</v>
      </c>
      <c r="J226" s="3">
        <f t="shared" si="22"/>
        <v>0.42515493890580008</v>
      </c>
      <c r="K226" s="19">
        <v>31.027999999999999</v>
      </c>
      <c r="L226" s="21">
        <f t="shared" si="23"/>
        <v>2234.6143588888854</v>
      </c>
      <c r="M226" s="19">
        <f t="shared" si="19"/>
        <v>1.98</v>
      </c>
      <c r="N226" s="2">
        <v>24.3</v>
      </c>
    </row>
    <row r="227" spans="1:14" x14ac:dyDescent="0.25">
      <c r="A227" s="2">
        <v>3824460</v>
      </c>
      <c r="B227" s="2">
        <v>1.89</v>
      </c>
      <c r="C227" s="19">
        <f t="shared" si="20"/>
        <v>30.005219999999948</v>
      </c>
      <c r="H227" s="2">
        <f t="shared" si="21"/>
        <v>3227.0920000000001</v>
      </c>
      <c r="I227" s="2" t="str">
        <f t="shared" si="18"/>
        <v>00:53</v>
      </c>
      <c r="J227" s="3">
        <f t="shared" si="22"/>
        <v>0.42674070438017858</v>
      </c>
      <c r="K227" s="19">
        <v>31.085000000000001</v>
      </c>
      <c r="L227" s="21">
        <f t="shared" si="23"/>
        <v>2242.9491422222186</v>
      </c>
      <c r="M227" s="19">
        <f t="shared" si="19"/>
        <v>1.99</v>
      </c>
      <c r="N227" s="2">
        <v>24.4</v>
      </c>
    </row>
    <row r="228" spans="1:14" x14ac:dyDescent="0.25">
      <c r="A228" s="2">
        <v>3839548</v>
      </c>
      <c r="B228" s="2">
        <v>1.88</v>
      </c>
      <c r="C228" s="19">
        <f t="shared" si="20"/>
        <v>29.874239999999482</v>
      </c>
      <c r="H228" s="2">
        <f t="shared" si="21"/>
        <v>3242.18</v>
      </c>
      <c r="I228" s="2" t="str">
        <f t="shared" si="18"/>
        <v>00:54</v>
      </c>
      <c r="J228" s="3">
        <f t="shared" si="22"/>
        <v>0.42831954760696694</v>
      </c>
      <c r="K228" s="19">
        <v>31.087</v>
      </c>
      <c r="L228" s="21">
        <f t="shared" si="23"/>
        <v>2251.2475422222183</v>
      </c>
      <c r="M228" s="19">
        <f t="shared" si="19"/>
        <v>1.98</v>
      </c>
      <c r="N228" s="2">
        <v>24.4</v>
      </c>
    </row>
    <row r="229" spans="1:14" x14ac:dyDescent="0.25">
      <c r="A229" s="2">
        <v>3854636</v>
      </c>
      <c r="B229" s="2">
        <v>1.89</v>
      </c>
      <c r="C229" s="19">
        <f t="shared" si="20"/>
        <v>30.025120000000385</v>
      </c>
      <c r="H229" s="2">
        <f t="shared" si="21"/>
        <v>3257.268</v>
      </c>
      <c r="I229" s="2" t="str">
        <f t="shared" si="18"/>
        <v>00:54</v>
      </c>
      <c r="J229" s="3">
        <f t="shared" si="22"/>
        <v>0.42990636478944622</v>
      </c>
      <c r="K229" s="19">
        <v>31.085000000000001</v>
      </c>
      <c r="L229" s="21">
        <f t="shared" si="23"/>
        <v>2259.5878533333293</v>
      </c>
      <c r="M229" s="19">
        <f t="shared" si="19"/>
        <v>1.99</v>
      </c>
      <c r="N229" s="2">
        <v>24.5</v>
      </c>
    </row>
    <row r="230" spans="1:14" x14ac:dyDescent="0.25">
      <c r="A230" s="2">
        <v>3869714</v>
      </c>
      <c r="B230" s="2">
        <v>1.87</v>
      </c>
      <c r="C230" s="19">
        <f t="shared" si="20"/>
        <v>29.703659999999953</v>
      </c>
      <c r="H230" s="2">
        <f t="shared" si="21"/>
        <v>3272.346</v>
      </c>
      <c r="I230" s="2" t="str">
        <f t="shared" si="18"/>
        <v>00:54</v>
      </c>
      <c r="J230" s="3">
        <f t="shared" si="22"/>
        <v>0.43147619292237366</v>
      </c>
      <c r="K230" s="19">
        <v>31.123999999999999</v>
      </c>
      <c r="L230" s="21">
        <f t="shared" si="23"/>
        <v>2267.8388699999959</v>
      </c>
      <c r="M230" s="19">
        <f t="shared" si="19"/>
        <v>1.9700000000000002</v>
      </c>
      <c r="N230" s="2">
        <v>24.5</v>
      </c>
    </row>
    <row r="231" spans="1:14" x14ac:dyDescent="0.25">
      <c r="A231" s="2">
        <v>3884802</v>
      </c>
      <c r="B231" s="2">
        <v>1.9</v>
      </c>
      <c r="C231" s="19">
        <f t="shared" si="20"/>
        <v>30.176000000000386</v>
      </c>
      <c r="H231" s="2">
        <f t="shared" si="21"/>
        <v>3287.4340000000002</v>
      </c>
      <c r="I231" s="2" t="str">
        <f t="shared" si="18"/>
        <v>00:54</v>
      </c>
      <c r="J231" s="3">
        <f t="shared" si="22"/>
        <v>0.43307098406054384</v>
      </c>
      <c r="K231" s="19">
        <v>31.123999999999999</v>
      </c>
      <c r="L231" s="21">
        <f t="shared" si="23"/>
        <v>2276.2210922222184</v>
      </c>
      <c r="M231" s="19">
        <f t="shared" si="19"/>
        <v>2</v>
      </c>
      <c r="N231" s="2">
        <v>24.4</v>
      </c>
    </row>
    <row r="232" spans="1:14" x14ac:dyDescent="0.25">
      <c r="A232" s="2">
        <v>3899880</v>
      </c>
      <c r="B232" s="2">
        <v>1.87</v>
      </c>
      <c r="C232" s="19">
        <f t="shared" si="20"/>
        <v>29.703659999999953</v>
      </c>
      <c r="H232" s="2">
        <f t="shared" si="21"/>
        <v>3302.5120000000002</v>
      </c>
      <c r="I232" s="2" t="str">
        <f t="shared" si="18"/>
        <v>00:55</v>
      </c>
      <c r="J232" s="3">
        <f t="shared" si="22"/>
        <v>0.43464081219347128</v>
      </c>
      <c r="K232" s="19">
        <v>31.085999999999999</v>
      </c>
      <c r="L232" s="21">
        <f t="shared" si="23"/>
        <v>2284.472108888885</v>
      </c>
      <c r="M232" s="19">
        <f t="shared" si="19"/>
        <v>1.9700000000000002</v>
      </c>
      <c r="N232" s="2">
        <v>24.4</v>
      </c>
    </row>
    <row r="233" spans="1:14" x14ac:dyDescent="0.25">
      <c r="A233" s="2">
        <v>3914958</v>
      </c>
      <c r="B233" s="2">
        <v>1.88</v>
      </c>
      <c r="C233" s="19">
        <f t="shared" si="20"/>
        <v>29.854439999999951</v>
      </c>
      <c r="H233" s="2">
        <f t="shared" si="21"/>
        <v>3317.59</v>
      </c>
      <c r="I233" s="2" t="str">
        <f t="shared" si="18"/>
        <v>00:55</v>
      </c>
      <c r="J233" s="3">
        <f t="shared" si="22"/>
        <v>0.43621860899712422</v>
      </c>
      <c r="K233" s="19">
        <v>31.125</v>
      </c>
      <c r="L233" s="21">
        <f t="shared" si="23"/>
        <v>2292.7650088888849</v>
      </c>
      <c r="M233" s="19">
        <f t="shared" si="19"/>
        <v>1.98</v>
      </c>
      <c r="N233" s="2">
        <v>24.4</v>
      </c>
    </row>
    <row r="234" spans="1:14" x14ac:dyDescent="0.25">
      <c r="A234" s="2">
        <v>3930036</v>
      </c>
      <c r="B234" s="2">
        <v>1.9</v>
      </c>
      <c r="C234" s="19">
        <f t="shared" si="20"/>
        <v>30.155999999999949</v>
      </c>
      <c r="H234" s="2">
        <f t="shared" si="21"/>
        <v>3332.6680000000001</v>
      </c>
      <c r="I234" s="2" t="str">
        <f t="shared" si="18"/>
        <v>00:55</v>
      </c>
      <c r="J234" s="3">
        <f t="shared" si="22"/>
        <v>0.43781234314222822</v>
      </c>
      <c r="K234" s="19">
        <v>31.106000000000002</v>
      </c>
      <c r="L234" s="21">
        <f t="shared" si="23"/>
        <v>2301.1416755555515</v>
      </c>
      <c r="M234" s="19">
        <f t="shared" si="19"/>
        <v>2</v>
      </c>
      <c r="N234" s="2">
        <v>24.3</v>
      </c>
    </row>
    <row r="235" spans="1:14" x14ac:dyDescent="0.25">
      <c r="A235" s="2">
        <v>3945114</v>
      </c>
      <c r="B235" s="2">
        <v>1.89</v>
      </c>
      <c r="C235" s="19">
        <f t="shared" si="20"/>
        <v>30.005219999999948</v>
      </c>
      <c r="H235" s="2">
        <f t="shared" si="21"/>
        <v>3347.7460000000001</v>
      </c>
      <c r="I235" s="2" t="str">
        <f t="shared" si="18"/>
        <v>00:55</v>
      </c>
      <c r="J235" s="3">
        <f t="shared" si="22"/>
        <v>0.43939810861660666</v>
      </c>
      <c r="K235" s="19">
        <v>31.164000000000001</v>
      </c>
      <c r="L235" s="21">
        <f t="shared" si="23"/>
        <v>2309.4764588888847</v>
      </c>
      <c r="M235" s="19">
        <f t="shared" si="19"/>
        <v>1.99</v>
      </c>
      <c r="N235" s="2">
        <v>24.4</v>
      </c>
    </row>
    <row r="236" spans="1:14" x14ac:dyDescent="0.25">
      <c r="A236" s="2">
        <v>3960192</v>
      </c>
      <c r="B236" s="2">
        <v>1.88</v>
      </c>
      <c r="C236" s="19">
        <f t="shared" si="20"/>
        <v>29.854439999999951</v>
      </c>
      <c r="H236" s="2">
        <f t="shared" si="21"/>
        <v>3362.8240000000001</v>
      </c>
      <c r="I236" s="2" t="str">
        <f t="shared" si="18"/>
        <v>00:56</v>
      </c>
      <c r="J236" s="3">
        <f t="shared" si="22"/>
        <v>0.44097590542025966</v>
      </c>
      <c r="K236" s="19">
        <v>31.164999999999999</v>
      </c>
      <c r="L236" s="21">
        <f t="shared" si="23"/>
        <v>2317.7693588888847</v>
      </c>
      <c r="M236" s="19">
        <f t="shared" si="19"/>
        <v>1.98</v>
      </c>
      <c r="N236" s="2">
        <v>24.4</v>
      </c>
    </row>
    <row r="237" spans="1:14" x14ac:dyDescent="0.25">
      <c r="A237" s="2">
        <v>3975280</v>
      </c>
      <c r="B237" s="2">
        <v>1.89</v>
      </c>
      <c r="C237" s="19">
        <f t="shared" si="20"/>
        <v>30.025120000000385</v>
      </c>
      <c r="H237" s="2">
        <f t="shared" si="21"/>
        <v>3377.9120000000003</v>
      </c>
      <c r="I237" s="2" t="str">
        <f t="shared" si="18"/>
        <v>00:56</v>
      </c>
      <c r="J237" s="3">
        <f t="shared" si="22"/>
        <v>0.44256272260273893</v>
      </c>
      <c r="K237" s="19">
        <v>31.126999999999999</v>
      </c>
      <c r="L237" s="21">
        <f t="shared" si="23"/>
        <v>2326.1096699999957</v>
      </c>
      <c r="M237" s="19">
        <f t="shared" si="19"/>
        <v>1.99</v>
      </c>
      <c r="N237" s="2">
        <v>24.5</v>
      </c>
    </row>
    <row r="238" spans="1:14" x14ac:dyDescent="0.25">
      <c r="A238" s="2">
        <v>3990368</v>
      </c>
      <c r="B238" s="2">
        <v>1.91</v>
      </c>
      <c r="C238" s="19">
        <f t="shared" si="20"/>
        <v>30.32687999999947</v>
      </c>
      <c r="H238" s="2">
        <f t="shared" si="21"/>
        <v>3393</v>
      </c>
      <c r="I238" s="2" t="str">
        <f t="shared" si="18"/>
        <v>00:56</v>
      </c>
      <c r="J238" s="3">
        <f t="shared" si="22"/>
        <v>0.4441654876965998</v>
      </c>
      <c r="K238" s="19">
        <v>31.164000000000001</v>
      </c>
      <c r="L238" s="21">
        <f t="shared" si="23"/>
        <v>2334.5338033333287</v>
      </c>
      <c r="M238" s="19">
        <f t="shared" si="19"/>
        <v>2.0099999999999998</v>
      </c>
      <c r="N238" s="2">
        <v>24.5</v>
      </c>
    </row>
    <row r="239" spans="1:14" x14ac:dyDescent="0.25">
      <c r="A239" s="2">
        <v>4005446</v>
      </c>
      <c r="B239" s="2">
        <v>1.86</v>
      </c>
      <c r="C239" s="19">
        <f t="shared" si="20"/>
        <v>29.552879999999952</v>
      </c>
      <c r="H239" s="2">
        <f t="shared" si="21"/>
        <v>3408.078</v>
      </c>
      <c r="I239" s="2" t="str">
        <f t="shared" si="18"/>
        <v>00:56</v>
      </c>
      <c r="J239" s="3">
        <f t="shared" si="22"/>
        <v>0.44572734715880175</v>
      </c>
      <c r="K239" s="19">
        <v>31.146000000000001</v>
      </c>
      <c r="L239" s="21">
        <f t="shared" si="23"/>
        <v>2342.742936666662</v>
      </c>
      <c r="M239" s="19">
        <f t="shared" si="19"/>
        <v>1.9600000000000002</v>
      </c>
      <c r="N239" s="2">
        <v>24.4</v>
      </c>
    </row>
    <row r="240" spans="1:14" x14ac:dyDescent="0.25">
      <c r="A240" s="2">
        <v>4020524</v>
      </c>
      <c r="B240" s="2">
        <v>1.89</v>
      </c>
      <c r="C240" s="19">
        <f t="shared" si="20"/>
        <v>30.005219999999948</v>
      </c>
      <c r="H240" s="2">
        <f t="shared" si="21"/>
        <v>3423.1559999999999</v>
      </c>
      <c r="I240" s="2" t="str">
        <f t="shared" si="18"/>
        <v>00:57</v>
      </c>
      <c r="J240" s="3">
        <f t="shared" si="22"/>
        <v>0.44731311263318024</v>
      </c>
      <c r="K240" s="19">
        <v>31.184999999999999</v>
      </c>
      <c r="L240" s="21">
        <f t="shared" si="23"/>
        <v>2351.0777199999952</v>
      </c>
      <c r="M240" s="19">
        <f t="shared" si="19"/>
        <v>1.99</v>
      </c>
      <c r="N240" s="2">
        <v>24.6</v>
      </c>
    </row>
    <row r="241" spans="1:14" x14ac:dyDescent="0.25">
      <c r="A241" s="2">
        <v>4035612</v>
      </c>
      <c r="B241" s="2">
        <v>1.89</v>
      </c>
      <c r="C241" s="19">
        <f t="shared" si="20"/>
        <v>30.025120000000385</v>
      </c>
      <c r="H241" s="2">
        <f t="shared" si="21"/>
        <v>3438.2440000000001</v>
      </c>
      <c r="I241" s="2" t="str">
        <f t="shared" si="18"/>
        <v>00:57</v>
      </c>
      <c r="J241" s="3">
        <f t="shared" si="22"/>
        <v>0.44889992981565952</v>
      </c>
      <c r="K241" s="19">
        <v>31.202999999999999</v>
      </c>
      <c r="L241" s="21">
        <f t="shared" si="23"/>
        <v>2359.4180311111063</v>
      </c>
      <c r="M241" s="19">
        <f t="shared" si="19"/>
        <v>1.99</v>
      </c>
      <c r="N241" s="2">
        <v>24.7</v>
      </c>
    </row>
    <row r="242" spans="1:14" x14ac:dyDescent="0.25">
      <c r="A242" s="2">
        <v>4050700</v>
      </c>
      <c r="B242" s="2">
        <v>1.88</v>
      </c>
      <c r="C242" s="19">
        <f t="shared" si="20"/>
        <v>29.874239999999482</v>
      </c>
      <c r="H242" s="2">
        <f t="shared" si="21"/>
        <v>3453.3319999999999</v>
      </c>
      <c r="I242" s="2" t="str">
        <f t="shared" si="18"/>
        <v>00:57</v>
      </c>
      <c r="J242" s="3">
        <f t="shared" si="22"/>
        <v>0.45047877304244788</v>
      </c>
      <c r="K242" s="19">
        <v>31.184999999999999</v>
      </c>
      <c r="L242" s="21">
        <f t="shared" si="23"/>
        <v>2367.716431111106</v>
      </c>
      <c r="M242" s="19">
        <f t="shared" si="19"/>
        <v>1.98</v>
      </c>
      <c r="N242" s="2">
        <v>24.7</v>
      </c>
    </row>
    <row r="243" spans="1:14" x14ac:dyDescent="0.25">
      <c r="A243" s="2">
        <v>4065778</v>
      </c>
      <c r="B243" s="2">
        <v>1.86</v>
      </c>
      <c r="C243" s="19">
        <f t="shared" si="20"/>
        <v>29.552879999999952</v>
      </c>
      <c r="H243" s="2">
        <f t="shared" si="21"/>
        <v>3468.41</v>
      </c>
      <c r="I243" s="2" t="str">
        <f t="shared" si="18"/>
        <v>00:57</v>
      </c>
      <c r="J243" s="3">
        <f t="shared" si="22"/>
        <v>0.45204063250464976</v>
      </c>
      <c r="K243" s="19">
        <v>31.186</v>
      </c>
      <c r="L243" s="21">
        <f t="shared" si="23"/>
        <v>2375.9255644444393</v>
      </c>
      <c r="M243" s="19">
        <f t="shared" si="19"/>
        <v>1.9600000000000002</v>
      </c>
      <c r="N243" s="2">
        <v>24.7</v>
      </c>
    </row>
    <row r="244" spans="1:14" x14ac:dyDescent="0.25">
      <c r="A244" s="2">
        <v>4080866</v>
      </c>
      <c r="B244" s="2">
        <v>1.89</v>
      </c>
      <c r="C244" s="19">
        <f t="shared" si="20"/>
        <v>30.025120000000385</v>
      </c>
      <c r="H244" s="2">
        <f t="shared" si="21"/>
        <v>3483.498</v>
      </c>
      <c r="I244" s="2" t="str">
        <f t="shared" si="18"/>
        <v>00:58</v>
      </c>
      <c r="J244" s="3">
        <f t="shared" si="22"/>
        <v>0.45362744968712904</v>
      </c>
      <c r="K244" s="19">
        <v>31.184999999999999</v>
      </c>
      <c r="L244" s="21">
        <f t="shared" si="23"/>
        <v>2384.2658755555503</v>
      </c>
      <c r="M244" s="19">
        <f t="shared" si="19"/>
        <v>1.99</v>
      </c>
      <c r="N244" s="2">
        <v>24.6</v>
      </c>
    </row>
    <row r="245" spans="1:14" x14ac:dyDescent="0.25">
      <c r="A245" s="2">
        <v>4095954</v>
      </c>
      <c r="B245" s="2">
        <v>1.89</v>
      </c>
      <c r="C245" s="19">
        <f t="shared" si="20"/>
        <v>30.025120000000385</v>
      </c>
      <c r="H245" s="2">
        <f t="shared" si="21"/>
        <v>3498.5860000000002</v>
      </c>
      <c r="I245" s="2" t="str">
        <f t="shared" si="18"/>
        <v>00:58</v>
      </c>
      <c r="J245" s="3">
        <f t="shared" si="22"/>
        <v>0.45521426686960836</v>
      </c>
      <c r="K245" s="19">
        <v>31.242000000000001</v>
      </c>
      <c r="L245" s="21">
        <f t="shared" si="23"/>
        <v>2392.6061866666614</v>
      </c>
      <c r="M245" s="19">
        <f t="shared" si="19"/>
        <v>1.99</v>
      </c>
      <c r="N245" s="2">
        <v>24.5</v>
      </c>
    </row>
    <row r="246" spans="1:14" x14ac:dyDescent="0.25">
      <c r="A246" s="2">
        <v>4111042</v>
      </c>
      <c r="B246" s="2">
        <v>1.92</v>
      </c>
      <c r="C246" s="19">
        <f t="shared" si="20"/>
        <v>30.477760000000391</v>
      </c>
      <c r="H246" s="2">
        <f t="shared" si="21"/>
        <v>3513.6740000000004</v>
      </c>
      <c r="I246" s="2" t="str">
        <f t="shared" si="18"/>
        <v>00:58</v>
      </c>
      <c r="J246" s="3">
        <f t="shared" si="22"/>
        <v>0.45682500591916014</v>
      </c>
      <c r="K246" s="19">
        <v>31.225000000000001</v>
      </c>
      <c r="L246" s="21">
        <f t="shared" si="23"/>
        <v>2401.0722311111058</v>
      </c>
      <c r="M246" s="19">
        <f t="shared" si="19"/>
        <v>2.02</v>
      </c>
      <c r="N246" s="2">
        <v>24.4</v>
      </c>
    </row>
    <row r="247" spans="1:14" x14ac:dyDescent="0.25">
      <c r="A247" s="2">
        <v>4126120</v>
      </c>
      <c r="B247" s="2">
        <v>1.87</v>
      </c>
      <c r="C247" s="19">
        <f t="shared" si="20"/>
        <v>29.703659999999058</v>
      </c>
      <c r="H247" s="2">
        <f t="shared" si="21"/>
        <v>3528.752</v>
      </c>
      <c r="I247" s="2" t="str">
        <f t="shared" si="18"/>
        <v>00:58</v>
      </c>
      <c r="J247" s="3">
        <f t="shared" si="22"/>
        <v>0.45839483405208759</v>
      </c>
      <c r="K247" s="19">
        <v>31.244</v>
      </c>
      <c r="L247" s="21">
        <f t="shared" si="23"/>
        <v>2409.3232477777724</v>
      </c>
      <c r="M247" s="19">
        <f t="shared" si="19"/>
        <v>1.9700000000000002</v>
      </c>
      <c r="N247" s="2">
        <v>24.5</v>
      </c>
    </row>
    <row r="248" spans="1:14" x14ac:dyDescent="0.25">
      <c r="A248" s="2">
        <v>4141198</v>
      </c>
      <c r="B248" s="2">
        <v>1.9</v>
      </c>
      <c r="C248" s="19">
        <f t="shared" si="20"/>
        <v>30.156000000000859</v>
      </c>
      <c r="H248" s="2">
        <f t="shared" si="21"/>
        <v>3543.8300000000004</v>
      </c>
      <c r="I248" s="2" t="str">
        <f t="shared" si="18"/>
        <v>00:59</v>
      </c>
      <c r="J248" s="3">
        <f t="shared" si="22"/>
        <v>0.45998856819719169</v>
      </c>
      <c r="K248" s="19">
        <v>31.28</v>
      </c>
      <c r="L248" s="21">
        <f t="shared" si="23"/>
        <v>2417.6999144444394</v>
      </c>
      <c r="M248" s="19">
        <f t="shared" si="19"/>
        <v>2</v>
      </c>
      <c r="N248" s="2">
        <v>24.6</v>
      </c>
    </row>
    <row r="249" spans="1:14" x14ac:dyDescent="0.25">
      <c r="A249" s="2">
        <v>4156273</v>
      </c>
      <c r="B249" s="2">
        <v>1.87</v>
      </c>
      <c r="C249" s="19">
        <f t="shared" si="20"/>
        <v>29.697749999999644</v>
      </c>
      <c r="H249" s="2">
        <f t="shared" si="21"/>
        <v>3558.9050000000002</v>
      </c>
      <c r="I249" s="2" t="str">
        <f t="shared" si="18"/>
        <v>00:59</v>
      </c>
      <c r="J249" s="3">
        <f t="shared" si="22"/>
        <v>0.46155808398866804</v>
      </c>
      <c r="K249" s="19">
        <v>31.260999999999999</v>
      </c>
      <c r="L249" s="21">
        <f t="shared" si="23"/>
        <v>2425.9492894444393</v>
      </c>
      <c r="M249" s="19">
        <f t="shared" si="19"/>
        <v>1.9700000000000002</v>
      </c>
      <c r="N249" s="2">
        <v>24.6</v>
      </c>
    </row>
    <row r="250" spans="1:14" x14ac:dyDescent="0.25">
      <c r="A250" s="2">
        <v>4171346</v>
      </c>
      <c r="B250" s="2">
        <v>1.88</v>
      </c>
      <c r="C250" s="19">
        <f t="shared" si="20"/>
        <v>29.844539999998833</v>
      </c>
      <c r="H250" s="2">
        <f t="shared" si="21"/>
        <v>3573.9779999999996</v>
      </c>
      <c r="I250" s="2" t="str">
        <f t="shared" si="18"/>
        <v>00:59</v>
      </c>
      <c r="J250" s="3">
        <f t="shared" si="22"/>
        <v>0.46313535758075325</v>
      </c>
      <c r="K250" s="19">
        <v>31.260999999999999</v>
      </c>
      <c r="L250" s="21">
        <f t="shared" si="23"/>
        <v>2434.2394394444391</v>
      </c>
      <c r="M250" s="19">
        <f t="shared" si="19"/>
        <v>1.98</v>
      </c>
      <c r="N250" s="2">
        <v>24.6</v>
      </c>
    </row>
    <row r="251" spans="1:14" x14ac:dyDescent="0.25">
      <c r="A251" s="2">
        <v>4186418</v>
      </c>
      <c r="B251" s="2">
        <v>1.86</v>
      </c>
      <c r="C251" s="19">
        <f t="shared" si="20"/>
        <v>29.54112000000023</v>
      </c>
      <c r="H251" s="2">
        <f t="shared" si="21"/>
        <v>3589.0499999999997</v>
      </c>
      <c r="I251" s="2" t="str">
        <f t="shared" si="18"/>
        <v>00:59</v>
      </c>
      <c r="J251" s="3">
        <f t="shared" si="22"/>
        <v>0.46469659553103232</v>
      </c>
      <c r="K251" s="19">
        <v>31.28</v>
      </c>
      <c r="L251" s="21">
        <f t="shared" si="23"/>
        <v>2442.4453061111058</v>
      </c>
      <c r="M251" s="19">
        <f t="shared" si="19"/>
        <v>1.9600000000000002</v>
      </c>
      <c r="N251" s="2">
        <v>24.7</v>
      </c>
    </row>
    <row r="252" spans="1:14" x14ac:dyDescent="0.25">
      <c r="A252" s="2">
        <v>4201513</v>
      </c>
      <c r="B252" s="2">
        <v>1.87</v>
      </c>
      <c r="C252" s="19">
        <f t="shared" si="20"/>
        <v>29.737150000000504</v>
      </c>
      <c r="H252" s="2">
        <f t="shared" si="21"/>
        <v>3604.145</v>
      </c>
      <c r="I252" s="2" t="str">
        <f t="shared" si="18"/>
        <v>01:00</v>
      </c>
      <c r="J252" s="3">
        <f t="shared" si="22"/>
        <v>0.46626819359884902</v>
      </c>
      <c r="K252" s="19">
        <v>31.318000000000001</v>
      </c>
      <c r="L252" s="21">
        <f t="shared" si="23"/>
        <v>2450.7056255555503</v>
      </c>
      <c r="M252" s="19">
        <f t="shared" si="19"/>
        <v>1.9700000000000002</v>
      </c>
      <c r="N252" s="2">
        <v>24.7</v>
      </c>
    </row>
    <row r="253" spans="1:14" x14ac:dyDescent="0.25">
      <c r="A253" s="2">
        <v>4216604</v>
      </c>
      <c r="B253" s="2">
        <v>1.87</v>
      </c>
      <c r="C253" s="19">
        <f t="shared" si="20"/>
        <v>29.729270000000692</v>
      </c>
      <c r="H253" s="2">
        <f t="shared" si="21"/>
        <v>3619.2360000000003</v>
      </c>
      <c r="I253" s="2" t="str">
        <f t="shared" si="18"/>
        <v>01:00</v>
      </c>
      <c r="J253" s="3">
        <f t="shared" si="22"/>
        <v>0.46783937521139768</v>
      </c>
      <c r="K253" s="19">
        <v>31.300999999999998</v>
      </c>
      <c r="L253" s="21">
        <f t="shared" si="23"/>
        <v>2458.9637561111062</v>
      </c>
      <c r="M253" s="19">
        <f t="shared" si="19"/>
        <v>1.9700000000000002</v>
      </c>
      <c r="N253" s="2">
        <v>24.6</v>
      </c>
    </row>
    <row r="254" spans="1:14" x14ac:dyDescent="0.25">
      <c r="A254" s="2">
        <v>4231684</v>
      </c>
      <c r="B254" s="2">
        <v>1.89</v>
      </c>
      <c r="C254" s="19">
        <f t="shared" si="20"/>
        <v>30.009199999999854</v>
      </c>
      <c r="H254" s="2">
        <f t="shared" si="21"/>
        <v>3634.3160000000003</v>
      </c>
      <c r="I254" s="2" t="str">
        <f t="shared" si="18"/>
        <v>01:00</v>
      </c>
      <c r="J254" s="3">
        <f t="shared" si="22"/>
        <v>0.4694253510273963</v>
      </c>
      <c r="K254" s="19">
        <v>31.318000000000001</v>
      </c>
      <c r="L254" s="21">
        <f t="shared" si="23"/>
        <v>2467.2996449999951</v>
      </c>
      <c r="M254" s="19">
        <f t="shared" si="19"/>
        <v>1.99</v>
      </c>
      <c r="N254" s="2">
        <v>24.6</v>
      </c>
    </row>
    <row r="255" spans="1:14" x14ac:dyDescent="0.25">
      <c r="A255" s="2">
        <v>4246766</v>
      </c>
      <c r="B255" s="2">
        <v>1.88</v>
      </c>
      <c r="C255" s="19">
        <f t="shared" si="20"/>
        <v>29.862359999998862</v>
      </c>
      <c r="H255" s="2">
        <f t="shared" si="21"/>
        <v>3649.3979999999997</v>
      </c>
      <c r="I255" s="2" t="str">
        <f t="shared" si="18"/>
        <v>01:00</v>
      </c>
      <c r="J255" s="3">
        <f t="shared" si="22"/>
        <v>0.47100356640030344</v>
      </c>
      <c r="K255" s="19">
        <v>31.318999999999999</v>
      </c>
      <c r="L255" s="21">
        <f t="shared" si="23"/>
        <v>2475.5947449999949</v>
      </c>
      <c r="M255" s="19">
        <f t="shared" si="19"/>
        <v>1.98</v>
      </c>
      <c r="N255" s="2">
        <v>24.7</v>
      </c>
    </row>
    <row r="256" spans="1:14" x14ac:dyDescent="0.25">
      <c r="A256" s="2">
        <v>4261847</v>
      </c>
      <c r="B256" s="2">
        <v>1.86</v>
      </c>
      <c r="C256" s="19">
        <f t="shared" si="20"/>
        <v>29.558760000000259</v>
      </c>
      <c r="H256" s="2">
        <f t="shared" si="21"/>
        <v>3664.4789999999998</v>
      </c>
      <c r="I256" s="2" t="str">
        <f t="shared" si="18"/>
        <v>01:01</v>
      </c>
      <c r="J256" s="3">
        <f t="shared" si="22"/>
        <v>0.47256573661846679</v>
      </c>
      <c r="K256" s="19">
        <v>31.32</v>
      </c>
      <c r="L256" s="21">
        <f t="shared" si="23"/>
        <v>2483.8055116666615</v>
      </c>
      <c r="M256" s="19">
        <f t="shared" si="19"/>
        <v>1.9600000000000002</v>
      </c>
      <c r="N256" s="2">
        <v>24.7</v>
      </c>
    </row>
    <row r="257" spans="1:14" x14ac:dyDescent="0.25">
      <c r="A257" s="2">
        <v>4276938</v>
      </c>
      <c r="B257" s="2">
        <v>1.89</v>
      </c>
      <c r="C257" s="19">
        <f t="shared" si="20"/>
        <v>30.031090000000695</v>
      </c>
      <c r="H257" s="2">
        <f t="shared" si="21"/>
        <v>3679.57</v>
      </c>
      <c r="I257" s="2" t="str">
        <f t="shared" si="18"/>
        <v>01:01</v>
      </c>
      <c r="J257" s="3">
        <f t="shared" si="22"/>
        <v>0.47415286931337636</v>
      </c>
      <c r="K257" s="19">
        <v>31.358000000000001</v>
      </c>
      <c r="L257" s="21">
        <f t="shared" si="23"/>
        <v>2492.1474811111061</v>
      </c>
      <c r="M257" s="19">
        <f t="shared" si="19"/>
        <v>1.99</v>
      </c>
      <c r="N257" s="2">
        <v>24.6</v>
      </c>
    </row>
    <row r="258" spans="1:14" x14ac:dyDescent="0.25">
      <c r="A258" s="2">
        <v>4292017</v>
      </c>
      <c r="B258" s="2">
        <v>1.87</v>
      </c>
      <c r="C258" s="19">
        <f t="shared" si="20"/>
        <v>29.705629999999459</v>
      </c>
      <c r="H258" s="2">
        <f t="shared" si="21"/>
        <v>3694.6489999999999</v>
      </c>
      <c r="I258" s="2" t="str">
        <f t="shared" si="18"/>
        <v>01:01</v>
      </c>
      <c r="J258" s="3">
        <f t="shared" si="22"/>
        <v>0.47572280156012076</v>
      </c>
      <c r="K258" s="19">
        <v>31.302</v>
      </c>
      <c r="L258" s="21">
        <f t="shared" si="23"/>
        <v>2500.3990449999947</v>
      </c>
      <c r="M258" s="19">
        <f t="shared" si="19"/>
        <v>1.9700000000000002</v>
      </c>
      <c r="N258" s="2">
        <v>24.6</v>
      </c>
    </row>
    <row r="259" spans="1:14" x14ac:dyDescent="0.25">
      <c r="A259" s="2">
        <v>4307099</v>
      </c>
      <c r="B259" s="2">
        <v>1.87</v>
      </c>
      <c r="C259" s="19">
        <f t="shared" si="20"/>
        <v>29.711540000000664</v>
      </c>
      <c r="H259" s="2">
        <f t="shared" si="21"/>
        <v>3709.7310000000002</v>
      </c>
      <c r="I259" s="2" t="str">
        <f t="shared" si="18"/>
        <v>01:01</v>
      </c>
      <c r="J259" s="3">
        <f t="shared" si="22"/>
        <v>0.4772930461483163</v>
      </c>
      <c r="K259" s="19">
        <v>31.359000000000002</v>
      </c>
      <c r="L259" s="21">
        <f t="shared" si="23"/>
        <v>2508.6522505555504</v>
      </c>
      <c r="M259" s="19">
        <f t="shared" si="19"/>
        <v>1.9700000000000002</v>
      </c>
      <c r="N259" s="2">
        <v>24.8</v>
      </c>
    </row>
    <row r="260" spans="1:14" x14ac:dyDescent="0.25">
      <c r="A260" s="2">
        <v>4322180</v>
      </c>
      <c r="B260" s="2">
        <v>1.9</v>
      </c>
      <c r="C260" s="19">
        <f t="shared" si="20"/>
        <v>30.162000000000262</v>
      </c>
      <c r="H260" s="2">
        <f t="shared" si="21"/>
        <v>3724.8120000000004</v>
      </c>
      <c r="I260" s="2" t="str">
        <f t="shared" si="18"/>
        <v>01:02</v>
      </c>
      <c r="J260" s="3">
        <f t="shared" si="22"/>
        <v>0.47888709739134017</v>
      </c>
      <c r="K260" s="19">
        <v>31.358000000000001</v>
      </c>
      <c r="L260" s="21">
        <f t="shared" si="23"/>
        <v>2517.0305838888839</v>
      </c>
      <c r="M260" s="19">
        <f t="shared" si="19"/>
        <v>2</v>
      </c>
      <c r="N260" s="2">
        <v>24.9</v>
      </c>
    </row>
    <row r="261" spans="1:14" x14ac:dyDescent="0.25">
      <c r="A261" s="2">
        <v>4337268</v>
      </c>
      <c r="B261" s="2">
        <v>1.88</v>
      </c>
      <c r="C261" s="19">
        <f t="shared" si="20"/>
        <v>29.874239999999482</v>
      </c>
      <c r="H261" s="2">
        <f t="shared" si="21"/>
        <v>3739.9</v>
      </c>
      <c r="I261" s="2" t="str">
        <f t="shared" si="18"/>
        <v>01:02</v>
      </c>
      <c r="J261" s="3">
        <f t="shared" si="22"/>
        <v>0.48046594061812853</v>
      </c>
      <c r="K261" s="19">
        <v>31.358000000000001</v>
      </c>
      <c r="L261" s="21">
        <f t="shared" si="23"/>
        <v>2525.3289838888836</v>
      </c>
      <c r="M261" s="19">
        <f t="shared" si="19"/>
        <v>1.98</v>
      </c>
      <c r="N261" s="2">
        <v>24.8</v>
      </c>
    </row>
    <row r="262" spans="1:14" x14ac:dyDescent="0.25">
      <c r="A262" s="2">
        <v>4352349</v>
      </c>
      <c r="B262" s="2">
        <v>1.87</v>
      </c>
      <c r="C262" s="19">
        <f t="shared" si="20"/>
        <v>29.709570000000262</v>
      </c>
      <c r="H262" s="2">
        <f t="shared" si="21"/>
        <v>3754.9810000000002</v>
      </c>
      <c r="I262" s="2" t="str">
        <f t="shared" si="18"/>
        <v>01:02</v>
      </c>
      <c r="J262" s="3">
        <f t="shared" si="22"/>
        <v>0.48203608109250701</v>
      </c>
      <c r="K262" s="19">
        <v>31.396999999999998</v>
      </c>
      <c r="L262" s="21">
        <f t="shared" si="23"/>
        <v>2533.5816422222169</v>
      </c>
      <c r="M262" s="19">
        <f t="shared" si="19"/>
        <v>1.9700000000000002</v>
      </c>
      <c r="N262" s="2">
        <v>24.9</v>
      </c>
    </row>
    <row r="263" spans="1:14" x14ac:dyDescent="0.25">
      <c r="A263" s="2">
        <v>4367420</v>
      </c>
      <c r="B263" s="2">
        <v>1.88</v>
      </c>
      <c r="C263" s="19">
        <f t="shared" si="20"/>
        <v>29.840579999999825</v>
      </c>
      <c r="H263" s="2">
        <f t="shared" si="21"/>
        <v>3770.0520000000001</v>
      </c>
      <c r="I263" s="2" t="str">
        <f t="shared" si="18"/>
        <v>01:02</v>
      </c>
      <c r="J263" s="3">
        <f t="shared" si="22"/>
        <v>0.48361314539996514</v>
      </c>
      <c r="K263" s="19">
        <v>31.38</v>
      </c>
      <c r="L263" s="21">
        <f t="shared" si="23"/>
        <v>2541.8706922222168</v>
      </c>
      <c r="M263" s="19">
        <f t="shared" si="19"/>
        <v>1.98</v>
      </c>
      <c r="N263" s="2">
        <v>24.8</v>
      </c>
    </row>
    <row r="264" spans="1:14" x14ac:dyDescent="0.25">
      <c r="A264" s="2">
        <v>4382492</v>
      </c>
      <c r="B264" s="2">
        <v>1.87</v>
      </c>
      <c r="C264" s="19">
        <f t="shared" si="20"/>
        <v>29.691840000000234</v>
      </c>
      <c r="H264" s="2">
        <f t="shared" si="21"/>
        <v>3785.1240000000003</v>
      </c>
      <c r="I264" s="2" t="str">
        <f t="shared" si="18"/>
        <v>01:03</v>
      </c>
      <c r="J264" s="3">
        <f t="shared" si="22"/>
        <v>0.48518234884999056</v>
      </c>
      <c r="K264" s="19">
        <v>31.396999999999998</v>
      </c>
      <c r="L264" s="21">
        <f t="shared" si="23"/>
        <v>2550.1184255555504</v>
      </c>
      <c r="M264" s="19">
        <f t="shared" si="19"/>
        <v>1.9700000000000002</v>
      </c>
      <c r="N264" s="2">
        <v>24.7</v>
      </c>
    </row>
    <row r="265" spans="1:14" x14ac:dyDescent="0.25">
      <c r="A265" s="2">
        <v>4397563</v>
      </c>
      <c r="B265" s="2">
        <v>1.87</v>
      </c>
      <c r="C265" s="19">
        <f t="shared" si="20"/>
        <v>29.689869999999832</v>
      </c>
      <c r="H265" s="2">
        <f t="shared" si="21"/>
        <v>3800.1950000000002</v>
      </c>
      <c r="I265" s="2" t="str">
        <f t="shared" si="18"/>
        <v>01:03</v>
      </c>
      <c r="J265" s="3">
        <f t="shared" si="22"/>
        <v>0.48675144818619892</v>
      </c>
      <c r="K265" s="19">
        <v>31.396999999999998</v>
      </c>
      <c r="L265" s="21">
        <f t="shared" si="23"/>
        <v>2558.3656116666616</v>
      </c>
      <c r="M265" s="19">
        <f t="shared" si="19"/>
        <v>1.9700000000000002</v>
      </c>
      <c r="N265" s="2">
        <v>24.6</v>
      </c>
    </row>
    <row r="266" spans="1:14" x14ac:dyDescent="0.25">
      <c r="A266" s="2">
        <v>4412656</v>
      </c>
      <c r="B266" s="2">
        <v>1.91</v>
      </c>
      <c r="C266" s="19">
        <f t="shared" si="20"/>
        <v>30.33692999999969</v>
      </c>
      <c r="H266" s="2">
        <f t="shared" si="21"/>
        <v>3815.288</v>
      </c>
      <c r="I266" s="2" t="str">
        <f t="shared" si="18"/>
        <v>01:03</v>
      </c>
      <c r="J266" s="3">
        <f t="shared" si="22"/>
        <v>0.48835474441907561</v>
      </c>
      <c r="K266" s="19">
        <v>31.379000000000001</v>
      </c>
      <c r="L266" s="21">
        <f t="shared" si="23"/>
        <v>2566.7925366666614</v>
      </c>
      <c r="M266" s="19">
        <f t="shared" si="19"/>
        <v>2.0099999999999998</v>
      </c>
      <c r="N266" s="2">
        <v>24.7</v>
      </c>
    </row>
    <row r="267" spans="1:14" x14ac:dyDescent="0.25">
      <c r="A267" s="2">
        <v>4427738</v>
      </c>
      <c r="B267" s="2">
        <v>1.87</v>
      </c>
      <c r="C267" s="19">
        <f t="shared" si="20"/>
        <v>29.711540000000664</v>
      </c>
      <c r="H267" s="2">
        <f t="shared" si="21"/>
        <v>3830.3700000000003</v>
      </c>
      <c r="I267" s="2" t="str">
        <f t="shared" si="18"/>
        <v>01:03</v>
      </c>
      <c r="J267" s="3">
        <f t="shared" si="22"/>
        <v>0.48992498900727116</v>
      </c>
      <c r="K267" s="19">
        <v>31.417999999999999</v>
      </c>
      <c r="L267" s="21">
        <f t="shared" si="23"/>
        <v>2575.0457422222171</v>
      </c>
      <c r="M267" s="19">
        <f t="shared" si="19"/>
        <v>1.9700000000000002</v>
      </c>
      <c r="N267" s="2">
        <v>24.7</v>
      </c>
    </row>
    <row r="268" spans="1:14" x14ac:dyDescent="0.25">
      <c r="A268" s="2">
        <v>4442820</v>
      </c>
      <c r="B268" s="2">
        <v>1.88</v>
      </c>
      <c r="C268" s="19">
        <f t="shared" si="20"/>
        <v>29.862359999998862</v>
      </c>
      <c r="H268" s="2">
        <f t="shared" si="21"/>
        <v>3845.4519999999998</v>
      </c>
      <c r="I268" s="2" t="str">
        <f t="shared" si="18"/>
        <v>01:04</v>
      </c>
      <c r="J268" s="3">
        <f t="shared" si="22"/>
        <v>0.49150320438017825</v>
      </c>
      <c r="K268" s="19">
        <v>31.436</v>
      </c>
      <c r="L268" s="21">
        <f t="shared" si="23"/>
        <v>2583.3408422222169</v>
      </c>
      <c r="M268" s="19">
        <f t="shared" si="19"/>
        <v>1.98</v>
      </c>
      <c r="N268" s="2">
        <v>24.7</v>
      </c>
    </row>
    <row r="269" spans="1:14" x14ac:dyDescent="0.25">
      <c r="A269" s="2">
        <v>4457901</v>
      </c>
      <c r="B269" s="2">
        <v>1.89</v>
      </c>
      <c r="C269" s="19">
        <f t="shared" si="20"/>
        <v>30.011190000000262</v>
      </c>
      <c r="H269" s="2">
        <f t="shared" si="21"/>
        <v>3860.5329999999999</v>
      </c>
      <c r="I269" s="2" t="str">
        <f t="shared" si="18"/>
        <v>01:04</v>
      </c>
      <c r="J269" s="3">
        <f t="shared" si="22"/>
        <v>0.49308928536698698</v>
      </c>
      <c r="K269" s="19">
        <v>31.437000000000001</v>
      </c>
      <c r="L269" s="21">
        <f t="shared" si="23"/>
        <v>2591.6772838888837</v>
      </c>
      <c r="M269" s="19">
        <f t="shared" si="19"/>
        <v>1.99</v>
      </c>
      <c r="N269" s="2">
        <v>24.7</v>
      </c>
    </row>
    <row r="270" spans="1:14" x14ac:dyDescent="0.25">
      <c r="A270" s="2">
        <v>4472982</v>
      </c>
      <c r="B270" s="2">
        <v>1.89</v>
      </c>
      <c r="C270" s="19">
        <f t="shared" si="20"/>
        <v>30.011190000000262</v>
      </c>
      <c r="H270" s="2">
        <f t="shared" si="21"/>
        <v>3875.614</v>
      </c>
      <c r="I270" s="2" t="str">
        <f t="shared" ref="I270:I333" si="24">TEXT(H270/86400,"hh:mm")</f>
        <v>01:04</v>
      </c>
      <c r="J270" s="3">
        <f t="shared" si="22"/>
        <v>0.49467536635379578</v>
      </c>
      <c r="K270" s="19">
        <v>31.436</v>
      </c>
      <c r="L270" s="21">
        <f t="shared" si="23"/>
        <v>2600.0137255555505</v>
      </c>
      <c r="M270" s="19">
        <f t="shared" ref="M270:M333" si="25">B270+0.1</f>
        <v>1.99</v>
      </c>
      <c r="N270" s="2">
        <v>24.6</v>
      </c>
    </row>
    <row r="271" spans="1:14" x14ac:dyDescent="0.25">
      <c r="A271" s="2">
        <v>4488064</v>
      </c>
      <c r="B271" s="2">
        <v>1.86</v>
      </c>
      <c r="C271" s="19">
        <f t="shared" ref="C271:C334" si="26">M271*(H271-H270)</f>
        <v>29.560720000000657</v>
      </c>
      <c r="H271" s="2">
        <f t="shared" ref="H271:H334" si="27">(A271/1000-612.368)+15</f>
        <v>3890.6960000000004</v>
      </c>
      <c r="I271" s="2" t="str">
        <f t="shared" si="24"/>
        <v>01:04</v>
      </c>
      <c r="J271" s="3">
        <f t="shared" ref="J271:J334" si="28">L271/5256</f>
        <v>0.49623764015727961</v>
      </c>
      <c r="K271" s="19">
        <v>31.475000000000001</v>
      </c>
      <c r="L271" s="21">
        <f t="shared" si="23"/>
        <v>2608.2250366666617</v>
      </c>
      <c r="M271" s="19">
        <f t="shared" si="25"/>
        <v>1.9600000000000002</v>
      </c>
      <c r="N271" s="2">
        <v>24.7</v>
      </c>
    </row>
    <row r="272" spans="1:14" x14ac:dyDescent="0.25">
      <c r="A272" s="2">
        <v>4503145</v>
      </c>
      <c r="B272" s="2">
        <v>1.88</v>
      </c>
      <c r="C272" s="19">
        <f t="shared" si="26"/>
        <v>29.860380000000259</v>
      </c>
      <c r="H272" s="2">
        <f t="shared" si="27"/>
        <v>3905.7770000000005</v>
      </c>
      <c r="I272" s="2" t="str">
        <f t="shared" si="24"/>
        <v>01:05</v>
      </c>
      <c r="J272" s="3">
        <f t="shared" si="28"/>
        <v>0.49781575088787322</v>
      </c>
      <c r="K272" s="19">
        <v>31.474</v>
      </c>
      <c r="L272" s="21">
        <f t="shared" ref="L272:L335" si="29">C272*1000/(60*60) + L271</f>
        <v>2616.5195866666618</v>
      </c>
      <c r="M272" s="19">
        <f t="shared" si="25"/>
        <v>1.98</v>
      </c>
      <c r="N272" s="2">
        <v>24.9</v>
      </c>
    </row>
    <row r="273" spans="1:14" x14ac:dyDescent="0.25">
      <c r="A273" s="2">
        <v>4518226</v>
      </c>
      <c r="B273" s="2">
        <v>1.88</v>
      </c>
      <c r="C273" s="19">
        <f t="shared" si="26"/>
        <v>29.860379999998457</v>
      </c>
      <c r="H273" s="2">
        <f t="shared" si="27"/>
        <v>3920.8579999999997</v>
      </c>
      <c r="I273" s="2" t="str">
        <f t="shared" si="24"/>
        <v>01:05</v>
      </c>
      <c r="J273" s="3">
        <f t="shared" si="28"/>
        <v>0.49939386161846677</v>
      </c>
      <c r="K273" s="19">
        <v>31.475999999999999</v>
      </c>
      <c r="L273" s="21">
        <f t="shared" si="29"/>
        <v>2624.8141366666614</v>
      </c>
      <c r="M273" s="19">
        <f t="shared" si="25"/>
        <v>1.98</v>
      </c>
      <c r="N273" s="2">
        <v>24.9</v>
      </c>
    </row>
    <row r="274" spans="1:14" x14ac:dyDescent="0.25">
      <c r="A274" s="2">
        <v>4533317</v>
      </c>
      <c r="B274" s="2">
        <v>1.9</v>
      </c>
      <c r="C274" s="19">
        <f t="shared" si="26"/>
        <v>30.182000000000698</v>
      </c>
      <c r="H274" s="2">
        <f t="shared" si="27"/>
        <v>3935.9490000000001</v>
      </c>
      <c r="I274" s="2" t="str">
        <f t="shared" si="24"/>
        <v>01:05</v>
      </c>
      <c r="J274" s="3">
        <f t="shared" si="28"/>
        <v>0.50098896985455676</v>
      </c>
      <c r="K274" s="19">
        <v>31.475999999999999</v>
      </c>
      <c r="L274" s="21">
        <f t="shared" si="29"/>
        <v>2633.1980255555504</v>
      </c>
      <c r="M274" s="19">
        <f t="shared" si="25"/>
        <v>2</v>
      </c>
      <c r="N274" s="2">
        <v>24.8</v>
      </c>
    </row>
    <row r="275" spans="1:14" x14ac:dyDescent="0.25">
      <c r="A275" s="2">
        <v>4548400</v>
      </c>
      <c r="B275" s="2">
        <v>1.88</v>
      </c>
      <c r="C275" s="19">
        <f t="shared" si="26"/>
        <v>29.864339999999267</v>
      </c>
      <c r="H275" s="2">
        <f t="shared" si="27"/>
        <v>3951.0319999999997</v>
      </c>
      <c r="I275" s="2" t="str">
        <f t="shared" si="24"/>
        <v>01:05</v>
      </c>
      <c r="J275" s="3">
        <f t="shared" si="28"/>
        <v>0.50256728986977739</v>
      </c>
      <c r="K275" s="19">
        <v>31.494</v>
      </c>
      <c r="L275" s="21">
        <f t="shared" si="29"/>
        <v>2641.49367555555</v>
      </c>
      <c r="M275" s="19">
        <f t="shared" si="25"/>
        <v>1.98</v>
      </c>
      <c r="N275" s="2">
        <v>24.9</v>
      </c>
    </row>
    <row r="276" spans="1:14" x14ac:dyDescent="0.25">
      <c r="A276" s="2">
        <v>4563481</v>
      </c>
      <c r="B276" s="2">
        <v>1.87</v>
      </c>
      <c r="C276" s="19">
        <f t="shared" si="26"/>
        <v>29.709570000000262</v>
      </c>
      <c r="H276" s="2">
        <f t="shared" si="27"/>
        <v>3966.1129999999998</v>
      </c>
      <c r="I276" s="2" t="str">
        <f t="shared" si="24"/>
        <v>01:06</v>
      </c>
      <c r="J276" s="3">
        <f t="shared" si="28"/>
        <v>0.50413743034415592</v>
      </c>
      <c r="K276" s="19">
        <v>31.513000000000002</v>
      </c>
      <c r="L276" s="21">
        <f t="shared" si="29"/>
        <v>2649.7463338888833</v>
      </c>
      <c r="M276" s="19">
        <f t="shared" si="25"/>
        <v>1.9700000000000002</v>
      </c>
      <c r="N276" s="2">
        <v>24.9</v>
      </c>
    </row>
    <row r="277" spans="1:14" x14ac:dyDescent="0.25">
      <c r="A277" s="2">
        <v>4578562</v>
      </c>
      <c r="B277" s="2">
        <v>1.87</v>
      </c>
      <c r="C277" s="19">
        <f t="shared" si="26"/>
        <v>29.709570000000262</v>
      </c>
      <c r="H277" s="2">
        <f t="shared" si="27"/>
        <v>3981.194</v>
      </c>
      <c r="I277" s="2" t="str">
        <f t="shared" si="24"/>
        <v>01:06</v>
      </c>
      <c r="J277" s="3">
        <f t="shared" si="28"/>
        <v>0.50570757081853435</v>
      </c>
      <c r="K277" s="19">
        <v>31.513999999999999</v>
      </c>
      <c r="L277" s="21">
        <f t="shared" si="29"/>
        <v>2657.9989922222167</v>
      </c>
      <c r="M277" s="19">
        <f t="shared" si="25"/>
        <v>1.9700000000000002</v>
      </c>
      <c r="N277" s="2">
        <v>24.9</v>
      </c>
    </row>
    <row r="278" spans="1:14" x14ac:dyDescent="0.25">
      <c r="A278" s="2">
        <v>4593643</v>
      </c>
      <c r="B278" s="2">
        <v>1.86</v>
      </c>
      <c r="C278" s="19">
        <f t="shared" si="26"/>
        <v>29.558760000000259</v>
      </c>
      <c r="H278" s="2">
        <f t="shared" si="27"/>
        <v>3996.2750000000001</v>
      </c>
      <c r="I278" s="2" t="str">
        <f t="shared" si="24"/>
        <v>01:06</v>
      </c>
      <c r="J278" s="3">
        <f t="shared" si="28"/>
        <v>0.50726974103669775</v>
      </c>
      <c r="K278" s="19">
        <v>31.495999999999999</v>
      </c>
      <c r="L278" s="21">
        <f t="shared" si="29"/>
        <v>2666.2097588888832</v>
      </c>
      <c r="M278" s="19">
        <f t="shared" si="25"/>
        <v>1.9600000000000002</v>
      </c>
      <c r="N278" s="2">
        <v>24.8</v>
      </c>
    </row>
    <row r="279" spans="1:14" x14ac:dyDescent="0.25">
      <c r="A279" s="2">
        <v>4608723</v>
      </c>
      <c r="B279" s="2">
        <v>1.88</v>
      </c>
      <c r="C279" s="19">
        <f t="shared" si="26"/>
        <v>29.858399999999854</v>
      </c>
      <c r="H279" s="2">
        <f t="shared" si="27"/>
        <v>4011.355</v>
      </c>
      <c r="I279" s="2" t="str">
        <f t="shared" si="24"/>
        <v>01:06</v>
      </c>
      <c r="J279" s="3">
        <f t="shared" si="28"/>
        <v>0.50884774712497771</v>
      </c>
      <c r="K279" s="19">
        <v>31.513000000000002</v>
      </c>
      <c r="L279" s="21">
        <f t="shared" si="29"/>
        <v>2674.5037588888831</v>
      </c>
      <c r="M279" s="19">
        <f t="shared" si="25"/>
        <v>1.98</v>
      </c>
      <c r="N279" s="2">
        <v>25.1</v>
      </c>
    </row>
    <row r="280" spans="1:14" x14ac:dyDescent="0.25">
      <c r="A280" s="2">
        <v>4623806</v>
      </c>
      <c r="B280" s="2">
        <v>1.89</v>
      </c>
      <c r="C280" s="19">
        <f t="shared" si="26"/>
        <v>30.015169999999262</v>
      </c>
      <c r="H280" s="2">
        <f t="shared" si="27"/>
        <v>4026.4379999999996</v>
      </c>
      <c r="I280" s="2" t="str">
        <f t="shared" si="24"/>
        <v>01:07</v>
      </c>
      <c r="J280" s="3">
        <f t="shared" si="28"/>
        <v>0.51043403845340662</v>
      </c>
      <c r="K280" s="19">
        <v>31.513999999999999</v>
      </c>
      <c r="L280" s="21">
        <f t="shared" si="29"/>
        <v>2682.841306111105</v>
      </c>
      <c r="M280" s="19">
        <f t="shared" si="25"/>
        <v>1.99</v>
      </c>
      <c r="N280" s="2">
        <v>24.9</v>
      </c>
    </row>
    <row r="281" spans="1:14" x14ac:dyDescent="0.25">
      <c r="A281" s="2">
        <v>4638887</v>
      </c>
      <c r="B281" s="2">
        <v>1.9</v>
      </c>
      <c r="C281" s="19">
        <f t="shared" si="26"/>
        <v>30.162000000000262</v>
      </c>
      <c r="H281" s="2">
        <f t="shared" si="27"/>
        <v>4041.5189999999998</v>
      </c>
      <c r="I281" s="2" t="str">
        <f t="shared" si="24"/>
        <v>01:07</v>
      </c>
      <c r="J281" s="3">
        <f t="shared" si="28"/>
        <v>0.51202808969643043</v>
      </c>
      <c r="K281" s="19">
        <v>31.533999999999999</v>
      </c>
      <c r="L281" s="21">
        <f t="shared" si="29"/>
        <v>2691.2196394444386</v>
      </c>
      <c r="M281" s="19">
        <f t="shared" si="25"/>
        <v>2</v>
      </c>
      <c r="N281" s="2">
        <v>24.9</v>
      </c>
    </row>
    <row r="282" spans="1:14" x14ac:dyDescent="0.25">
      <c r="A282" s="2">
        <v>4653979</v>
      </c>
      <c r="B282" s="2">
        <v>1.87</v>
      </c>
      <c r="C282" s="19">
        <f t="shared" si="26"/>
        <v>29.731240000001094</v>
      </c>
      <c r="H282" s="2">
        <f t="shared" si="27"/>
        <v>4056.6110000000003</v>
      </c>
      <c r="I282" s="2" t="str">
        <f t="shared" si="24"/>
        <v>01:07</v>
      </c>
      <c r="J282" s="3">
        <f t="shared" si="28"/>
        <v>0.51359937542279621</v>
      </c>
      <c r="K282" s="19">
        <v>31.495000000000001</v>
      </c>
      <c r="L282" s="21">
        <f t="shared" si="29"/>
        <v>2699.4783172222169</v>
      </c>
      <c r="M282" s="19">
        <f t="shared" si="25"/>
        <v>1.9700000000000002</v>
      </c>
      <c r="N282" s="2">
        <v>24.9</v>
      </c>
    </row>
    <row r="283" spans="1:14" x14ac:dyDescent="0.25">
      <c r="A283" s="2">
        <v>4669060</v>
      </c>
      <c r="B283" s="2">
        <v>1.9</v>
      </c>
      <c r="C283" s="19">
        <f t="shared" si="26"/>
        <v>30.162000000000262</v>
      </c>
      <c r="H283" s="2">
        <f t="shared" si="27"/>
        <v>4071.6920000000005</v>
      </c>
      <c r="I283" s="2" t="str">
        <f t="shared" si="24"/>
        <v>01:07</v>
      </c>
      <c r="J283" s="3">
        <f t="shared" si="28"/>
        <v>0.51519342666582013</v>
      </c>
      <c r="K283" s="19">
        <v>31.552</v>
      </c>
      <c r="L283" s="21">
        <f t="shared" si="29"/>
        <v>2707.8566505555505</v>
      </c>
      <c r="M283" s="19">
        <f t="shared" si="25"/>
        <v>2</v>
      </c>
      <c r="N283" s="2">
        <v>24.8</v>
      </c>
    </row>
    <row r="284" spans="1:14" x14ac:dyDescent="0.25">
      <c r="A284" s="2">
        <v>4684141</v>
      </c>
      <c r="B284" s="2">
        <v>1.9</v>
      </c>
      <c r="C284" s="19">
        <f t="shared" si="26"/>
        <v>30.161999999998443</v>
      </c>
      <c r="H284" s="2">
        <f t="shared" si="27"/>
        <v>4086.7729999999997</v>
      </c>
      <c r="I284" s="2" t="str">
        <f t="shared" si="24"/>
        <v>01:08</v>
      </c>
      <c r="J284" s="3">
        <f t="shared" si="28"/>
        <v>0.51678747790884394</v>
      </c>
      <c r="K284" s="19">
        <v>31.552</v>
      </c>
      <c r="L284" s="21">
        <f t="shared" si="29"/>
        <v>2716.2349838888836</v>
      </c>
      <c r="M284" s="19">
        <f t="shared" si="25"/>
        <v>2</v>
      </c>
      <c r="N284" s="2">
        <v>24.7</v>
      </c>
    </row>
    <row r="285" spans="1:14" x14ac:dyDescent="0.25">
      <c r="A285" s="2">
        <v>4699222</v>
      </c>
      <c r="B285" s="2">
        <v>1.88</v>
      </c>
      <c r="C285" s="19">
        <f t="shared" si="26"/>
        <v>29.86037999999936</v>
      </c>
      <c r="H285" s="2">
        <f t="shared" si="27"/>
        <v>4101.8539999999994</v>
      </c>
      <c r="I285" s="2" t="str">
        <f t="shared" si="24"/>
        <v>01:08</v>
      </c>
      <c r="J285" s="3">
        <f t="shared" si="28"/>
        <v>0.51836558863943749</v>
      </c>
      <c r="K285" s="19">
        <v>31.550999999999998</v>
      </c>
      <c r="L285" s="21">
        <f t="shared" si="29"/>
        <v>2724.5295338888832</v>
      </c>
      <c r="M285" s="19">
        <f t="shared" si="25"/>
        <v>1.98</v>
      </c>
      <c r="N285" s="2">
        <v>25</v>
      </c>
    </row>
    <row r="286" spans="1:14" x14ac:dyDescent="0.25">
      <c r="A286" s="2">
        <v>4714303</v>
      </c>
      <c r="B286" s="2">
        <v>1.87</v>
      </c>
      <c r="C286" s="19">
        <f t="shared" si="26"/>
        <v>29.709570000000262</v>
      </c>
      <c r="H286" s="2">
        <f t="shared" si="27"/>
        <v>4116.9349999999995</v>
      </c>
      <c r="I286" s="2" t="str">
        <f t="shared" si="24"/>
        <v>01:08</v>
      </c>
      <c r="J286" s="3">
        <f t="shared" si="28"/>
        <v>0.51993572911381591</v>
      </c>
      <c r="K286" s="19">
        <v>31.573</v>
      </c>
      <c r="L286" s="21">
        <f t="shared" si="29"/>
        <v>2732.7821922222165</v>
      </c>
      <c r="M286" s="19">
        <f t="shared" si="25"/>
        <v>1.9700000000000002</v>
      </c>
      <c r="N286" s="2">
        <v>25</v>
      </c>
    </row>
    <row r="287" spans="1:14" x14ac:dyDescent="0.25">
      <c r="A287" s="2">
        <v>4729384</v>
      </c>
      <c r="B287" s="2">
        <v>1.89</v>
      </c>
      <c r="C287" s="19">
        <f t="shared" si="26"/>
        <v>30.011190000000262</v>
      </c>
      <c r="H287" s="2">
        <f t="shared" si="27"/>
        <v>4132.0159999999996</v>
      </c>
      <c r="I287" s="2" t="str">
        <f t="shared" si="24"/>
        <v>01:08</v>
      </c>
      <c r="J287" s="3">
        <f t="shared" si="28"/>
        <v>0.52152181010062471</v>
      </c>
      <c r="K287" s="19">
        <v>31.608000000000001</v>
      </c>
      <c r="L287" s="21">
        <f t="shared" si="29"/>
        <v>2741.1186338888833</v>
      </c>
      <c r="M287" s="19">
        <f t="shared" si="25"/>
        <v>1.99</v>
      </c>
      <c r="N287" s="2">
        <v>25</v>
      </c>
    </row>
    <row r="288" spans="1:14" x14ac:dyDescent="0.25">
      <c r="A288" s="2">
        <v>4744465</v>
      </c>
      <c r="B288" s="2">
        <v>1.88</v>
      </c>
      <c r="C288" s="19">
        <f t="shared" si="26"/>
        <v>29.860380000000259</v>
      </c>
      <c r="H288" s="2">
        <f t="shared" si="27"/>
        <v>4147.0969999999998</v>
      </c>
      <c r="I288" s="2" t="str">
        <f t="shared" si="24"/>
        <v>01:09</v>
      </c>
      <c r="J288" s="3">
        <f t="shared" si="28"/>
        <v>0.52309992083121826</v>
      </c>
      <c r="K288" s="19">
        <v>31.59</v>
      </c>
      <c r="L288" s="21">
        <f t="shared" si="29"/>
        <v>2749.4131838888834</v>
      </c>
      <c r="M288" s="19">
        <f t="shared" si="25"/>
        <v>1.98</v>
      </c>
      <c r="N288" s="2">
        <v>24.9</v>
      </c>
    </row>
    <row r="289" spans="1:14" x14ac:dyDescent="0.25">
      <c r="A289" s="2">
        <v>4759547</v>
      </c>
      <c r="B289" s="2">
        <v>1.88</v>
      </c>
      <c r="C289" s="19">
        <f t="shared" si="26"/>
        <v>29.862359999998862</v>
      </c>
      <c r="H289" s="2">
        <f t="shared" si="27"/>
        <v>4162.1789999999992</v>
      </c>
      <c r="I289" s="2" t="str">
        <f t="shared" si="24"/>
        <v>01:09</v>
      </c>
      <c r="J289" s="3">
        <f t="shared" si="28"/>
        <v>0.5246781362041254</v>
      </c>
      <c r="K289" s="19">
        <v>31.59</v>
      </c>
      <c r="L289" s="21">
        <f t="shared" si="29"/>
        <v>2757.7082838888832</v>
      </c>
      <c r="M289" s="19">
        <f t="shared" si="25"/>
        <v>1.98</v>
      </c>
      <c r="N289" s="2">
        <v>25.1</v>
      </c>
    </row>
    <row r="290" spans="1:14" x14ac:dyDescent="0.25">
      <c r="A290" s="2">
        <v>4774628</v>
      </c>
      <c r="B290" s="2">
        <v>1.87</v>
      </c>
      <c r="C290" s="19">
        <f t="shared" si="26"/>
        <v>29.709570000000262</v>
      </c>
      <c r="H290" s="2">
        <f t="shared" si="27"/>
        <v>4177.2599999999993</v>
      </c>
      <c r="I290" s="2" t="str">
        <f t="shared" si="24"/>
        <v>01:09</v>
      </c>
      <c r="J290" s="3">
        <f t="shared" si="28"/>
        <v>0.52624827667850393</v>
      </c>
      <c r="K290" s="19">
        <v>31.573</v>
      </c>
      <c r="L290" s="21">
        <f t="shared" si="29"/>
        <v>2765.9609422222165</v>
      </c>
      <c r="M290" s="19">
        <f t="shared" si="25"/>
        <v>1.9700000000000002</v>
      </c>
      <c r="N290" s="2">
        <v>25.1</v>
      </c>
    </row>
    <row r="291" spans="1:14" x14ac:dyDescent="0.25">
      <c r="A291" s="2">
        <v>4789708</v>
      </c>
      <c r="B291" s="2">
        <v>1.87</v>
      </c>
      <c r="C291" s="19">
        <f t="shared" si="26"/>
        <v>29.707599999999861</v>
      </c>
      <c r="H291" s="2">
        <f t="shared" si="27"/>
        <v>4192.3399999999992</v>
      </c>
      <c r="I291" s="2" t="str">
        <f t="shared" si="24"/>
        <v>01:09</v>
      </c>
      <c r="J291" s="3">
        <f t="shared" si="28"/>
        <v>0.52781831303906535</v>
      </c>
      <c r="K291" s="19">
        <v>31.63</v>
      </c>
      <c r="L291" s="21">
        <f t="shared" si="29"/>
        <v>2774.2130533333275</v>
      </c>
      <c r="M291" s="19">
        <f t="shared" si="25"/>
        <v>1.9700000000000002</v>
      </c>
      <c r="N291" s="2">
        <v>24.8</v>
      </c>
    </row>
    <row r="292" spans="1:14" x14ac:dyDescent="0.25">
      <c r="A292" s="2">
        <v>4804800</v>
      </c>
      <c r="B292" s="2">
        <v>1.88</v>
      </c>
      <c r="C292" s="19">
        <f t="shared" si="26"/>
        <v>29.882160000001093</v>
      </c>
      <c r="H292" s="2">
        <f t="shared" si="27"/>
        <v>4207.4319999999998</v>
      </c>
      <c r="I292" s="2" t="str">
        <f t="shared" si="24"/>
        <v>01:10</v>
      </c>
      <c r="J292" s="3">
        <f t="shared" si="28"/>
        <v>0.52939757483510808</v>
      </c>
      <c r="K292" s="19">
        <v>31.63</v>
      </c>
      <c r="L292" s="21">
        <f t="shared" si="29"/>
        <v>2782.513653333328</v>
      </c>
      <c r="M292" s="19">
        <f t="shared" si="25"/>
        <v>1.98</v>
      </c>
      <c r="N292" s="2">
        <v>24.8</v>
      </c>
    </row>
    <row r="293" spans="1:14" x14ac:dyDescent="0.25">
      <c r="A293" s="2">
        <v>4819882</v>
      </c>
      <c r="B293" s="2">
        <v>1.85</v>
      </c>
      <c r="C293" s="19">
        <f t="shared" si="26"/>
        <v>29.409899999998881</v>
      </c>
      <c r="H293" s="2">
        <f t="shared" si="27"/>
        <v>4222.5139999999992</v>
      </c>
      <c r="I293" s="2" t="str">
        <f t="shared" si="24"/>
        <v>01:10</v>
      </c>
      <c r="J293" s="3">
        <f t="shared" si="28"/>
        <v>0.53095187785388021</v>
      </c>
      <c r="K293" s="19">
        <v>31.629000000000001</v>
      </c>
      <c r="L293" s="21">
        <f t="shared" si="29"/>
        <v>2790.6830699999941</v>
      </c>
      <c r="M293" s="19">
        <f t="shared" si="25"/>
        <v>1.9500000000000002</v>
      </c>
      <c r="N293" s="2">
        <v>24.9</v>
      </c>
    </row>
    <row r="294" spans="1:14" x14ac:dyDescent="0.25">
      <c r="A294" s="2">
        <v>4834964</v>
      </c>
      <c r="B294" s="2">
        <v>1.89</v>
      </c>
      <c r="C294" s="19">
        <f t="shared" si="26"/>
        <v>30.013180000000666</v>
      </c>
      <c r="H294" s="2">
        <f t="shared" si="27"/>
        <v>4237.5959999999995</v>
      </c>
      <c r="I294" s="2" t="str">
        <f t="shared" si="24"/>
        <v>01:10</v>
      </c>
      <c r="J294" s="3">
        <f t="shared" si="28"/>
        <v>0.53253806401149906</v>
      </c>
      <c r="K294" s="19">
        <v>31.629000000000001</v>
      </c>
      <c r="L294" s="21">
        <f t="shared" si="29"/>
        <v>2799.020064444439</v>
      </c>
      <c r="M294" s="19">
        <f t="shared" si="25"/>
        <v>1.99</v>
      </c>
      <c r="N294" s="2">
        <v>24.9</v>
      </c>
    </row>
    <row r="295" spans="1:14" x14ac:dyDescent="0.25">
      <c r="A295" s="2">
        <v>4850045</v>
      </c>
      <c r="B295" s="2">
        <v>1.89</v>
      </c>
      <c r="C295" s="19">
        <f t="shared" si="26"/>
        <v>30.011190000000262</v>
      </c>
      <c r="H295" s="2">
        <f t="shared" si="27"/>
        <v>4252.6769999999997</v>
      </c>
      <c r="I295" s="2" t="str">
        <f t="shared" si="24"/>
        <v>01:10</v>
      </c>
      <c r="J295" s="3">
        <f t="shared" si="28"/>
        <v>0.53412414499830785</v>
      </c>
      <c r="K295" s="19">
        <v>31.667999999999999</v>
      </c>
      <c r="L295" s="21">
        <f t="shared" si="29"/>
        <v>2807.3565061111058</v>
      </c>
      <c r="M295" s="19">
        <f t="shared" si="25"/>
        <v>1.99</v>
      </c>
      <c r="N295" s="2">
        <v>25.1</v>
      </c>
    </row>
    <row r="296" spans="1:14" x14ac:dyDescent="0.25">
      <c r="A296" s="2">
        <v>4865126</v>
      </c>
      <c r="B296" s="2">
        <v>1.89</v>
      </c>
      <c r="C296" s="19">
        <f t="shared" si="26"/>
        <v>30.011190000000262</v>
      </c>
      <c r="H296" s="2">
        <f t="shared" si="27"/>
        <v>4267.7579999999998</v>
      </c>
      <c r="I296" s="2" t="str">
        <f t="shared" si="24"/>
        <v>01:11</v>
      </c>
      <c r="J296" s="3">
        <f t="shared" si="28"/>
        <v>0.53571022598511653</v>
      </c>
      <c r="K296" s="19">
        <v>31.667999999999999</v>
      </c>
      <c r="L296" s="21">
        <f t="shared" si="29"/>
        <v>2815.6929477777726</v>
      </c>
      <c r="M296" s="19">
        <f t="shared" si="25"/>
        <v>1.99</v>
      </c>
      <c r="N296" s="2">
        <v>25.2</v>
      </c>
    </row>
    <row r="297" spans="1:14" x14ac:dyDescent="0.25">
      <c r="A297" s="2">
        <v>4880207</v>
      </c>
      <c r="B297" s="2">
        <v>1.91</v>
      </c>
      <c r="C297" s="19">
        <f t="shared" si="26"/>
        <v>30.312810000000258</v>
      </c>
      <c r="H297" s="2">
        <f t="shared" si="27"/>
        <v>4282.8389999999999</v>
      </c>
      <c r="I297" s="2" t="str">
        <f t="shared" si="24"/>
        <v>01:11</v>
      </c>
      <c r="J297" s="3">
        <f t="shared" si="28"/>
        <v>0.53731224748435547</v>
      </c>
      <c r="K297" s="19">
        <v>31.667999999999999</v>
      </c>
      <c r="L297" s="21">
        <f t="shared" si="29"/>
        <v>2824.1131727777724</v>
      </c>
      <c r="M297" s="19">
        <f t="shared" si="25"/>
        <v>2.0099999999999998</v>
      </c>
      <c r="N297" s="2">
        <v>25.1</v>
      </c>
    </row>
    <row r="298" spans="1:14" x14ac:dyDescent="0.25">
      <c r="A298" s="2">
        <v>4895289</v>
      </c>
      <c r="B298" s="2">
        <v>1.87</v>
      </c>
      <c r="C298" s="19">
        <f t="shared" si="26"/>
        <v>29.71153999999887</v>
      </c>
      <c r="H298" s="2">
        <f t="shared" si="27"/>
        <v>4297.9209999999994</v>
      </c>
      <c r="I298" s="2" t="str">
        <f t="shared" si="24"/>
        <v>01:11</v>
      </c>
      <c r="J298" s="3">
        <f t="shared" si="28"/>
        <v>0.5388824920725509</v>
      </c>
      <c r="K298" s="19">
        <v>31.65</v>
      </c>
      <c r="L298" s="21">
        <f t="shared" si="29"/>
        <v>2832.3663783333277</v>
      </c>
      <c r="M298" s="19">
        <f t="shared" si="25"/>
        <v>1.9700000000000002</v>
      </c>
      <c r="N298" s="2">
        <v>25.2</v>
      </c>
    </row>
    <row r="299" spans="1:14" x14ac:dyDescent="0.25">
      <c r="A299" s="2">
        <v>4910369</v>
      </c>
      <c r="B299" s="2">
        <v>1.89</v>
      </c>
      <c r="C299" s="19">
        <f t="shared" si="26"/>
        <v>30.009199999999854</v>
      </c>
      <c r="H299" s="2">
        <f t="shared" si="27"/>
        <v>4313.0009999999993</v>
      </c>
      <c r="I299" s="2" t="str">
        <f t="shared" si="24"/>
        <v>01:11</v>
      </c>
      <c r="J299" s="3">
        <f t="shared" si="28"/>
        <v>0.54046846788854952</v>
      </c>
      <c r="K299" s="19">
        <v>31.669</v>
      </c>
      <c r="L299" s="21">
        <f t="shared" si="29"/>
        <v>2840.7022672222165</v>
      </c>
      <c r="M299" s="19">
        <f t="shared" si="25"/>
        <v>1.99</v>
      </c>
      <c r="N299" s="2">
        <v>25.2</v>
      </c>
    </row>
    <row r="300" spans="1:14" x14ac:dyDescent="0.25">
      <c r="A300" s="2">
        <v>4925451</v>
      </c>
      <c r="B300" s="2">
        <v>1.89</v>
      </c>
      <c r="C300" s="19">
        <f t="shared" si="26"/>
        <v>30.013180000000666</v>
      </c>
      <c r="H300" s="2">
        <f t="shared" si="27"/>
        <v>4328.0829999999996</v>
      </c>
      <c r="I300" s="2" t="str">
        <f t="shared" si="24"/>
        <v>01:12</v>
      </c>
      <c r="J300" s="3">
        <f t="shared" si="28"/>
        <v>0.54205465404616848</v>
      </c>
      <c r="K300" s="19">
        <v>31.690999999999999</v>
      </c>
      <c r="L300" s="21">
        <f t="shared" si="29"/>
        <v>2849.0392616666613</v>
      </c>
      <c r="M300" s="19">
        <f t="shared" si="25"/>
        <v>1.99</v>
      </c>
      <c r="N300" s="2">
        <v>25.2</v>
      </c>
    </row>
    <row r="301" spans="1:14" x14ac:dyDescent="0.25">
      <c r="A301" s="2">
        <v>4940532</v>
      </c>
      <c r="B301" s="2">
        <v>1.87</v>
      </c>
      <c r="C301" s="19">
        <f t="shared" si="26"/>
        <v>29.709570000000262</v>
      </c>
      <c r="H301" s="2">
        <f t="shared" si="27"/>
        <v>4343.1639999999998</v>
      </c>
      <c r="I301" s="2" t="str">
        <f t="shared" si="24"/>
        <v>01:12</v>
      </c>
      <c r="J301" s="3">
        <f t="shared" si="28"/>
        <v>0.54362479452054691</v>
      </c>
      <c r="K301" s="19">
        <v>31.69</v>
      </c>
      <c r="L301" s="21">
        <f t="shared" si="29"/>
        <v>2857.2919199999947</v>
      </c>
      <c r="M301" s="19">
        <f t="shared" si="25"/>
        <v>1.9700000000000002</v>
      </c>
      <c r="N301" s="2">
        <v>25.2</v>
      </c>
    </row>
    <row r="302" spans="1:14" x14ac:dyDescent="0.25">
      <c r="A302" s="2">
        <v>4955611</v>
      </c>
      <c r="B302" s="2">
        <v>1.89</v>
      </c>
      <c r="C302" s="19">
        <f t="shared" si="26"/>
        <v>30.00720999999945</v>
      </c>
      <c r="H302" s="2">
        <f t="shared" si="27"/>
        <v>4358.2429999999995</v>
      </c>
      <c r="I302" s="2" t="str">
        <f t="shared" si="24"/>
        <v>01:12</v>
      </c>
      <c r="J302" s="3">
        <f t="shared" si="28"/>
        <v>0.54521066516573546</v>
      </c>
      <c r="K302" s="19">
        <v>31.707999999999998</v>
      </c>
      <c r="L302" s="21">
        <f t="shared" si="29"/>
        <v>2865.6272561111055</v>
      </c>
      <c r="M302" s="19">
        <f t="shared" si="25"/>
        <v>1.99</v>
      </c>
      <c r="N302" s="2">
        <v>25.2</v>
      </c>
    </row>
    <row r="303" spans="1:14" x14ac:dyDescent="0.25">
      <c r="A303" s="2">
        <v>4970695</v>
      </c>
      <c r="B303" s="2">
        <v>1.88</v>
      </c>
      <c r="C303" s="19">
        <f t="shared" si="26"/>
        <v>29.866319999999668</v>
      </c>
      <c r="H303" s="2">
        <f t="shared" si="27"/>
        <v>4373.3269999999993</v>
      </c>
      <c r="I303" s="2" t="str">
        <f t="shared" si="24"/>
        <v>01:12</v>
      </c>
      <c r="J303" s="3">
        <f t="shared" si="28"/>
        <v>0.54678908982326968</v>
      </c>
      <c r="K303" s="19">
        <v>31.707999999999998</v>
      </c>
      <c r="L303" s="21">
        <f t="shared" si="29"/>
        <v>2873.9234561111052</v>
      </c>
      <c r="M303" s="19">
        <f t="shared" si="25"/>
        <v>1.98</v>
      </c>
      <c r="N303" s="2">
        <v>25.3</v>
      </c>
    </row>
    <row r="304" spans="1:14" x14ac:dyDescent="0.25">
      <c r="A304" s="2">
        <v>4985778</v>
      </c>
      <c r="B304" s="2">
        <v>1.88</v>
      </c>
      <c r="C304" s="19">
        <f t="shared" si="26"/>
        <v>29.864340000001064</v>
      </c>
      <c r="H304" s="2">
        <f t="shared" si="27"/>
        <v>4388.41</v>
      </c>
      <c r="I304" s="2" t="str">
        <f t="shared" si="24"/>
        <v>01:13</v>
      </c>
      <c r="J304" s="3">
        <f t="shared" si="28"/>
        <v>0.54836740983849042</v>
      </c>
      <c r="K304" s="19">
        <v>31.745999999999999</v>
      </c>
      <c r="L304" s="21">
        <f t="shared" si="29"/>
        <v>2882.2191061111057</v>
      </c>
      <c r="M304" s="19">
        <f t="shared" si="25"/>
        <v>1.98</v>
      </c>
      <c r="N304" s="2">
        <v>25.1</v>
      </c>
    </row>
    <row r="305" spans="1:14" x14ac:dyDescent="0.25">
      <c r="A305" s="2">
        <v>5000859</v>
      </c>
      <c r="B305" s="2">
        <v>1.87</v>
      </c>
      <c r="C305" s="19">
        <f t="shared" si="26"/>
        <v>29.709570000000262</v>
      </c>
      <c r="H305" s="2">
        <f t="shared" si="27"/>
        <v>4403.491</v>
      </c>
      <c r="I305" s="2" t="str">
        <f t="shared" si="24"/>
        <v>01:13</v>
      </c>
      <c r="J305" s="3">
        <f t="shared" si="28"/>
        <v>0.54993755031286895</v>
      </c>
      <c r="K305" s="19">
        <v>31.73</v>
      </c>
      <c r="L305" s="21">
        <f t="shared" si="29"/>
        <v>2890.471764444439</v>
      </c>
      <c r="M305" s="19">
        <f t="shared" si="25"/>
        <v>1.9700000000000002</v>
      </c>
      <c r="N305" s="2">
        <v>25.2</v>
      </c>
    </row>
    <row r="306" spans="1:14" x14ac:dyDescent="0.25">
      <c r="A306" s="2">
        <v>5015936</v>
      </c>
      <c r="B306" s="2">
        <v>1.89</v>
      </c>
      <c r="C306" s="19">
        <f t="shared" si="26"/>
        <v>30.003229999998638</v>
      </c>
      <c r="H306" s="2">
        <f t="shared" si="27"/>
        <v>4418.5679999999993</v>
      </c>
      <c r="I306" s="2" t="str">
        <f t="shared" si="24"/>
        <v>01:13</v>
      </c>
      <c r="J306" s="3">
        <f t="shared" si="28"/>
        <v>0.55152321061643728</v>
      </c>
      <c r="K306" s="19">
        <v>31.748000000000001</v>
      </c>
      <c r="L306" s="21">
        <f t="shared" si="29"/>
        <v>2898.8059949999943</v>
      </c>
      <c r="M306" s="19">
        <f t="shared" si="25"/>
        <v>1.99</v>
      </c>
      <c r="N306" s="2">
        <v>25.2</v>
      </c>
    </row>
    <row r="307" spans="1:14" x14ac:dyDescent="0.25">
      <c r="A307" s="2">
        <v>5031020</v>
      </c>
      <c r="B307" s="2">
        <v>1.9</v>
      </c>
      <c r="C307" s="19">
        <f t="shared" si="26"/>
        <v>30.168000000001484</v>
      </c>
      <c r="H307" s="2">
        <f t="shared" si="27"/>
        <v>4433.652</v>
      </c>
      <c r="I307" s="2" t="str">
        <f t="shared" si="24"/>
        <v>01:13</v>
      </c>
      <c r="J307" s="3">
        <f t="shared" si="28"/>
        <v>0.55311757895738101</v>
      </c>
      <c r="K307" s="19">
        <v>31.786999999999999</v>
      </c>
      <c r="L307" s="21">
        <f t="shared" si="29"/>
        <v>2907.1859949999948</v>
      </c>
      <c r="M307" s="19">
        <f t="shared" si="25"/>
        <v>2</v>
      </c>
      <c r="N307" s="2">
        <v>25</v>
      </c>
    </row>
    <row r="308" spans="1:14" x14ac:dyDescent="0.25">
      <c r="A308" s="2">
        <v>5046101</v>
      </c>
      <c r="B308" s="2">
        <v>1.92</v>
      </c>
      <c r="C308" s="19">
        <f t="shared" si="26"/>
        <v>30.463619999998429</v>
      </c>
      <c r="H308" s="2">
        <f t="shared" si="27"/>
        <v>4448.7329999999993</v>
      </c>
      <c r="I308" s="2" t="str">
        <f t="shared" si="24"/>
        <v>01:14</v>
      </c>
      <c r="J308" s="3">
        <f t="shared" si="28"/>
        <v>0.55472757071283507</v>
      </c>
      <c r="K308" s="19">
        <v>31.747</v>
      </c>
      <c r="L308" s="21">
        <f t="shared" si="29"/>
        <v>2915.648111666661</v>
      </c>
      <c r="M308" s="19">
        <f t="shared" si="25"/>
        <v>2.02</v>
      </c>
      <c r="N308" s="2">
        <v>25.2</v>
      </c>
    </row>
    <row r="309" spans="1:14" x14ac:dyDescent="0.25">
      <c r="A309" s="2">
        <v>5061174</v>
      </c>
      <c r="B309" s="2">
        <v>1.88</v>
      </c>
      <c r="C309" s="19">
        <f t="shared" si="26"/>
        <v>29.844540000000634</v>
      </c>
      <c r="H309" s="2">
        <f t="shared" si="27"/>
        <v>4463.8059999999996</v>
      </c>
      <c r="I309" s="2" t="str">
        <f t="shared" si="24"/>
        <v>01:14</v>
      </c>
      <c r="J309" s="3">
        <f t="shared" si="28"/>
        <v>0.55630484430492033</v>
      </c>
      <c r="K309" s="19">
        <v>31.786000000000001</v>
      </c>
      <c r="L309" s="21">
        <f t="shared" si="29"/>
        <v>2923.9382616666612</v>
      </c>
      <c r="M309" s="19">
        <f t="shared" si="25"/>
        <v>1.98</v>
      </c>
      <c r="N309" s="2">
        <v>25.2</v>
      </c>
    </row>
    <row r="310" spans="1:14" x14ac:dyDescent="0.25">
      <c r="A310" s="2">
        <v>5076265</v>
      </c>
      <c r="B310" s="2">
        <v>1.89</v>
      </c>
      <c r="C310" s="19">
        <f t="shared" si="26"/>
        <v>30.031090000000695</v>
      </c>
      <c r="H310" s="2">
        <f t="shared" si="27"/>
        <v>4478.8969999999999</v>
      </c>
      <c r="I310" s="2" t="str">
        <f t="shared" si="24"/>
        <v>01:14</v>
      </c>
      <c r="J310" s="3">
        <f t="shared" si="28"/>
        <v>0.55789197699982984</v>
      </c>
      <c r="K310" s="19">
        <v>31.786000000000001</v>
      </c>
      <c r="L310" s="21">
        <f t="shared" si="29"/>
        <v>2932.2802311111059</v>
      </c>
      <c r="M310" s="19">
        <f t="shared" si="25"/>
        <v>1.99</v>
      </c>
      <c r="N310" s="2">
        <v>25.2</v>
      </c>
    </row>
    <row r="311" spans="1:14" x14ac:dyDescent="0.25">
      <c r="A311" s="2">
        <v>5091346</v>
      </c>
      <c r="B311" s="2">
        <v>1.88</v>
      </c>
      <c r="C311" s="19">
        <f t="shared" si="26"/>
        <v>29.860379999998457</v>
      </c>
      <c r="H311" s="2">
        <f t="shared" si="27"/>
        <v>4493.9779999999992</v>
      </c>
      <c r="I311" s="2" t="str">
        <f t="shared" si="24"/>
        <v>01:14</v>
      </c>
      <c r="J311" s="3">
        <f t="shared" si="28"/>
        <v>0.55947008773042339</v>
      </c>
      <c r="K311" s="19">
        <v>31.786000000000001</v>
      </c>
      <c r="L311" s="21">
        <f t="shared" si="29"/>
        <v>2940.5747811111055</v>
      </c>
      <c r="M311" s="19">
        <f t="shared" si="25"/>
        <v>1.98</v>
      </c>
      <c r="N311" s="2">
        <v>25.2</v>
      </c>
    </row>
    <row r="312" spans="1:14" x14ac:dyDescent="0.25">
      <c r="A312" s="2">
        <v>5106418</v>
      </c>
      <c r="B312" s="2">
        <v>1.87</v>
      </c>
      <c r="C312" s="19">
        <f t="shared" si="26"/>
        <v>29.691840000000234</v>
      </c>
      <c r="H312" s="2">
        <f t="shared" si="27"/>
        <v>4509.0499999999993</v>
      </c>
      <c r="I312" s="2" t="str">
        <f t="shared" si="24"/>
        <v>01:15</v>
      </c>
      <c r="J312" s="3">
        <f t="shared" si="28"/>
        <v>0.56103929118044882</v>
      </c>
      <c r="K312" s="19">
        <v>31.766999999999999</v>
      </c>
      <c r="L312" s="21">
        <f t="shared" si="29"/>
        <v>2948.8225144444391</v>
      </c>
      <c r="M312" s="19">
        <f t="shared" si="25"/>
        <v>1.9700000000000002</v>
      </c>
      <c r="N312" s="2">
        <v>25.2</v>
      </c>
    </row>
    <row r="313" spans="1:14" x14ac:dyDescent="0.25">
      <c r="A313" s="2">
        <v>5121490</v>
      </c>
      <c r="B313" s="2">
        <v>1.89</v>
      </c>
      <c r="C313" s="19">
        <f t="shared" si="26"/>
        <v>29.993280000000233</v>
      </c>
      <c r="H313" s="2">
        <f t="shared" si="27"/>
        <v>4524.1219999999994</v>
      </c>
      <c r="I313" s="2" t="str">
        <f t="shared" si="24"/>
        <v>01:15</v>
      </c>
      <c r="J313" s="3">
        <f t="shared" si="28"/>
        <v>0.56262442562996684</v>
      </c>
      <c r="K313" s="19">
        <v>31.843</v>
      </c>
      <c r="L313" s="21">
        <f t="shared" si="29"/>
        <v>2957.1539811111056</v>
      </c>
      <c r="M313" s="19">
        <f t="shared" si="25"/>
        <v>1.99</v>
      </c>
      <c r="N313" s="2">
        <v>25</v>
      </c>
    </row>
    <row r="314" spans="1:14" x14ac:dyDescent="0.25">
      <c r="A314" s="2">
        <v>5136490</v>
      </c>
      <c r="B314" s="2">
        <v>1.9</v>
      </c>
      <c r="C314" s="19">
        <f t="shared" si="26"/>
        <v>30</v>
      </c>
      <c r="H314" s="2">
        <f t="shared" si="27"/>
        <v>4539.1219999999994</v>
      </c>
      <c r="I314" s="2" t="str">
        <f t="shared" si="24"/>
        <v>01:15</v>
      </c>
      <c r="J314" s="3">
        <f t="shared" si="28"/>
        <v>0.56420991522915509</v>
      </c>
      <c r="K314" s="19">
        <v>31.824999999999999</v>
      </c>
      <c r="L314" s="21">
        <f t="shared" si="29"/>
        <v>2965.4873144444391</v>
      </c>
      <c r="M314" s="19">
        <f t="shared" si="25"/>
        <v>2</v>
      </c>
      <c r="N314" s="2">
        <v>25.2</v>
      </c>
    </row>
    <row r="315" spans="1:14" x14ac:dyDescent="0.25">
      <c r="A315" s="2">
        <v>5151506</v>
      </c>
      <c r="B315" s="2">
        <v>1.88</v>
      </c>
      <c r="C315" s="19">
        <f t="shared" si="26"/>
        <v>29.731680000001052</v>
      </c>
      <c r="H315" s="2">
        <f t="shared" si="27"/>
        <v>4554.1379999999999</v>
      </c>
      <c r="I315" s="2" t="str">
        <f t="shared" si="24"/>
        <v>01:15</v>
      </c>
      <c r="J315" s="3">
        <f t="shared" si="28"/>
        <v>0.56578122420936827</v>
      </c>
      <c r="K315" s="19">
        <v>31.806000000000001</v>
      </c>
      <c r="L315" s="21">
        <f t="shared" si="29"/>
        <v>2973.7461144444396</v>
      </c>
      <c r="M315" s="19">
        <f t="shared" si="25"/>
        <v>1.98</v>
      </c>
      <c r="N315" s="2">
        <v>25.2</v>
      </c>
    </row>
    <row r="316" spans="1:14" x14ac:dyDescent="0.25">
      <c r="A316" s="2">
        <v>5166588</v>
      </c>
      <c r="B316" s="2">
        <v>1.89</v>
      </c>
      <c r="C316" s="19">
        <f t="shared" si="26"/>
        <v>30.013179999998854</v>
      </c>
      <c r="H316" s="2">
        <f t="shared" si="27"/>
        <v>4569.2199999999993</v>
      </c>
      <c r="I316" s="2" t="str">
        <f t="shared" si="24"/>
        <v>01:16</v>
      </c>
      <c r="J316" s="3">
        <f t="shared" si="28"/>
        <v>0.56736741036698701</v>
      </c>
      <c r="K316" s="19">
        <v>31.824999999999999</v>
      </c>
      <c r="L316" s="21">
        <f t="shared" si="29"/>
        <v>2982.0831088888835</v>
      </c>
      <c r="M316" s="19">
        <f t="shared" si="25"/>
        <v>1.99</v>
      </c>
      <c r="N316" s="2">
        <v>25.2</v>
      </c>
    </row>
    <row r="317" spans="1:14" x14ac:dyDescent="0.25">
      <c r="A317" s="2">
        <v>5181680</v>
      </c>
      <c r="B317" s="2">
        <v>1.89</v>
      </c>
      <c r="C317" s="19">
        <f t="shared" si="26"/>
        <v>30.0330800000011</v>
      </c>
      <c r="H317" s="2">
        <f t="shared" si="27"/>
        <v>4584.3119999999999</v>
      </c>
      <c r="I317" s="2" t="str">
        <f t="shared" si="24"/>
        <v>01:16</v>
      </c>
      <c r="J317" s="3">
        <f t="shared" si="28"/>
        <v>0.56895464823270669</v>
      </c>
      <c r="K317" s="19">
        <v>31.864000000000001</v>
      </c>
      <c r="L317" s="21">
        <f t="shared" si="29"/>
        <v>2990.4256311111062</v>
      </c>
      <c r="M317" s="19">
        <f t="shared" si="25"/>
        <v>1.99</v>
      </c>
      <c r="N317" s="2">
        <v>25.2</v>
      </c>
    </row>
    <row r="318" spans="1:14" x14ac:dyDescent="0.25">
      <c r="A318" s="2">
        <v>5196762</v>
      </c>
      <c r="B318" s="2">
        <v>1.88</v>
      </c>
      <c r="C318" s="19">
        <f t="shared" si="26"/>
        <v>29.862359999998862</v>
      </c>
      <c r="H318" s="2">
        <f t="shared" si="27"/>
        <v>4599.3939999999993</v>
      </c>
      <c r="I318" s="2" t="str">
        <f t="shared" si="24"/>
        <v>01:16</v>
      </c>
      <c r="J318" s="3">
        <f t="shared" si="28"/>
        <v>0.57053286360561373</v>
      </c>
      <c r="K318" s="19">
        <v>31.864999999999998</v>
      </c>
      <c r="L318" s="21">
        <f t="shared" si="29"/>
        <v>2998.720731111106</v>
      </c>
      <c r="M318" s="19">
        <f t="shared" si="25"/>
        <v>1.98</v>
      </c>
      <c r="N318" s="2">
        <v>25.2</v>
      </c>
    </row>
    <row r="319" spans="1:14" x14ac:dyDescent="0.25">
      <c r="A319" s="2">
        <v>5211843</v>
      </c>
      <c r="B319" s="2">
        <v>1.91</v>
      </c>
      <c r="C319" s="19">
        <f t="shared" si="26"/>
        <v>30.312810000000258</v>
      </c>
      <c r="H319" s="2">
        <f t="shared" si="27"/>
        <v>4614.4749999999995</v>
      </c>
      <c r="I319" s="2" t="str">
        <f t="shared" si="24"/>
        <v>01:16</v>
      </c>
      <c r="J319" s="3">
        <f t="shared" si="28"/>
        <v>0.57213488510485266</v>
      </c>
      <c r="K319" s="19">
        <v>31.864000000000001</v>
      </c>
      <c r="L319" s="21">
        <f t="shared" si="29"/>
        <v>3007.1409561111059</v>
      </c>
      <c r="M319" s="19">
        <f t="shared" si="25"/>
        <v>2.0099999999999998</v>
      </c>
      <c r="N319" s="2">
        <v>25.2</v>
      </c>
    </row>
    <row r="320" spans="1:14" x14ac:dyDescent="0.25">
      <c r="A320" s="2">
        <v>5226921</v>
      </c>
      <c r="B320" s="2">
        <v>1.9</v>
      </c>
      <c r="C320" s="19">
        <f t="shared" si="26"/>
        <v>30.156000000000859</v>
      </c>
      <c r="H320" s="2">
        <f t="shared" si="27"/>
        <v>4629.5529999999999</v>
      </c>
      <c r="I320" s="2" t="str">
        <f t="shared" si="24"/>
        <v>01:17</v>
      </c>
      <c r="J320" s="3">
        <f t="shared" si="28"/>
        <v>0.57372861924995677</v>
      </c>
      <c r="K320" s="19">
        <v>31.88</v>
      </c>
      <c r="L320" s="21">
        <f t="shared" si="29"/>
        <v>3015.5176227777729</v>
      </c>
      <c r="M320" s="19">
        <f t="shared" si="25"/>
        <v>2</v>
      </c>
      <c r="N320" s="2">
        <v>25.3</v>
      </c>
    </row>
    <row r="321" spans="1:14" x14ac:dyDescent="0.25">
      <c r="A321" s="2">
        <v>5242001</v>
      </c>
      <c r="B321" s="2">
        <v>1.89</v>
      </c>
      <c r="C321" s="19">
        <f t="shared" si="26"/>
        <v>30.009199999999854</v>
      </c>
      <c r="H321" s="2">
        <f t="shared" si="27"/>
        <v>4644.6329999999998</v>
      </c>
      <c r="I321" s="2" t="str">
        <f t="shared" si="24"/>
        <v>01:17</v>
      </c>
      <c r="J321" s="3">
        <f t="shared" si="28"/>
        <v>0.57531459506595539</v>
      </c>
      <c r="K321" s="19">
        <v>31.864000000000001</v>
      </c>
      <c r="L321" s="21">
        <f t="shared" si="29"/>
        <v>3023.8535116666617</v>
      </c>
      <c r="M321" s="19">
        <f t="shared" si="25"/>
        <v>1.99</v>
      </c>
      <c r="N321" s="2">
        <v>25.2</v>
      </c>
    </row>
    <row r="322" spans="1:14" x14ac:dyDescent="0.25">
      <c r="A322" s="2">
        <v>5257084</v>
      </c>
      <c r="B322" s="2">
        <v>1.88</v>
      </c>
      <c r="C322" s="19">
        <f t="shared" si="26"/>
        <v>29.864339999999267</v>
      </c>
      <c r="H322" s="2">
        <f t="shared" si="27"/>
        <v>4659.7159999999994</v>
      </c>
      <c r="I322" s="2" t="str">
        <f t="shared" si="24"/>
        <v>01:17</v>
      </c>
      <c r="J322" s="3">
        <f t="shared" si="28"/>
        <v>0.57689291508117613</v>
      </c>
      <c r="K322" s="19">
        <v>31.902000000000001</v>
      </c>
      <c r="L322" s="21">
        <f t="shared" si="29"/>
        <v>3032.1491616666617</v>
      </c>
      <c r="M322" s="19">
        <f t="shared" si="25"/>
        <v>1.98</v>
      </c>
      <c r="N322" s="2">
        <v>25.3</v>
      </c>
    </row>
    <row r="323" spans="1:14" x14ac:dyDescent="0.25">
      <c r="A323" s="2">
        <v>5272153</v>
      </c>
      <c r="B323" s="2">
        <v>1.91</v>
      </c>
      <c r="C323" s="19">
        <f t="shared" si="26"/>
        <v>30.28869000000083</v>
      </c>
      <c r="H323" s="2">
        <f t="shared" si="27"/>
        <v>4674.7849999999999</v>
      </c>
      <c r="I323" s="2" t="str">
        <f t="shared" si="24"/>
        <v>01:17</v>
      </c>
      <c r="J323" s="3">
        <f t="shared" si="28"/>
        <v>0.57849366184677742</v>
      </c>
      <c r="K323" s="19">
        <v>31.9</v>
      </c>
      <c r="L323" s="21">
        <f t="shared" si="29"/>
        <v>3040.5626866666621</v>
      </c>
      <c r="M323" s="19">
        <f t="shared" si="25"/>
        <v>2.0099999999999998</v>
      </c>
      <c r="N323" s="2">
        <v>25.4</v>
      </c>
    </row>
    <row r="324" spans="1:14" x14ac:dyDescent="0.25">
      <c r="A324" s="2">
        <v>5287239</v>
      </c>
      <c r="B324" s="2">
        <v>1.89</v>
      </c>
      <c r="C324" s="19">
        <f t="shared" si="26"/>
        <v>30.021139999998667</v>
      </c>
      <c r="H324" s="2">
        <f t="shared" si="27"/>
        <v>4689.8709999999992</v>
      </c>
      <c r="I324" s="2" t="str">
        <f t="shared" si="24"/>
        <v>01:18</v>
      </c>
      <c r="J324" s="3">
        <f t="shared" si="28"/>
        <v>0.5800802686876364</v>
      </c>
      <c r="K324" s="19">
        <v>31.9</v>
      </c>
      <c r="L324" s="21">
        <f t="shared" si="29"/>
        <v>3048.9018922222172</v>
      </c>
      <c r="M324" s="19">
        <f t="shared" si="25"/>
        <v>1.99</v>
      </c>
      <c r="N324" s="2">
        <v>25.4</v>
      </c>
    </row>
    <row r="325" spans="1:14" x14ac:dyDescent="0.25">
      <c r="A325" s="2">
        <v>5302319</v>
      </c>
      <c r="B325" s="2">
        <v>1.88</v>
      </c>
      <c r="C325" s="19">
        <f t="shared" si="26"/>
        <v>29.858400000001655</v>
      </c>
      <c r="H325" s="2">
        <f t="shared" si="27"/>
        <v>4704.951</v>
      </c>
      <c r="I325" s="2" t="str">
        <f t="shared" si="24"/>
        <v>01:18</v>
      </c>
      <c r="J325" s="3">
        <f t="shared" si="28"/>
        <v>0.58165827477591658</v>
      </c>
      <c r="K325" s="19">
        <v>31.9</v>
      </c>
      <c r="L325" s="21">
        <f t="shared" si="29"/>
        <v>3057.1958922222175</v>
      </c>
      <c r="M325" s="19">
        <f t="shared" si="25"/>
        <v>1.98</v>
      </c>
      <c r="N325" s="2">
        <v>25.3</v>
      </c>
    </row>
    <row r="326" spans="1:14" x14ac:dyDescent="0.25">
      <c r="A326" s="2">
        <v>5317401</v>
      </c>
      <c r="B326" s="2">
        <v>1.89</v>
      </c>
      <c r="C326" s="19">
        <f t="shared" si="26"/>
        <v>30.013179999998854</v>
      </c>
      <c r="H326" s="2">
        <f t="shared" si="27"/>
        <v>4720.0329999999994</v>
      </c>
      <c r="I326" s="2" t="str">
        <f t="shared" si="24"/>
        <v>01:18</v>
      </c>
      <c r="J326" s="3">
        <f t="shared" si="28"/>
        <v>0.58324446093353532</v>
      </c>
      <c r="K326" s="19">
        <v>31.940999999999999</v>
      </c>
      <c r="L326" s="21">
        <f t="shared" si="29"/>
        <v>3065.5328866666614</v>
      </c>
      <c r="M326" s="19">
        <f t="shared" si="25"/>
        <v>1.99</v>
      </c>
      <c r="N326" s="2">
        <v>25.4</v>
      </c>
    </row>
    <row r="327" spans="1:14" x14ac:dyDescent="0.25">
      <c r="A327" s="2">
        <v>5332482</v>
      </c>
      <c r="B327" s="2">
        <v>1.88</v>
      </c>
      <c r="C327" s="19">
        <f t="shared" si="26"/>
        <v>29.860380000000259</v>
      </c>
      <c r="H327" s="2">
        <f t="shared" si="27"/>
        <v>4735.1139999999996</v>
      </c>
      <c r="I327" s="2" t="str">
        <f t="shared" si="24"/>
        <v>01:18</v>
      </c>
      <c r="J327" s="3">
        <f t="shared" si="28"/>
        <v>0.58482257166412888</v>
      </c>
      <c r="K327" s="19">
        <v>31.94</v>
      </c>
      <c r="L327" s="21">
        <f t="shared" si="29"/>
        <v>3073.8274366666615</v>
      </c>
      <c r="M327" s="19">
        <f t="shared" si="25"/>
        <v>1.98</v>
      </c>
      <c r="N327" s="2">
        <v>25.2</v>
      </c>
    </row>
    <row r="328" spans="1:14" x14ac:dyDescent="0.25">
      <c r="A328" s="2">
        <v>5347565</v>
      </c>
      <c r="B328" s="2">
        <v>1.89</v>
      </c>
      <c r="C328" s="19">
        <f t="shared" si="26"/>
        <v>30.015169999999262</v>
      </c>
      <c r="H328" s="2">
        <f t="shared" si="27"/>
        <v>4750.1969999999992</v>
      </c>
      <c r="I328" s="2" t="str">
        <f t="shared" si="24"/>
        <v>01:19</v>
      </c>
      <c r="J328" s="3">
        <f t="shared" si="28"/>
        <v>0.58640886299255768</v>
      </c>
      <c r="K328" s="19">
        <v>31.902000000000001</v>
      </c>
      <c r="L328" s="21">
        <f t="shared" si="29"/>
        <v>3082.1649838888834</v>
      </c>
      <c r="M328" s="19">
        <f t="shared" si="25"/>
        <v>1.99</v>
      </c>
      <c r="N328" s="2">
        <v>25.2</v>
      </c>
    </row>
    <row r="329" spans="1:14" x14ac:dyDescent="0.25">
      <c r="A329" s="2">
        <v>5362646</v>
      </c>
      <c r="B329" s="2">
        <v>1.9</v>
      </c>
      <c r="C329" s="19">
        <f t="shared" si="26"/>
        <v>30.162000000000262</v>
      </c>
      <c r="H329" s="2">
        <f t="shared" si="27"/>
        <v>4765.2779999999993</v>
      </c>
      <c r="I329" s="2" t="str">
        <f t="shared" si="24"/>
        <v>01:19</v>
      </c>
      <c r="J329" s="3">
        <f t="shared" si="28"/>
        <v>0.5880029142355816</v>
      </c>
      <c r="K329" s="19">
        <v>31.94</v>
      </c>
      <c r="L329" s="21">
        <f t="shared" si="29"/>
        <v>3090.543317222217</v>
      </c>
      <c r="M329" s="19">
        <f t="shared" si="25"/>
        <v>2</v>
      </c>
      <c r="N329" s="2">
        <v>25.1</v>
      </c>
    </row>
    <row r="330" spans="1:14" x14ac:dyDescent="0.25">
      <c r="A330" s="2">
        <v>5377727</v>
      </c>
      <c r="B330" s="2">
        <v>1.91</v>
      </c>
      <c r="C330" s="19">
        <f t="shared" si="26"/>
        <v>30.312810000000258</v>
      </c>
      <c r="H330" s="2">
        <f t="shared" si="27"/>
        <v>4780.3589999999995</v>
      </c>
      <c r="I330" s="2" t="str">
        <f t="shared" si="24"/>
        <v>01:19</v>
      </c>
      <c r="J330" s="3">
        <f t="shared" si="28"/>
        <v>0.58960493573482053</v>
      </c>
      <c r="K330" s="19">
        <v>31.962</v>
      </c>
      <c r="L330" s="21">
        <f t="shared" si="29"/>
        <v>3098.9635422222168</v>
      </c>
      <c r="M330" s="19">
        <f t="shared" si="25"/>
        <v>2.0099999999999998</v>
      </c>
      <c r="N330" s="2">
        <v>25.2</v>
      </c>
    </row>
    <row r="331" spans="1:14" x14ac:dyDescent="0.25">
      <c r="A331" s="2">
        <v>5392810</v>
      </c>
      <c r="B331" s="2">
        <v>1.9</v>
      </c>
      <c r="C331" s="19">
        <f t="shared" si="26"/>
        <v>30.166000000001077</v>
      </c>
      <c r="H331" s="2">
        <f t="shared" si="27"/>
        <v>4795.442</v>
      </c>
      <c r="I331" s="2" t="str">
        <f t="shared" si="24"/>
        <v>01:19</v>
      </c>
      <c r="J331" s="3">
        <f t="shared" si="28"/>
        <v>0.59119919837645762</v>
      </c>
      <c r="K331" s="19">
        <v>31.960999999999999</v>
      </c>
      <c r="L331" s="21">
        <f t="shared" si="29"/>
        <v>3107.3429866666615</v>
      </c>
      <c r="M331" s="19">
        <f t="shared" si="25"/>
        <v>2</v>
      </c>
      <c r="N331" s="2">
        <v>25.2</v>
      </c>
    </row>
    <row r="332" spans="1:14" x14ac:dyDescent="0.25">
      <c r="A332" s="2">
        <v>5407879</v>
      </c>
      <c r="B332" s="2">
        <v>1.91</v>
      </c>
      <c r="C332" s="19">
        <f t="shared" si="26"/>
        <v>30.288689999999001</v>
      </c>
      <c r="H332" s="2">
        <f t="shared" si="27"/>
        <v>4810.5109999999995</v>
      </c>
      <c r="I332" s="2" t="str">
        <f t="shared" si="24"/>
        <v>01:20</v>
      </c>
      <c r="J332" s="3">
        <f t="shared" si="28"/>
        <v>0.59279994514205891</v>
      </c>
      <c r="K332" s="19">
        <v>31.962</v>
      </c>
      <c r="L332" s="21">
        <f t="shared" si="29"/>
        <v>3115.7565116666615</v>
      </c>
      <c r="M332" s="19">
        <f t="shared" si="25"/>
        <v>2.0099999999999998</v>
      </c>
      <c r="N332" s="2">
        <v>25.3</v>
      </c>
    </row>
    <row r="333" spans="1:14" x14ac:dyDescent="0.25">
      <c r="A333" s="2">
        <v>5422962</v>
      </c>
      <c r="B333" s="2">
        <v>1.89</v>
      </c>
      <c r="C333" s="19">
        <f t="shared" si="26"/>
        <v>30.015170000001071</v>
      </c>
      <c r="H333" s="2">
        <f t="shared" si="27"/>
        <v>4825.5940000000001</v>
      </c>
      <c r="I333" s="2" t="str">
        <f t="shared" si="24"/>
        <v>01:20</v>
      </c>
      <c r="J333" s="3">
        <f t="shared" si="28"/>
        <v>0.59438623647048783</v>
      </c>
      <c r="K333" s="19">
        <v>31.962</v>
      </c>
      <c r="L333" s="21">
        <f t="shared" si="29"/>
        <v>3124.0940588888839</v>
      </c>
      <c r="M333" s="19">
        <f t="shared" si="25"/>
        <v>1.99</v>
      </c>
      <c r="N333" s="2">
        <v>25.4</v>
      </c>
    </row>
    <row r="334" spans="1:14" x14ac:dyDescent="0.25">
      <c r="A334" s="2">
        <v>5438043</v>
      </c>
      <c r="B334" s="2">
        <v>1.88</v>
      </c>
      <c r="C334" s="19">
        <f t="shared" si="26"/>
        <v>29.860379999998457</v>
      </c>
      <c r="H334" s="2">
        <f t="shared" si="27"/>
        <v>4840.6749999999993</v>
      </c>
      <c r="I334" s="2" t="str">
        <f t="shared" ref="I334:I397" si="30">TEXT(H334/86400,"hh:mm")</f>
        <v>01:20</v>
      </c>
      <c r="J334" s="3">
        <f t="shared" si="28"/>
        <v>0.59596434720108138</v>
      </c>
      <c r="K334" s="19">
        <v>32.000999999999998</v>
      </c>
      <c r="L334" s="21">
        <f t="shared" si="29"/>
        <v>3132.3886088888835</v>
      </c>
      <c r="M334" s="19">
        <f t="shared" ref="M334:M397" si="31">B334+0.1</f>
        <v>1.98</v>
      </c>
      <c r="N334" s="2">
        <v>25.5</v>
      </c>
    </row>
    <row r="335" spans="1:14" x14ac:dyDescent="0.25">
      <c r="A335" s="2">
        <v>5453112</v>
      </c>
      <c r="B335" s="2">
        <v>1.88</v>
      </c>
      <c r="C335" s="19">
        <f t="shared" ref="C335:C398" si="32">M335*(H335-H334)</f>
        <v>29.836620000000821</v>
      </c>
      <c r="H335" s="2">
        <f t="shared" ref="H335:H398" si="33">(A335/1000-612.368)+15</f>
        <v>4855.7439999999997</v>
      </c>
      <c r="I335" s="2" t="str">
        <f t="shared" si="30"/>
        <v>01:20</v>
      </c>
      <c r="J335" s="3">
        <f t="shared" ref="J335:J398" si="34">L335/5256</f>
        <v>0.59754120222391249</v>
      </c>
      <c r="K335" s="19">
        <v>31.98</v>
      </c>
      <c r="L335" s="21">
        <f t="shared" si="29"/>
        <v>3140.6765588888838</v>
      </c>
      <c r="M335" s="19">
        <f t="shared" si="31"/>
        <v>1.98</v>
      </c>
      <c r="N335" s="2">
        <v>25.4</v>
      </c>
    </row>
    <row r="336" spans="1:14" x14ac:dyDescent="0.25">
      <c r="A336" s="2">
        <v>5468184</v>
      </c>
      <c r="B336" s="2">
        <v>1.89</v>
      </c>
      <c r="C336" s="19">
        <f t="shared" si="32"/>
        <v>29.993280000000233</v>
      </c>
      <c r="H336" s="2">
        <f t="shared" si="33"/>
        <v>4870.8159999999998</v>
      </c>
      <c r="I336" s="2" t="str">
        <f t="shared" si="30"/>
        <v>01:21</v>
      </c>
      <c r="J336" s="3">
        <f t="shared" si="34"/>
        <v>0.5991263366734304</v>
      </c>
      <c r="K336" s="19">
        <v>32.018000000000001</v>
      </c>
      <c r="L336" s="21">
        <f t="shared" ref="L336:L399" si="35">C336*1000/(60*60) + L335</f>
        <v>3149.0080255555504</v>
      </c>
      <c r="M336" s="19">
        <f t="shared" si="31"/>
        <v>1.99</v>
      </c>
      <c r="N336" s="2">
        <v>25.3</v>
      </c>
    </row>
    <row r="337" spans="1:14" x14ac:dyDescent="0.25">
      <c r="A337" s="2">
        <v>5483269</v>
      </c>
      <c r="B337" s="2">
        <v>1.89</v>
      </c>
      <c r="C337" s="19">
        <f t="shared" si="32"/>
        <v>30.019150000000071</v>
      </c>
      <c r="H337" s="2">
        <f t="shared" si="33"/>
        <v>4885.9009999999998</v>
      </c>
      <c r="I337" s="2" t="str">
        <f t="shared" si="30"/>
        <v>01:21</v>
      </c>
      <c r="J337" s="3">
        <f t="shared" si="34"/>
        <v>0.60071283834347955</v>
      </c>
      <c r="K337" s="19">
        <v>32.000999999999998</v>
      </c>
      <c r="L337" s="21">
        <f t="shared" si="35"/>
        <v>3157.3466783333283</v>
      </c>
      <c r="M337" s="19">
        <f t="shared" si="31"/>
        <v>1.99</v>
      </c>
      <c r="N337" s="2">
        <v>25.3</v>
      </c>
    </row>
    <row r="338" spans="1:14" x14ac:dyDescent="0.25">
      <c r="A338" s="2">
        <v>5498351</v>
      </c>
      <c r="B338" s="2">
        <v>1.91</v>
      </c>
      <c r="C338" s="19">
        <f t="shared" si="32"/>
        <v>30.314819999998843</v>
      </c>
      <c r="H338" s="2">
        <f t="shared" si="33"/>
        <v>4900.9829999999993</v>
      </c>
      <c r="I338" s="2" t="str">
        <f t="shared" si="30"/>
        <v>01:21</v>
      </c>
      <c r="J338" s="3">
        <f t="shared" si="34"/>
        <v>0.6023149660705216</v>
      </c>
      <c r="K338" s="19">
        <v>32</v>
      </c>
      <c r="L338" s="21">
        <f t="shared" si="35"/>
        <v>3165.7674616666613</v>
      </c>
      <c r="M338" s="19">
        <f t="shared" si="31"/>
        <v>2.0099999999999998</v>
      </c>
      <c r="N338" s="2">
        <v>25.2</v>
      </c>
    </row>
    <row r="339" spans="1:14" x14ac:dyDescent="0.25">
      <c r="A339" s="2">
        <v>5513431</v>
      </c>
      <c r="B339" s="2">
        <v>1.88</v>
      </c>
      <c r="C339" s="19">
        <f t="shared" si="32"/>
        <v>29.858399999999854</v>
      </c>
      <c r="H339" s="2">
        <f t="shared" si="33"/>
        <v>4916.0629999999992</v>
      </c>
      <c r="I339" s="2" t="str">
        <f t="shared" si="30"/>
        <v>01:21</v>
      </c>
      <c r="J339" s="3">
        <f t="shared" si="34"/>
        <v>0.60389297215880156</v>
      </c>
      <c r="K339" s="19">
        <v>32.057000000000002</v>
      </c>
      <c r="L339" s="21">
        <f t="shared" si="35"/>
        <v>3174.0614616666612</v>
      </c>
      <c r="M339" s="19">
        <f t="shared" si="31"/>
        <v>1.98</v>
      </c>
      <c r="N339" s="2">
        <v>25.4</v>
      </c>
    </row>
    <row r="340" spans="1:14" x14ac:dyDescent="0.25">
      <c r="A340" s="2">
        <v>5528513</v>
      </c>
      <c r="B340" s="2">
        <v>1.9</v>
      </c>
      <c r="C340" s="19">
        <f t="shared" si="32"/>
        <v>30.164000000000669</v>
      </c>
      <c r="H340" s="2">
        <f t="shared" si="33"/>
        <v>4931.1449999999995</v>
      </c>
      <c r="I340" s="2" t="str">
        <f t="shared" si="30"/>
        <v>01:22</v>
      </c>
      <c r="J340" s="3">
        <f t="shared" si="34"/>
        <v>0.60548712910113212</v>
      </c>
      <c r="K340" s="19">
        <v>32.058</v>
      </c>
      <c r="L340" s="21">
        <f t="shared" si="35"/>
        <v>3182.4403505555501</v>
      </c>
      <c r="M340" s="19">
        <f t="shared" si="31"/>
        <v>2</v>
      </c>
      <c r="N340" s="2">
        <v>25.5</v>
      </c>
    </row>
    <row r="341" spans="1:14" x14ac:dyDescent="0.25">
      <c r="A341" s="2">
        <v>5543595</v>
      </c>
      <c r="B341" s="2">
        <v>1.88</v>
      </c>
      <c r="C341" s="19">
        <f t="shared" si="32"/>
        <v>29.862360000000663</v>
      </c>
      <c r="H341" s="2">
        <f t="shared" si="33"/>
        <v>4946.2269999999999</v>
      </c>
      <c r="I341" s="2" t="str">
        <f t="shared" si="30"/>
        <v>01:22</v>
      </c>
      <c r="J341" s="3">
        <f t="shared" si="34"/>
        <v>0.60706534447403926</v>
      </c>
      <c r="K341" s="19">
        <v>32.04</v>
      </c>
      <c r="L341" s="21">
        <f t="shared" si="35"/>
        <v>3190.7354505555504</v>
      </c>
      <c r="M341" s="19">
        <f t="shared" si="31"/>
        <v>1.98</v>
      </c>
      <c r="N341" s="2">
        <v>25.3</v>
      </c>
    </row>
    <row r="342" spans="1:14" x14ac:dyDescent="0.25">
      <c r="A342" s="2">
        <v>5558677</v>
      </c>
      <c r="B342" s="2">
        <v>1.86</v>
      </c>
      <c r="C342" s="19">
        <f t="shared" si="32"/>
        <v>29.560719999998877</v>
      </c>
      <c r="H342" s="2">
        <f t="shared" si="33"/>
        <v>4961.3089999999993</v>
      </c>
      <c r="I342" s="2" t="str">
        <f t="shared" si="30"/>
        <v>01:22</v>
      </c>
      <c r="J342" s="3">
        <f t="shared" si="34"/>
        <v>0.6086276182775231</v>
      </c>
      <c r="K342" s="19">
        <v>32.04</v>
      </c>
      <c r="L342" s="21">
        <f t="shared" si="35"/>
        <v>3198.9467616666611</v>
      </c>
      <c r="M342" s="19">
        <f t="shared" si="31"/>
        <v>1.9600000000000002</v>
      </c>
      <c r="N342" s="2">
        <v>25.2</v>
      </c>
    </row>
    <row r="343" spans="1:14" x14ac:dyDescent="0.25">
      <c r="A343" s="2">
        <v>5573759</v>
      </c>
      <c r="B343" s="2">
        <v>1.88</v>
      </c>
      <c r="C343" s="19">
        <f t="shared" si="32"/>
        <v>29.862360000000663</v>
      </c>
      <c r="H343" s="2">
        <f t="shared" si="33"/>
        <v>4976.3909999999996</v>
      </c>
      <c r="I343" s="2" t="str">
        <f t="shared" si="30"/>
        <v>01:22</v>
      </c>
      <c r="J343" s="3">
        <f t="shared" si="34"/>
        <v>0.61020583365043024</v>
      </c>
      <c r="K343" s="19">
        <v>32.04</v>
      </c>
      <c r="L343" s="21">
        <f t="shared" si="35"/>
        <v>3207.2418616666614</v>
      </c>
      <c r="M343" s="19">
        <f t="shared" si="31"/>
        <v>1.98</v>
      </c>
      <c r="N343" s="2">
        <v>25.4</v>
      </c>
    </row>
    <row r="344" spans="1:14" x14ac:dyDescent="0.25">
      <c r="A344" s="2">
        <v>5588839</v>
      </c>
      <c r="B344" s="2">
        <v>1.91</v>
      </c>
      <c r="C344" s="19">
        <f t="shared" si="32"/>
        <v>30.310799999999851</v>
      </c>
      <c r="H344" s="2">
        <f t="shared" si="33"/>
        <v>4991.4709999999995</v>
      </c>
      <c r="I344" s="2" t="str">
        <f t="shared" si="30"/>
        <v>01:23</v>
      </c>
      <c r="J344" s="3">
        <f t="shared" si="34"/>
        <v>0.61180774892186607</v>
      </c>
      <c r="K344" s="19">
        <v>32.195</v>
      </c>
      <c r="L344" s="21">
        <f t="shared" si="35"/>
        <v>3215.6615283333281</v>
      </c>
      <c r="M344" s="19">
        <f t="shared" si="31"/>
        <v>2.0099999999999998</v>
      </c>
      <c r="N344" s="2">
        <v>25.5</v>
      </c>
    </row>
    <row r="345" spans="1:14" x14ac:dyDescent="0.25">
      <c r="A345" s="2">
        <v>5603921</v>
      </c>
      <c r="B345" s="2">
        <v>1.9</v>
      </c>
      <c r="C345" s="19">
        <f t="shared" si="32"/>
        <v>30.164000000000669</v>
      </c>
      <c r="H345" s="2">
        <f t="shared" si="33"/>
        <v>5006.5529999999999</v>
      </c>
      <c r="I345" s="2" t="str">
        <f t="shared" si="30"/>
        <v>01:23</v>
      </c>
      <c r="J345" s="3">
        <f t="shared" si="34"/>
        <v>0.61340190586419652</v>
      </c>
      <c r="K345" s="19">
        <v>32.192999999999998</v>
      </c>
      <c r="L345" s="21">
        <f t="shared" si="35"/>
        <v>3224.040417222217</v>
      </c>
      <c r="M345" s="19">
        <f t="shared" si="31"/>
        <v>2</v>
      </c>
      <c r="N345" s="2">
        <v>25.5</v>
      </c>
    </row>
    <row r="346" spans="1:14" x14ac:dyDescent="0.25">
      <c r="A346" s="2">
        <v>5619003</v>
      </c>
      <c r="B346" s="2">
        <v>1.87</v>
      </c>
      <c r="C346" s="19">
        <f t="shared" si="32"/>
        <v>29.71153999999887</v>
      </c>
      <c r="H346" s="2">
        <f t="shared" si="33"/>
        <v>5021.6349999999993</v>
      </c>
      <c r="I346" s="2" t="str">
        <f t="shared" si="30"/>
        <v>01:23</v>
      </c>
      <c r="J346" s="3">
        <f t="shared" si="34"/>
        <v>0.61497215045239195</v>
      </c>
      <c r="K346" s="19">
        <v>32.194000000000003</v>
      </c>
      <c r="L346" s="21">
        <f t="shared" si="35"/>
        <v>3232.2936227777723</v>
      </c>
      <c r="M346" s="19">
        <f t="shared" si="31"/>
        <v>1.9700000000000002</v>
      </c>
      <c r="N346" s="2">
        <v>25.4</v>
      </c>
    </row>
    <row r="347" spans="1:14" x14ac:dyDescent="0.25">
      <c r="A347" s="2">
        <v>5634084</v>
      </c>
      <c r="B347" s="2">
        <v>1.89</v>
      </c>
      <c r="C347" s="19">
        <f t="shared" si="32"/>
        <v>30.011190000000262</v>
      </c>
      <c r="H347" s="2">
        <f t="shared" si="33"/>
        <v>5036.7159999999994</v>
      </c>
      <c r="I347" s="2" t="str">
        <f t="shared" si="30"/>
        <v>01:23</v>
      </c>
      <c r="J347" s="3">
        <f t="shared" si="34"/>
        <v>0.61655823143920074</v>
      </c>
      <c r="K347" s="19">
        <v>32.195</v>
      </c>
      <c r="L347" s="21">
        <f t="shared" si="35"/>
        <v>3240.6300644444391</v>
      </c>
      <c r="M347" s="19">
        <f t="shared" si="31"/>
        <v>1.99</v>
      </c>
      <c r="N347" s="2">
        <v>25.5</v>
      </c>
    </row>
    <row r="348" spans="1:14" x14ac:dyDescent="0.25">
      <c r="A348" s="2">
        <v>5649153</v>
      </c>
      <c r="B348" s="2">
        <v>1.89</v>
      </c>
      <c r="C348" s="19">
        <f t="shared" si="32"/>
        <v>29.987310000000825</v>
      </c>
      <c r="H348" s="2">
        <f t="shared" si="33"/>
        <v>5051.7849999999999</v>
      </c>
      <c r="I348" s="2" t="str">
        <f t="shared" si="30"/>
        <v>01:24</v>
      </c>
      <c r="J348" s="3">
        <f t="shared" si="34"/>
        <v>0.61814305037628847</v>
      </c>
      <c r="K348" s="19">
        <v>32.195</v>
      </c>
      <c r="L348" s="21">
        <f t="shared" si="35"/>
        <v>3248.9598727777725</v>
      </c>
      <c r="M348" s="19">
        <f t="shared" si="31"/>
        <v>1.99</v>
      </c>
      <c r="N348" s="2">
        <v>25.3</v>
      </c>
    </row>
    <row r="349" spans="1:14" x14ac:dyDescent="0.25">
      <c r="A349" s="2">
        <v>5664237</v>
      </c>
      <c r="B349" s="2">
        <v>1.89</v>
      </c>
      <c r="C349" s="19">
        <f t="shared" si="32"/>
        <v>30.017159999999667</v>
      </c>
      <c r="H349" s="2">
        <f t="shared" si="33"/>
        <v>5066.8689999999997</v>
      </c>
      <c r="I349" s="2" t="str">
        <f t="shared" si="30"/>
        <v>01:24</v>
      </c>
      <c r="J349" s="3">
        <f t="shared" si="34"/>
        <v>0.61972944687552745</v>
      </c>
      <c r="K349" s="19">
        <v>32.234000000000002</v>
      </c>
      <c r="L349" s="21">
        <f t="shared" si="35"/>
        <v>3257.2979727777724</v>
      </c>
      <c r="M349" s="19">
        <f t="shared" si="31"/>
        <v>1.99</v>
      </c>
      <c r="N349" s="2">
        <v>25.4</v>
      </c>
    </row>
    <row r="350" spans="1:14" x14ac:dyDescent="0.25">
      <c r="A350" s="2">
        <v>5679319</v>
      </c>
      <c r="B350" s="2">
        <v>1.89</v>
      </c>
      <c r="C350" s="19">
        <f t="shared" si="32"/>
        <v>30.013180000000666</v>
      </c>
      <c r="H350" s="2">
        <f t="shared" si="33"/>
        <v>5081.951</v>
      </c>
      <c r="I350" s="2" t="str">
        <f t="shared" si="30"/>
        <v>01:24</v>
      </c>
      <c r="J350" s="3">
        <f t="shared" si="34"/>
        <v>0.62131563303314641</v>
      </c>
      <c r="K350" s="19">
        <v>32.232999999999997</v>
      </c>
      <c r="L350" s="21">
        <f t="shared" si="35"/>
        <v>3265.6349672222173</v>
      </c>
      <c r="M350" s="19">
        <f t="shared" si="31"/>
        <v>1.99</v>
      </c>
      <c r="N350" s="2">
        <v>25.4</v>
      </c>
    </row>
    <row r="351" spans="1:14" x14ac:dyDescent="0.25">
      <c r="A351" s="2">
        <v>5694389</v>
      </c>
      <c r="B351" s="2">
        <v>1.9</v>
      </c>
      <c r="C351" s="19">
        <f t="shared" si="32"/>
        <v>30.139999999999418</v>
      </c>
      <c r="H351" s="2">
        <f t="shared" si="33"/>
        <v>5097.0209999999997</v>
      </c>
      <c r="I351" s="2" t="str">
        <f t="shared" si="30"/>
        <v>01:24</v>
      </c>
      <c r="J351" s="3">
        <f t="shared" si="34"/>
        <v>0.6229085215837975</v>
      </c>
      <c r="K351" s="19">
        <v>32.215000000000003</v>
      </c>
      <c r="L351" s="21">
        <f t="shared" si="35"/>
        <v>3274.0071894444395</v>
      </c>
      <c r="M351" s="19">
        <f t="shared" si="31"/>
        <v>2</v>
      </c>
      <c r="N351" s="2">
        <v>25.3</v>
      </c>
    </row>
    <row r="352" spans="1:14" x14ac:dyDescent="0.25">
      <c r="A352" s="2">
        <v>5709473</v>
      </c>
      <c r="B352" s="2">
        <v>1.9</v>
      </c>
      <c r="C352" s="19">
        <f t="shared" si="32"/>
        <v>30.167999999999665</v>
      </c>
      <c r="H352" s="2">
        <f t="shared" si="33"/>
        <v>5112.1049999999996</v>
      </c>
      <c r="I352" s="2" t="str">
        <f t="shared" si="30"/>
        <v>01:25</v>
      </c>
      <c r="J352" s="3">
        <f t="shared" si="34"/>
        <v>0.62450288992474112</v>
      </c>
      <c r="K352" s="19">
        <v>32.232999999999997</v>
      </c>
      <c r="L352" s="21">
        <f t="shared" si="35"/>
        <v>3282.3871894444396</v>
      </c>
      <c r="M352" s="19">
        <f t="shared" si="31"/>
        <v>2</v>
      </c>
      <c r="N352" s="2">
        <v>25.3</v>
      </c>
    </row>
    <row r="353" spans="1:14" x14ac:dyDescent="0.25">
      <c r="A353" s="2">
        <v>5724554</v>
      </c>
      <c r="B353" s="2">
        <v>1.89</v>
      </c>
      <c r="C353" s="19">
        <f t="shared" si="32"/>
        <v>30.011190000000262</v>
      </c>
      <c r="H353" s="2">
        <f t="shared" si="33"/>
        <v>5127.1859999999997</v>
      </c>
      <c r="I353" s="2" t="str">
        <f t="shared" si="30"/>
        <v>01:25</v>
      </c>
      <c r="J353" s="3">
        <f t="shared" si="34"/>
        <v>0.62608897091154991</v>
      </c>
      <c r="K353" s="19">
        <v>32.234000000000002</v>
      </c>
      <c r="L353" s="21">
        <f t="shared" si="35"/>
        <v>3290.7236311111064</v>
      </c>
      <c r="M353" s="19">
        <f t="shared" si="31"/>
        <v>1.99</v>
      </c>
      <c r="N353" s="2">
        <v>25.2</v>
      </c>
    </row>
    <row r="354" spans="1:14" x14ac:dyDescent="0.25">
      <c r="A354" s="2">
        <v>5739636</v>
      </c>
      <c r="B354" s="2">
        <v>1.89</v>
      </c>
      <c r="C354" s="19">
        <f t="shared" si="32"/>
        <v>30.013180000000666</v>
      </c>
      <c r="H354" s="2">
        <f t="shared" si="33"/>
        <v>5142.268</v>
      </c>
      <c r="I354" s="2" t="str">
        <f t="shared" si="30"/>
        <v>01:25</v>
      </c>
      <c r="J354" s="3">
        <f t="shared" si="34"/>
        <v>0.62767515706916877</v>
      </c>
      <c r="K354" s="19">
        <v>32.234000000000002</v>
      </c>
      <c r="L354" s="21">
        <f t="shared" si="35"/>
        <v>3299.0606255555513</v>
      </c>
      <c r="M354" s="19">
        <f t="shared" si="31"/>
        <v>1.99</v>
      </c>
      <c r="N354" s="2">
        <v>25.4</v>
      </c>
    </row>
    <row r="355" spans="1:14" x14ac:dyDescent="0.25">
      <c r="A355" s="2">
        <v>5754718</v>
      </c>
      <c r="B355" s="2">
        <v>1.89</v>
      </c>
      <c r="C355" s="19">
        <f t="shared" si="32"/>
        <v>30.013179999998854</v>
      </c>
      <c r="H355" s="2">
        <f t="shared" si="33"/>
        <v>5157.3499999999995</v>
      </c>
      <c r="I355" s="2" t="str">
        <f t="shared" si="30"/>
        <v>01:25</v>
      </c>
      <c r="J355" s="3">
        <f t="shared" si="34"/>
        <v>0.62926134322678751</v>
      </c>
      <c r="K355" s="19">
        <v>32.232999999999997</v>
      </c>
      <c r="L355" s="21">
        <f t="shared" si="35"/>
        <v>3307.3976199999952</v>
      </c>
      <c r="M355" s="19">
        <f t="shared" si="31"/>
        <v>1.99</v>
      </c>
      <c r="N355" s="2">
        <v>25.5</v>
      </c>
    </row>
    <row r="356" spans="1:14" x14ac:dyDescent="0.25">
      <c r="A356" s="2">
        <v>5769800</v>
      </c>
      <c r="B356" s="2">
        <v>1.9</v>
      </c>
      <c r="C356" s="19">
        <f t="shared" si="32"/>
        <v>30.164000000000669</v>
      </c>
      <c r="H356" s="2">
        <f t="shared" si="33"/>
        <v>5172.4319999999998</v>
      </c>
      <c r="I356" s="2" t="str">
        <f t="shared" si="30"/>
        <v>01:26</v>
      </c>
      <c r="J356" s="3">
        <f t="shared" si="34"/>
        <v>0.63085550016911796</v>
      </c>
      <c r="K356" s="19">
        <v>32.215000000000003</v>
      </c>
      <c r="L356" s="21">
        <f t="shared" si="35"/>
        <v>3315.7765088888841</v>
      </c>
      <c r="M356" s="19">
        <f t="shared" si="31"/>
        <v>2</v>
      </c>
      <c r="N356" s="2">
        <v>25.5</v>
      </c>
    </row>
    <row r="357" spans="1:14" x14ac:dyDescent="0.25">
      <c r="A357" s="2">
        <v>5784881</v>
      </c>
      <c r="B357" s="2">
        <v>1.89</v>
      </c>
      <c r="C357" s="19">
        <f t="shared" si="32"/>
        <v>30.011190000000262</v>
      </c>
      <c r="H357" s="2">
        <f t="shared" si="33"/>
        <v>5187.5129999999999</v>
      </c>
      <c r="I357" s="2" t="str">
        <f t="shared" si="30"/>
        <v>01:26</v>
      </c>
      <c r="J357" s="3">
        <f t="shared" si="34"/>
        <v>0.63244158115592675</v>
      </c>
      <c r="K357" s="19">
        <v>32.253999999999998</v>
      </c>
      <c r="L357" s="21">
        <f t="shared" si="35"/>
        <v>3324.1129505555509</v>
      </c>
      <c r="M357" s="19">
        <f t="shared" si="31"/>
        <v>1.99</v>
      </c>
      <c r="N357" s="2">
        <v>25.4</v>
      </c>
    </row>
    <row r="358" spans="1:14" x14ac:dyDescent="0.25">
      <c r="A358" s="2">
        <v>5799963</v>
      </c>
      <c r="B358" s="2">
        <v>1.88</v>
      </c>
      <c r="C358" s="19">
        <f t="shared" si="32"/>
        <v>29.862359999998862</v>
      </c>
      <c r="H358" s="2">
        <f t="shared" si="33"/>
        <v>5202.5949999999993</v>
      </c>
      <c r="I358" s="2" t="str">
        <f t="shared" si="30"/>
        <v>01:26</v>
      </c>
      <c r="J358" s="3">
        <f t="shared" si="34"/>
        <v>0.63401979652883389</v>
      </c>
      <c r="K358" s="19">
        <v>32.271000000000001</v>
      </c>
      <c r="L358" s="21">
        <f t="shared" si="35"/>
        <v>3332.4080505555507</v>
      </c>
      <c r="M358" s="19">
        <f t="shared" si="31"/>
        <v>1.98</v>
      </c>
      <c r="N358" s="2">
        <v>25.3</v>
      </c>
    </row>
    <row r="359" spans="1:14" x14ac:dyDescent="0.25">
      <c r="A359" s="2">
        <v>5815032</v>
      </c>
      <c r="B359" s="2">
        <v>1.9</v>
      </c>
      <c r="C359" s="19">
        <f t="shared" si="32"/>
        <v>30.138000000000829</v>
      </c>
      <c r="H359" s="2">
        <f t="shared" si="33"/>
        <v>5217.6639999999998</v>
      </c>
      <c r="I359" s="2" t="str">
        <f t="shared" si="30"/>
        <v>01:26</v>
      </c>
      <c r="J359" s="3">
        <f t="shared" si="34"/>
        <v>0.63561257938017834</v>
      </c>
      <c r="K359" s="19">
        <v>32.289000000000001</v>
      </c>
      <c r="L359" s="21">
        <f t="shared" si="35"/>
        <v>3340.7797172222176</v>
      </c>
      <c r="M359" s="19">
        <f t="shared" si="31"/>
        <v>2</v>
      </c>
      <c r="N359" s="2">
        <v>25.4</v>
      </c>
    </row>
    <row r="360" spans="1:14" x14ac:dyDescent="0.25">
      <c r="A360" s="2">
        <v>5830116</v>
      </c>
      <c r="B360" s="2">
        <v>1.88</v>
      </c>
      <c r="C360" s="19">
        <f t="shared" si="32"/>
        <v>29.866319999999668</v>
      </c>
      <c r="H360" s="2">
        <f t="shared" si="33"/>
        <v>5232.7479999999996</v>
      </c>
      <c r="I360" s="2" t="str">
        <f t="shared" si="30"/>
        <v>01:27</v>
      </c>
      <c r="J360" s="3">
        <f t="shared" si="34"/>
        <v>0.63719100403771256</v>
      </c>
      <c r="K360" s="19">
        <v>32.271999999999998</v>
      </c>
      <c r="L360" s="21">
        <f t="shared" si="35"/>
        <v>3349.0759172222174</v>
      </c>
      <c r="M360" s="19">
        <f t="shared" si="31"/>
        <v>1.98</v>
      </c>
      <c r="N360" s="2">
        <v>25.5</v>
      </c>
    </row>
    <row r="361" spans="1:14" x14ac:dyDescent="0.25">
      <c r="A361" s="2">
        <v>5845185</v>
      </c>
      <c r="B361" s="2">
        <v>1.93</v>
      </c>
      <c r="C361" s="19">
        <f t="shared" si="32"/>
        <v>30.590070000000839</v>
      </c>
      <c r="H361" s="2">
        <f t="shared" si="33"/>
        <v>5247.817</v>
      </c>
      <c r="I361" s="2" t="str">
        <f t="shared" si="30"/>
        <v>01:27</v>
      </c>
      <c r="J361" s="3">
        <f t="shared" si="34"/>
        <v>0.6388076786318273</v>
      </c>
      <c r="K361" s="19">
        <v>32.311999999999998</v>
      </c>
      <c r="L361" s="21">
        <f t="shared" si="35"/>
        <v>3357.5731588888843</v>
      </c>
      <c r="M361" s="19">
        <f t="shared" si="31"/>
        <v>2.0299999999999998</v>
      </c>
      <c r="N361" s="2">
        <v>25.4</v>
      </c>
    </row>
    <row r="362" spans="1:14" x14ac:dyDescent="0.25">
      <c r="A362" s="2">
        <v>5860271</v>
      </c>
      <c r="B362" s="2">
        <v>1.88</v>
      </c>
      <c r="C362" s="19">
        <f t="shared" si="32"/>
        <v>29.870279999998676</v>
      </c>
      <c r="H362" s="2">
        <f t="shared" si="33"/>
        <v>5262.9029999999993</v>
      </c>
      <c r="I362" s="2" t="str">
        <f t="shared" si="30"/>
        <v>01:27</v>
      </c>
      <c r="J362" s="3">
        <f t="shared" si="34"/>
        <v>0.64038631257398859</v>
      </c>
      <c r="K362" s="19">
        <v>32.293999999999997</v>
      </c>
      <c r="L362" s="21">
        <f t="shared" si="35"/>
        <v>3365.8704588888841</v>
      </c>
      <c r="M362" s="19">
        <f t="shared" si="31"/>
        <v>1.98</v>
      </c>
      <c r="N362" s="2">
        <v>25.3</v>
      </c>
    </row>
    <row r="363" spans="1:14" x14ac:dyDescent="0.25">
      <c r="A363" s="2">
        <v>5875352</v>
      </c>
      <c r="B363" s="2">
        <v>1.89</v>
      </c>
      <c r="C363" s="19">
        <f t="shared" si="32"/>
        <v>30.011190000000262</v>
      </c>
      <c r="H363" s="2">
        <f t="shared" si="33"/>
        <v>5277.9839999999995</v>
      </c>
      <c r="I363" s="2" t="str">
        <f t="shared" si="30"/>
        <v>01:27</v>
      </c>
      <c r="J363" s="3">
        <f t="shared" si="34"/>
        <v>0.64197239356079738</v>
      </c>
      <c r="K363" s="19">
        <v>32.311999999999998</v>
      </c>
      <c r="L363" s="21">
        <f t="shared" si="35"/>
        <v>3374.2069005555509</v>
      </c>
      <c r="M363" s="19">
        <f t="shared" si="31"/>
        <v>1.99</v>
      </c>
      <c r="N363" s="2">
        <v>25.5</v>
      </c>
    </row>
    <row r="364" spans="1:14" x14ac:dyDescent="0.25">
      <c r="A364" s="2">
        <v>5890433</v>
      </c>
      <c r="B364" s="2">
        <v>1.88</v>
      </c>
      <c r="C364" s="19">
        <f t="shared" si="32"/>
        <v>29.860380000000259</v>
      </c>
      <c r="H364" s="2">
        <f t="shared" si="33"/>
        <v>5293.0649999999996</v>
      </c>
      <c r="I364" s="2" t="str">
        <f t="shared" si="30"/>
        <v>01:28</v>
      </c>
      <c r="J364" s="3">
        <f t="shared" si="34"/>
        <v>0.64355050429139093</v>
      </c>
      <c r="K364" s="19">
        <v>32.329000000000001</v>
      </c>
      <c r="L364" s="21">
        <f t="shared" si="35"/>
        <v>3382.5014505555509</v>
      </c>
      <c r="M364" s="19">
        <f t="shared" si="31"/>
        <v>1.98</v>
      </c>
      <c r="N364" s="2">
        <v>25.5</v>
      </c>
    </row>
    <row r="365" spans="1:14" x14ac:dyDescent="0.25">
      <c r="A365" s="2">
        <v>5905514</v>
      </c>
      <c r="B365" s="2">
        <v>1.91</v>
      </c>
      <c r="C365" s="19">
        <f t="shared" si="32"/>
        <v>30.312810000000258</v>
      </c>
      <c r="H365" s="2">
        <f t="shared" si="33"/>
        <v>5308.1459999999997</v>
      </c>
      <c r="I365" s="2" t="str">
        <f t="shared" si="30"/>
        <v>01:28</v>
      </c>
      <c r="J365" s="3">
        <f t="shared" si="34"/>
        <v>0.64515252579062987</v>
      </c>
      <c r="K365" s="19">
        <v>32.311999999999998</v>
      </c>
      <c r="L365" s="21">
        <f t="shared" si="35"/>
        <v>3390.9216755555508</v>
      </c>
      <c r="M365" s="19">
        <f t="shared" si="31"/>
        <v>2.0099999999999998</v>
      </c>
      <c r="N365" s="2">
        <v>25.6</v>
      </c>
    </row>
    <row r="366" spans="1:14" x14ac:dyDescent="0.25">
      <c r="A366" s="2">
        <v>5920602</v>
      </c>
      <c r="B366" s="2">
        <v>1.89</v>
      </c>
      <c r="C366" s="19">
        <f t="shared" si="32"/>
        <v>30.025119999999479</v>
      </c>
      <c r="H366" s="2">
        <f t="shared" si="33"/>
        <v>5323.2339999999995</v>
      </c>
      <c r="I366" s="2" t="str">
        <f t="shared" si="30"/>
        <v>01:28</v>
      </c>
      <c r="J366" s="3">
        <f t="shared" si="34"/>
        <v>0.6467393429731092</v>
      </c>
      <c r="K366" s="19">
        <v>32.350999999999999</v>
      </c>
      <c r="L366" s="21">
        <f t="shared" si="35"/>
        <v>3399.2619866666619</v>
      </c>
      <c r="M366" s="19">
        <f t="shared" si="31"/>
        <v>1.99</v>
      </c>
      <c r="N366" s="2">
        <v>25.6</v>
      </c>
    </row>
    <row r="367" spans="1:14" x14ac:dyDescent="0.25">
      <c r="A367" s="2">
        <v>5935683</v>
      </c>
      <c r="B367" s="2">
        <v>1.89</v>
      </c>
      <c r="C367" s="19">
        <f t="shared" si="32"/>
        <v>30.011190000000262</v>
      </c>
      <c r="H367" s="2">
        <f t="shared" si="33"/>
        <v>5338.3149999999996</v>
      </c>
      <c r="I367" s="2" t="str">
        <f t="shared" si="30"/>
        <v>01:28</v>
      </c>
      <c r="J367" s="3">
        <f t="shared" si="34"/>
        <v>0.64832542395991799</v>
      </c>
      <c r="K367" s="19">
        <v>32.332999999999998</v>
      </c>
      <c r="L367" s="21">
        <f t="shared" si="35"/>
        <v>3407.5984283333287</v>
      </c>
      <c r="M367" s="19">
        <f t="shared" si="31"/>
        <v>1.99</v>
      </c>
      <c r="N367" s="2">
        <v>25.5</v>
      </c>
    </row>
    <row r="368" spans="1:14" x14ac:dyDescent="0.25">
      <c r="A368" s="2">
        <v>5950764</v>
      </c>
      <c r="B368" s="2">
        <v>1.88</v>
      </c>
      <c r="C368" s="19">
        <f t="shared" si="32"/>
        <v>29.860380000000259</v>
      </c>
      <c r="H368" s="2">
        <f t="shared" si="33"/>
        <v>5353.3959999999997</v>
      </c>
      <c r="I368" s="2" t="str">
        <f t="shared" si="30"/>
        <v>01:29</v>
      </c>
      <c r="J368" s="3">
        <f t="shared" si="34"/>
        <v>0.64990353469051154</v>
      </c>
      <c r="K368" s="19">
        <v>32.35</v>
      </c>
      <c r="L368" s="21">
        <f t="shared" si="35"/>
        <v>3415.8929783333288</v>
      </c>
      <c r="M368" s="19">
        <f t="shared" si="31"/>
        <v>1.98</v>
      </c>
      <c r="N368" s="2">
        <v>25.6</v>
      </c>
    </row>
    <row r="369" spans="1:14" x14ac:dyDescent="0.25">
      <c r="A369" s="2">
        <v>5965845</v>
      </c>
      <c r="B369" s="2">
        <v>1.88</v>
      </c>
      <c r="C369" s="19">
        <f t="shared" si="32"/>
        <v>29.860380000000259</v>
      </c>
      <c r="H369" s="2">
        <f t="shared" si="33"/>
        <v>5368.4769999999999</v>
      </c>
      <c r="I369" s="2" t="str">
        <f t="shared" si="30"/>
        <v>01:29</v>
      </c>
      <c r="J369" s="3">
        <f t="shared" si="34"/>
        <v>0.6514816454211052</v>
      </c>
      <c r="K369" s="19">
        <v>32.372999999999998</v>
      </c>
      <c r="L369" s="21">
        <f t="shared" si="35"/>
        <v>3424.1875283333288</v>
      </c>
      <c r="M369" s="19">
        <f t="shared" si="31"/>
        <v>1.98</v>
      </c>
      <c r="N369" s="2">
        <v>25.5</v>
      </c>
    </row>
    <row r="370" spans="1:14" x14ac:dyDescent="0.25">
      <c r="A370" s="2">
        <v>5980926</v>
      </c>
      <c r="B370" s="2">
        <v>1.89</v>
      </c>
      <c r="C370" s="19">
        <f t="shared" si="32"/>
        <v>30.011190000000262</v>
      </c>
      <c r="H370" s="2">
        <f t="shared" si="33"/>
        <v>5383.558</v>
      </c>
      <c r="I370" s="2" t="str">
        <f t="shared" si="30"/>
        <v>01:29</v>
      </c>
      <c r="J370" s="3">
        <f t="shared" si="34"/>
        <v>0.65306772640791388</v>
      </c>
      <c r="K370" s="19">
        <v>32.335000000000001</v>
      </c>
      <c r="L370" s="21">
        <f t="shared" si="35"/>
        <v>3432.5239699999956</v>
      </c>
      <c r="M370" s="19">
        <f t="shared" si="31"/>
        <v>1.99</v>
      </c>
      <c r="N370" s="2">
        <v>25.5</v>
      </c>
    </row>
    <row r="371" spans="1:14" x14ac:dyDescent="0.25">
      <c r="A371" s="2">
        <v>5996007</v>
      </c>
      <c r="B371" s="2">
        <v>1.9</v>
      </c>
      <c r="C371" s="19">
        <f t="shared" si="32"/>
        <v>30.161999999998443</v>
      </c>
      <c r="H371" s="2">
        <f t="shared" si="33"/>
        <v>5398.6389999999992</v>
      </c>
      <c r="I371" s="2" t="str">
        <f t="shared" si="30"/>
        <v>01:29</v>
      </c>
      <c r="J371" s="3">
        <f t="shared" si="34"/>
        <v>0.65466177765093769</v>
      </c>
      <c r="K371" s="19">
        <v>32.389000000000003</v>
      </c>
      <c r="L371" s="21">
        <f t="shared" si="35"/>
        <v>3440.9023033333287</v>
      </c>
      <c r="M371" s="19">
        <f t="shared" si="31"/>
        <v>2</v>
      </c>
      <c r="N371" s="2">
        <v>25.5</v>
      </c>
    </row>
    <row r="372" spans="1:14" x14ac:dyDescent="0.25">
      <c r="A372" s="2">
        <v>6011095</v>
      </c>
      <c r="B372" s="2">
        <v>1.87</v>
      </c>
      <c r="C372" s="19">
        <f t="shared" si="32"/>
        <v>29.723360000001279</v>
      </c>
      <c r="H372" s="2">
        <f t="shared" si="33"/>
        <v>5413.7269999999999</v>
      </c>
      <c r="I372" s="2" t="str">
        <f t="shared" si="30"/>
        <v>01:30</v>
      </c>
      <c r="J372" s="3">
        <f t="shared" si="34"/>
        <v>0.65623264692203542</v>
      </c>
      <c r="K372" s="19">
        <v>32.389000000000003</v>
      </c>
      <c r="L372" s="21">
        <f t="shared" si="35"/>
        <v>3449.1587922222179</v>
      </c>
      <c r="M372" s="19">
        <f t="shared" si="31"/>
        <v>1.9700000000000002</v>
      </c>
      <c r="N372" s="2">
        <v>25.5</v>
      </c>
    </row>
    <row r="373" spans="1:14" x14ac:dyDescent="0.25">
      <c r="A373" s="2">
        <v>6026179</v>
      </c>
      <c r="B373" s="2">
        <v>1.87</v>
      </c>
      <c r="C373" s="19">
        <f t="shared" si="32"/>
        <v>29.715479999999673</v>
      </c>
      <c r="H373" s="2">
        <f t="shared" si="33"/>
        <v>5428.8109999999997</v>
      </c>
      <c r="I373" s="2" t="str">
        <f t="shared" si="30"/>
        <v>01:30</v>
      </c>
      <c r="J373" s="3">
        <f t="shared" si="34"/>
        <v>0.65780309973786488</v>
      </c>
      <c r="K373" s="19">
        <v>32.372</v>
      </c>
      <c r="L373" s="21">
        <f t="shared" si="35"/>
        <v>3457.413092222218</v>
      </c>
      <c r="M373" s="19">
        <f t="shared" si="31"/>
        <v>1.9700000000000002</v>
      </c>
      <c r="N373" s="2">
        <v>25.5</v>
      </c>
    </row>
    <row r="374" spans="1:14" x14ac:dyDescent="0.25">
      <c r="A374" s="2">
        <v>6041260</v>
      </c>
      <c r="B374" s="2">
        <v>1.9</v>
      </c>
      <c r="C374" s="19">
        <f t="shared" si="32"/>
        <v>30.162000000000262</v>
      </c>
      <c r="H374" s="2">
        <f t="shared" si="33"/>
        <v>5443.8919999999998</v>
      </c>
      <c r="I374" s="2" t="str">
        <f t="shared" si="30"/>
        <v>01:30</v>
      </c>
      <c r="J374" s="3">
        <f t="shared" si="34"/>
        <v>0.6593971509808888</v>
      </c>
      <c r="K374" s="19">
        <v>32.372</v>
      </c>
      <c r="L374" s="21">
        <f t="shared" si="35"/>
        <v>3465.7914255555515</v>
      </c>
      <c r="M374" s="19">
        <f t="shared" si="31"/>
        <v>2</v>
      </c>
      <c r="N374" s="2">
        <v>25.5</v>
      </c>
    </row>
    <row r="375" spans="1:14" x14ac:dyDescent="0.25">
      <c r="A375" s="2">
        <v>6056341</v>
      </c>
      <c r="B375" s="2">
        <v>1.89</v>
      </c>
      <c r="C375" s="19">
        <f t="shared" si="32"/>
        <v>30.011190000000262</v>
      </c>
      <c r="H375" s="2">
        <f t="shared" si="33"/>
        <v>5458.973</v>
      </c>
      <c r="I375" s="2" t="str">
        <f t="shared" si="30"/>
        <v>01:30</v>
      </c>
      <c r="J375" s="3">
        <f t="shared" si="34"/>
        <v>0.66098323196769759</v>
      </c>
      <c r="K375" s="19">
        <v>32.429000000000002</v>
      </c>
      <c r="L375" s="21">
        <f t="shared" si="35"/>
        <v>3474.1278672222184</v>
      </c>
      <c r="M375" s="19">
        <f t="shared" si="31"/>
        <v>1.99</v>
      </c>
      <c r="N375" s="2">
        <v>25.5</v>
      </c>
    </row>
    <row r="376" spans="1:14" x14ac:dyDescent="0.25">
      <c r="A376" s="2">
        <v>6071423</v>
      </c>
      <c r="B376" s="2">
        <v>1.89</v>
      </c>
      <c r="C376" s="19">
        <f t="shared" si="32"/>
        <v>30.013179999998854</v>
      </c>
      <c r="H376" s="2">
        <f t="shared" si="33"/>
        <v>5474.0549999999994</v>
      </c>
      <c r="I376" s="2" t="str">
        <f t="shared" si="30"/>
        <v>01:31</v>
      </c>
      <c r="J376" s="3">
        <f t="shared" si="34"/>
        <v>0.66256941812531622</v>
      </c>
      <c r="K376" s="19">
        <v>32.429000000000002</v>
      </c>
      <c r="L376" s="21">
        <f t="shared" si="35"/>
        <v>3482.4648616666623</v>
      </c>
      <c r="M376" s="19">
        <f t="shared" si="31"/>
        <v>1.99</v>
      </c>
      <c r="N376" s="2">
        <v>25.6</v>
      </c>
    </row>
    <row r="377" spans="1:14" x14ac:dyDescent="0.25">
      <c r="A377" s="2">
        <v>6086504</v>
      </c>
      <c r="B377" s="2">
        <v>1.87</v>
      </c>
      <c r="C377" s="19">
        <f t="shared" si="32"/>
        <v>29.709570000000262</v>
      </c>
      <c r="H377" s="2">
        <f t="shared" si="33"/>
        <v>5489.1359999999995</v>
      </c>
      <c r="I377" s="2" t="str">
        <f t="shared" si="30"/>
        <v>01:31</v>
      </c>
      <c r="J377" s="3">
        <f t="shared" si="34"/>
        <v>0.66413955859969476</v>
      </c>
      <c r="K377" s="19">
        <v>32.429000000000002</v>
      </c>
      <c r="L377" s="21">
        <f t="shared" si="35"/>
        <v>3490.7175199999956</v>
      </c>
      <c r="M377" s="19">
        <f t="shared" si="31"/>
        <v>1.9700000000000002</v>
      </c>
      <c r="N377" s="2">
        <v>25.6</v>
      </c>
    </row>
    <row r="378" spans="1:14" x14ac:dyDescent="0.25">
      <c r="A378" s="2">
        <v>6101585</v>
      </c>
      <c r="B378" s="2">
        <v>1.86</v>
      </c>
      <c r="C378" s="19">
        <f t="shared" si="32"/>
        <v>29.558760000000259</v>
      </c>
      <c r="H378" s="2">
        <f t="shared" si="33"/>
        <v>5504.2169999999996</v>
      </c>
      <c r="I378" s="2" t="str">
        <f t="shared" si="30"/>
        <v>01:31</v>
      </c>
      <c r="J378" s="3">
        <f t="shared" si="34"/>
        <v>0.66570172881785805</v>
      </c>
      <c r="K378" s="19">
        <v>32.484999999999999</v>
      </c>
      <c r="L378" s="21">
        <f t="shared" si="35"/>
        <v>3498.9282866666622</v>
      </c>
      <c r="M378" s="19">
        <f t="shared" si="31"/>
        <v>1.9600000000000002</v>
      </c>
      <c r="N378" s="2">
        <v>25.5</v>
      </c>
    </row>
    <row r="379" spans="1:14" x14ac:dyDescent="0.25">
      <c r="A379" s="2">
        <v>6116666</v>
      </c>
      <c r="B379" s="2">
        <v>1.9</v>
      </c>
      <c r="C379" s="19">
        <f t="shared" si="32"/>
        <v>30.162000000000262</v>
      </c>
      <c r="H379" s="2">
        <f t="shared" si="33"/>
        <v>5519.2979999999998</v>
      </c>
      <c r="I379" s="2" t="str">
        <f t="shared" si="30"/>
        <v>01:31</v>
      </c>
      <c r="J379" s="3">
        <f t="shared" si="34"/>
        <v>0.66729578006088197</v>
      </c>
      <c r="K379" s="19">
        <v>32.445</v>
      </c>
      <c r="L379" s="21">
        <f t="shared" si="35"/>
        <v>3507.3066199999957</v>
      </c>
      <c r="M379" s="19">
        <f t="shared" si="31"/>
        <v>2</v>
      </c>
      <c r="N379" s="2">
        <v>25.4</v>
      </c>
    </row>
    <row r="380" spans="1:14" x14ac:dyDescent="0.25">
      <c r="A380" s="2">
        <v>6131748</v>
      </c>
      <c r="B380" s="2">
        <v>1.89</v>
      </c>
      <c r="C380" s="19">
        <f t="shared" si="32"/>
        <v>30.013179999998854</v>
      </c>
      <c r="H380" s="2">
        <f t="shared" si="33"/>
        <v>5534.3799999999992</v>
      </c>
      <c r="I380" s="2" t="str">
        <f t="shared" si="30"/>
        <v>01:32</v>
      </c>
      <c r="J380" s="3">
        <f t="shared" si="34"/>
        <v>0.66888196621850071</v>
      </c>
      <c r="K380" s="19">
        <v>32.427</v>
      </c>
      <c r="L380" s="21">
        <f t="shared" si="35"/>
        <v>3515.6436144444397</v>
      </c>
      <c r="M380" s="19">
        <f t="shared" si="31"/>
        <v>1.99</v>
      </c>
      <c r="N380" s="2">
        <v>25.5</v>
      </c>
    </row>
    <row r="381" spans="1:14" x14ac:dyDescent="0.25">
      <c r="A381" s="2">
        <v>6146817</v>
      </c>
      <c r="B381" s="2">
        <v>1.88</v>
      </c>
      <c r="C381" s="19">
        <f t="shared" si="32"/>
        <v>29.836620000000821</v>
      </c>
      <c r="H381" s="2">
        <f t="shared" si="33"/>
        <v>5549.4489999999996</v>
      </c>
      <c r="I381" s="2" t="str">
        <f t="shared" si="30"/>
        <v>01:32</v>
      </c>
      <c r="J381" s="3">
        <f t="shared" si="34"/>
        <v>0.67045882124133183</v>
      </c>
      <c r="K381" s="19">
        <v>32.466999999999999</v>
      </c>
      <c r="L381" s="21">
        <f t="shared" si="35"/>
        <v>3523.93156444444</v>
      </c>
      <c r="M381" s="19">
        <f t="shared" si="31"/>
        <v>1.98</v>
      </c>
      <c r="N381" s="2">
        <v>25.5</v>
      </c>
    </row>
    <row r="382" spans="1:14" x14ac:dyDescent="0.25">
      <c r="A382" s="2">
        <v>6161901</v>
      </c>
      <c r="B382" s="2">
        <v>1.91</v>
      </c>
      <c r="C382" s="19">
        <f t="shared" si="32"/>
        <v>30.318839999999661</v>
      </c>
      <c r="H382" s="2">
        <f t="shared" si="33"/>
        <v>5564.5329999999994</v>
      </c>
      <c r="I382" s="2" t="str">
        <f t="shared" si="30"/>
        <v>01:32</v>
      </c>
      <c r="J382" s="3">
        <f t="shared" si="34"/>
        <v>0.6720611614239802</v>
      </c>
      <c r="K382" s="19">
        <v>32.466999999999999</v>
      </c>
      <c r="L382" s="21">
        <f t="shared" si="35"/>
        <v>3532.3534644444399</v>
      </c>
      <c r="M382" s="19">
        <f t="shared" si="31"/>
        <v>2.0099999999999998</v>
      </c>
      <c r="N382" s="2">
        <v>25.5</v>
      </c>
    </row>
    <row r="383" spans="1:14" x14ac:dyDescent="0.25">
      <c r="A383" s="2">
        <v>6176982</v>
      </c>
      <c r="B383" s="2">
        <v>1.88</v>
      </c>
      <c r="C383" s="19">
        <f t="shared" si="32"/>
        <v>29.860380000000259</v>
      </c>
      <c r="H383" s="2">
        <f t="shared" si="33"/>
        <v>5579.6139999999996</v>
      </c>
      <c r="I383" s="2" t="str">
        <f t="shared" si="30"/>
        <v>01:33</v>
      </c>
      <c r="J383" s="3">
        <f t="shared" si="34"/>
        <v>0.67363927215457375</v>
      </c>
      <c r="K383" s="19">
        <v>32.466999999999999</v>
      </c>
      <c r="L383" s="21">
        <f t="shared" si="35"/>
        <v>3540.6480144444399</v>
      </c>
      <c r="M383" s="19">
        <f t="shared" si="31"/>
        <v>1.98</v>
      </c>
      <c r="N383" s="2">
        <v>25.5</v>
      </c>
    </row>
    <row r="384" spans="1:14" x14ac:dyDescent="0.25">
      <c r="A384" s="2">
        <v>6192064</v>
      </c>
      <c r="B384" s="2">
        <v>1.87</v>
      </c>
      <c r="C384" s="19">
        <f t="shared" si="32"/>
        <v>29.711540000000664</v>
      </c>
      <c r="H384" s="2">
        <f t="shared" si="33"/>
        <v>5594.6959999999999</v>
      </c>
      <c r="I384" s="2" t="str">
        <f t="shared" si="30"/>
        <v>01:33</v>
      </c>
      <c r="J384" s="3">
        <f t="shared" si="34"/>
        <v>0.6752095167427693</v>
      </c>
      <c r="K384" s="19">
        <v>32.506</v>
      </c>
      <c r="L384" s="21">
        <f t="shared" si="35"/>
        <v>3548.9012199999956</v>
      </c>
      <c r="M384" s="19">
        <f t="shared" si="31"/>
        <v>1.9700000000000002</v>
      </c>
      <c r="N384" s="2">
        <v>25.6</v>
      </c>
    </row>
    <row r="385" spans="1:14" x14ac:dyDescent="0.25">
      <c r="A385" s="2">
        <v>6207145</v>
      </c>
      <c r="B385" s="2">
        <v>1.89</v>
      </c>
      <c r="C385" s="19">
        <f t="shared" si="32"/>
        <v>30.011190000000262</v>
      </c>
      <c r="H385" s="2">
        <f t="shared" si="33"/>
        <v>5609.777</v>
      </c>
      <c r="I385" s="2" t="str">
        <f t="shared" si="30"/>
        <v>01:33</v>
      </c>
      <c r="J385" s="3">
        <f t="shared" si="34"/>
        <v>0.67679559772957809</v>
      </c>
      <c r="K385" s="19">
        <v>32.506999999999998</v>
      </c>
      <c r="L385" s="21">
        <f t="shared" si="35"/>
        <v>3557.2376616666625</v>
      </c>
      <c r="M385" s="19">
        <f t="shared" si="31"/>
        <v>1.99</v>
      </c>
      <c r="N385" s="2">
        <v>25.5</v>
      </c>
    </row>
    <row r="386" spans="1:14" x14ac:dyDescent="0.25">
      <c r="A386" s="2">
        <v>6222226</v>
      </c>
      <c r="B386" s="2">
        <v>1.87</v>
      </c>
      <c r="C386" s="19">
        <f t="shared" si="32"/>
        <v>29.709569999998468</v>
      </c>
      <c r="H386" s="2">
        <f t="shared" si="33"/>
        <v>5624.8579999999993</v>
      </c>
      <c r="I386" s="2" t="str">
        <f t="shared" si="30"/>
        <v>01:33</v>
      </c>
      <c r="J386" s="3">
        <f t="shared" si="34"/>
        <v>0.67836573820395651</v>
      </c>
      <c r="K386" s="19">
        <v>32.524999999999999</v>
      </c>
      <c r="L386" s="21">
        <f t="shared" si="35"/>
        <v>3565.4903199999953</v>
      </c>
      <c r="M386" s="19">
        <f t="shared" si="31"/>
        <v>1.9700000000000002</v>
      </c>
      <c r="N386" s="2">
        <v>25.6</v>
      </c>
    </row>
    <row r="387" spans="1:14" x14ac:dyDescent="0.25">
      <c r="A387" s="2">
        <v>6237307</v>
      </c>
      <c r="B387" s="2">
        <v>1.91</v>
      </c>
      <c r="C387" s="19">
        <f t="shared" si="32"/>
        <v>30.312810000000258</v>
      </c>
      <c r="H387" s="2">
        <f t="shared" si="33"/>
        <v>5639.9389999999994</v>
      </c>
      <c r="I387" s="2" t="str">
        <f t="shared" si="30"/>
        <v>01:34</v>
      </c>
      <c r="J387" s="3">
        <f t="shared" si="34"/>
        <v>0.67996775970319545</v>
      </c>
      <c r="K387" s="19">
        <v>32.488</v>
      </c>
      <c r="L387" s="21">
        <f t="shared" si="35"/>
        <v>3573.9105449999952</v>
      </c>
      <c r="M387" s="19">
        <f t="shared" si="31"/>
        <v>2.0099999999999998</v>
      </c>
      <c r="N387" s="2">
        <v>25.7</v>
      </c>
    </row>
    <row r="388" spans="1:14" x14ac:dyDescent="0.25">
      <c r="A388" s="2">
        <v>6252532</v>
      </c>
      <c r="B388" s="2">
        <v>1.91</v>
      </c>
      <c r="C388" s="19">
        <f t="shared" si="32"/>
        <v>30.602250000000726</v>
      </c>
      <c r="H388" s="2">
        <f t="shared" si="33"/>
        <v>5655.1639999999998</v>
      </c>
      <c r="I388" s="2" t="str">
        <f t="shared" si="30"/>
        <v>01:34</v>
      </c>
      <c r="J388" s="3">
        <f t="shared" si="34"/>
        <v>0.68158507800608736</v>
      </c>
      <c r="K388" s="19">
        <v>32.545000000000002</v>
      </c>
      <c r="L388" s="21">
        <f t="shared" si="35"/>
        <v>3582.4111699999953</v>
      </c>
      <c r="M388" s="19">
        <f t="shared" si="31"/>
        <v>2.0099999999999998</v>
      </c>
      <c r="N388" s="2">
        <v>25.6</v>
      </c>
    </row>
    <row r="389" spans="1:14" x14ac:dyDescent="0.25">
      <c r="A389" s="2">
        <v>6267537</v>
      </c>
      <c r="B389" s="2">
        <v>1.9</v>
      </c>
      <c r="C389" s="19">
        <f t="shared" si="32"/>
        <v>30.010000000000218</v>
      </c>
      <c r="H389" s="2">
        <f t="shared" si="33"/>
        <v>5670.1689999999999</v>
      </c>
      <c r="I389" s="2" t="str">
        <f t="shared" si="30"/>
        <v>01:34</v>
      </c>
      <c r="J389" s="3">
        <f t="shared" si="34"/>
        <v>0.68317109610180871</v>
      </c>
      <c r="K389" s="19">
        <v>32.527000000000001</v>
      </c>
      <c r="L389" s="21">
        <f t="shared" si="35"/>
        <v>3590.7472811111065</v>
      </c>
      <c r="M389" s="19">
        <f t="shared" si="31"/>
        <v>2</v>
      </c>
      <c r="N389" s="2">
        <v>25.5</v>
      </c>
    </row>
    <row r="390" spans="1:14" x14ac:dyDescent="0.25">
      <c r="A390" s="2">
        <v>6282544</v>
      </c>
      <c r="B390" s="2">
        <v>1.91</v>
      </c>
      <c r="C390" s="19">
        <f t="shared" si="32"/>
        <v>30.164069999999207</v>
      </c>
      <c r="H390" s="2">
        <f t="shared" si="33"/>
        <v>5685.1759999999995</v>
      </c>
      <c r="I390" s="2" t="str">
        <f t="shared" si="30"/>
        <v>01:34</v>
      </c>
      <c r="J390" s="3">
        <f t="shared" si="34"/>
        <v>0.68476525674361488</v>
      </c>
      <c r="K390" s="19">
        <v>32.543999999999997</v>
      </c>
      <c r="L390" s="21">
        <f t="shared" si="35"/>
        <v>3599.1261894444397</v>
      </c>
      <c r="M390" s="19">
        <f t="shared" si="31"/>
        <v>2.0099999999999998</v>
      </c>
      <c r="N390" s="2">
        <v>25.6</v>
      </c>
    </row>
    <row r="391" spans="1:14" x14ac:dyDescent="0.25">
      <c r="A391" s="2">
        <v>6297613</v>
      </c>
      <c r="B391" s="2">
        <v>1.9</v>
      </c>
      <c r="C391" s="19">
        <f t="shared" si="32"/>
        <v>30.138000000000829</v>
      </c>
      <c r="H391" s="2">
        <f t="shared" si="33"/>
        <v>5700.2449999999999</v>
      </c>
      <c r="I391" s="2" t="str">
        <f t="shared" si="30"/>
        <v>01:35</v>
      </c>
      <c r="J391" s="3">
        <f t="shared" si="34"/>
        <v>0.68635803959495945</v>
      </c>
      <c r="K391" s="19">
        <v>32.543999999999997</v>
      </c>
      <c r="L391" s="21">
        <f t="shared" si="35"/>
        <v>3607.4978561111066</v>
      </c>
      <c r="M391" s="19">
        <f t="shared" si="31"/>
        <v>2</v>
      </c>
      <c r="N391" s="2">
        <v>25.7</v>
      </c>
    </row>
    <row r="392" spans="1:14" x14ac:dyDescent="0.25">
      <c r="A392" s="2">
        <v>6312684</v>
      </c>
      <c r="B392" s="2">
        <v>1.88</v>
      </c>
      <c r="C392" s="19">
        <f t="shared" si="32"/>
        <v>29.840579999999825</v>
      </c>
      <c r="H392" s="2">
        <f t="shared" si="33"/>
        <v>5715.3159999999998</v>
      </c>
      <c r="I392" s="2" t="str">
        <f t="shared" si="30"/>
        <v>01:35</v>
      </c>
      <c r="J392" s="3">
        <f t="shared" si="34"/>
        <v>0.68793510390241752</v>
      </c>
      <c r="K392" s="19">
        <v>32.526000000000003</v>
      </c>
      <c r="L392" s="21">
        <f t="shared" si="35"/>
        <v>3615.7869061111064</v>
      </c>
      <c r="M392" s="19">
        <f t="shared" si="31"/>
        <v>1.98</v>
      </c>
      <c r="N392" s="2">
        <v>25.5</v>
      </c>
    </row>
    <row r="393" spans="1:14" x14ac:dyDescent="0.25">
      <c r="A393" s="2">
        <v>6327782</v>
      </c>
      <c r="B393" s="2">
        <v>1.88</v>
      </c>
      <c r="C393" s="19">
        <f t="shared" si="32"/>
        <v>29.894039999999912</v>
      </c>
      <c r="H393" s="2">
        <f t="shared" si="33"/>
        <v>5730.4139999999998</v>
      </c>
      <c r="I393" s="2" t="str">
        <f t="shared" si="30"/>
        <v>01:35</v>
      </c>
      <c r="J393" s="3">
        <f t="shared" si="34"/>
        <v>0.68951499355234136</v>
      </c>
      <c r="K393" s="19">
        <v>32.582999999999998</v>
      </c>
      <c r="L393" s="21">
        <f t="shared" si="35"/>
        <v>3624.0908061111063</v>
      </c>
      <c r="M393" s="19">
        <f t="shared" si="31"/>
        <v>1.98</v>
      </c>
      <c r="N393" s="2">
        <v>25.6</v>
      </c>
    </row>
    <row r="394" spans="1:14" x14ac:dyDescent="0.25">
      <c r="A394" s="2">
        <v>6342863</v>
      </c>
      <c r="B394" s="2">
        <v>1.9</v>
      </c>
      <c r="C394" s="19">
        <f t="shared" si="32"/>
        <v>30.162000000000262</v>
      </c>
      <c r="H394" s="2">
        <f t="shared" si="33"/>
        <v>5745.4949999999999</v>
      </c>
      <c r="I394" s="2" t="str">
        <f t="shared" si="30"/>
        <v>01:35</v>
      </c>
      <c r="J394" s="3">
        <f t="shared" si="34"/>
        <v>0.69110904479536528</v>
      </c>
      <c r="K394" s="19">
        <v>32.582999999999998</v>
      </c>
      <c r="L394" s="21">
        <f t="shared" si="35"/>
        <v>3632.4691394444399</v>
      </c>
      <c r="M394" s="19">
        <f t="shared" si="31"/>
        <v>2</v>
      </c>
      <c r="N394" s="2">
        <v>25.7</v>
      </c>
    </row>
    <row r="395" spans="1:14" x14ac:dyDescent="0.25">
      <c r="A395" s="2">
        <v>6357946</v>
      </c>
      <c r="B395" s="2">
        <v>1.86</v>
      </c>
      <c r="C395" s="19">
        <f t="shared" si="32"/>
        <v>29.562679999999276</v>
      </c>
      <c r="H395" s="2">
        <f t="shared" si="33"/>
        <v>5760.5779999999995</v>
      </c>
      <c r="I395" s="2" t="str">
        <f t="shared" si="30"/>
        <v>01:36</v>
      </c>
      <c r="J395" s="3">
        <f t="shared" si="34"/>
        <v>0.69267142218416955</v>
      </c>
      <c r="K395" s="19">
        <v>32.622</v>
      </c>
      <c r="L395" s="21">
        <f t="shared" si="35"/>
        <v>3640.6809949999952</v>
      </c>
      <c r="M395" s="19">
        <f t="shared" si="31"/>
        <v>1.9600000000000002</v>
      </c>
      <c r="N395" s="2">
        <v>25.8</v>
      </c>
    </row>
    <row r="396" spans="1:14" x14ac:dyDescent="0.25">
      <c r="A396" s="2">
        <v>6373028</v>
      </c>
      <c r="B396" s="2">
        <v>1.88</v>
      </c>
      <c r="C396" s="19">
        <f t="shared" si="32"/>
        <v>29.862360000000663</v>
      </c>
      <c r="H396" s="2">
        <f t="shared" si="33"/>
        <v>5775.66</v>
      </c>
      <c r="I396" s="2" t="str">
        <f t="shared" si="30"/>
        <v>01:36</v>
      </c>
      <c r="J396" s="3">
        <f t="shared" si="34"/>
        <v>0.6942496375570768</v>
      </c>
      <c r="K396" s="19">
        <v>32.582999999999998</v>
      </c>
      <c r="L396" s="21">
        <f t="shared" si="35"/>
        <v>3648.9760949999954</v>
      </c>
      <c r="M396" s="19">
        <f t="shared" si="31"/>
        <v>1.98</v>
      </c>
      <c r="N396" s="2">
        <v>25.8</v>
      </c>
    </row>
    <row r="397" spans="1:14" x14ac:dyDescent="0.25">
      <c r="A397" s="2">
        <v>6388108</v>
      </c>
      <c r="B397" s="2">
        <v>1.9</v>
      </c>
      <c r="C397" s="19">
        <f t="shared" si="32"/>
        <v>30.159999999999854</v>
      </c>
      <c r="H397" s="2">
        <f t="shared" si="33"/>
        <v>5790.74</v>
      </c>
      <c r="I397" s="2" t="str">
        <f t="shared" si="30"/>
        <v>01:36</v>
      </c>
      <c r="J397" s="3">
        <f t="shared" si="34"/>
        <v>0.69584358310079397</v>
      </c>
      <c r="K397" s="19">
        <v>32.622999999999998</v>
      </c>
      <c r="L397" s="21">
        <f t="shared" si="35"/>
        <v>3657.3538727777732</v>
      </c>
      <c r="M397" s="19">
        <f t="shared" si="31"/>
        <v>2</v>
      </c>
      <c r="N397" s="2">
        <v>25.8</v>
      </c>
    </row>
    <row r="398" spans="1:14" x14ac:dyDescent="0.25">
      <c r="A398" s="2">
        <v>6403192</v>
      </c>
      <c r="B398" s="2">
        <v>1.9</v>
      </c>
      <c r="C398" s="19">
        <f t="shared" si="32"/>
        <v>30.167999999999665</v>
      </c>
      <c r="H398" s="2">
        <f t="shared" si="33"/>
        <v>5805.8239999999996</v>
      </c>
      <c r="I398" s="2" t="str">
        <f t="shared" ref="I398:I461" si="36">TEXT(H398/86400,"hh:mm")</f>
        <v>01:36</v>
      </c>
      <c r="J398" s="3">
        <f t="shared" si="34"/>
        <v>0.6974379514417377</v>
      </c>
      <c r="K398" s="19">
        <v>32.622</v>
      </c>
      <c r="L398" s="21">
        <f t="shared" si="35"/>
        <v>3665.7338727777733</v>
      </c>
      <c r="M398" s="19">
        <f t="shared" ref="M398:M461" si="37">B398+0.1</f>
        <v>2</v>
      </c>
      <c r="N398" s="2">
        <v>25.8</v>
      </c>
    </row>
    <row r="399" spans="1:14" x14ac:dyDescent="0.25">
      <c r="A399" s="2">
        <v>6418257</v>
      </c>
      <c r="B399" s="2">
        <v>1.89</v>
      </c>
      <c r="C399" s="19">
        <f t="shared" ref="C399:C462" si="38">M399*(H399-H398)</f>
        <v>29.979349999999204</v>
      </c>
      <c r="H399" s="2">
        <f t="shared" ref="H399:H462" si="39">(A399/1000-612.368)+15</f>
        <v>5820.8889999999992</v>
      </c>
      <c r="I399" s="2" t="str">
        <f t="shared" si="36"/>
        <v>01:37</v>
      </c>
      <c r="J399" s="3">
        <f t="shared" ref="J399:J462" si="40">L399/5256</f>
        <v>0.69902234969558508</v>
      </c>
      <c r="K399" s="19">
        <v>32.622</v>
      </c>
      <c r="L399" s="21">
        <f t="shared" si="35"/>
        <v>3674.0614699999951</v>
      </c>
      <c r="M399" s="19">
        <f t="shared" si="37"/>
        <v>1.99</v>
      </c>
      <c r="N399" s="2">
        <v>25.6</v>
      </c>
    </row>
    <row r="400" spans="1:14" x14ac:dyDescent="0.25">
      <c r="A400" s="2">
        <v>6433343</v>
      </c>
      <c r="B400" s="2">
        <v>1.89</v>
      </c>
      <c r="C400" s="19">
        <f t="shared" si="38"/>
        <v>30.021140000000479</v>
      </c>
      <c r="H400" s="2">
        <f t="shared" si="39"/>
        <v>5835.9749999999995</v>
      </c>
      <c r="I400" s="2" t="str">
        <f t="shared" si="36"/>
        <v>01:37</v>
      </c>
      <c r="J400" s="3">
        <f t="shared" si="40"/>
        <v>0.70060895653644417</v>
      </c>
      <c r="K400" s="19">
        <v>32.64</v>
      </c>
      <c r="L400" s="21">
        <f t="shared" ref="L400:L463" si="41">C400*1000/(60*60) + L399</f>
        <v>3682.4006755555506</v>
      </c>
      <c r="M400" s="19">
        <f t="shared" si="37"/>
        <v>1.99</v>
      </c>
      <c r="N400" s="2">
        <v>25.8</v>
      </c>
    </row>
    <row r="401" spans="1:14" x14ac:dyDescent="0.25">
      <c r="A401" s="2">
        <v>6448425</v>
      </c>
      <c r="B401" s="2">
        <v>1.89</v>
      </c>
      <c r="C401" s="19">
        <f t="shared" si="38"/>
        <v>30.013180000000666</v>
      </c>
      <c r="H401" s="2">
        <f t="shared" si="39"/>
        <v>5851.0569999999998</v>
      </c>
      <c r="I401" s="2" t="str">
        <f t="shared" si="36"/>
        <v>01:37</v>
      </c>
      <c r="J401" s="3">
        <f t="shared" si="40"/>
        <v>0.70219514269406302</v>
      </c>
      <c r="K401" s="19">
        <v>32.622</v>
      </c>
      <c r="L401" s="21">
        <f t="shared" si="41"/>
        <v>3690.7376699999954</v>
      </c>
      <c r="M401" s="19">
        <f t="shared" si="37"/>
        <v>1.99</v>
      </c>
      <c r="N401" s="2">
        <v>25.8</v>
      </c>
    </row>
    <row r="402" spans="1:14" x14ac:dyDescent="0.25">
      <c r="A402" s="2">
        <v>6463517</v>
      </c>
      <c r="B402" s="2">
        <v>1.9</v>
      </c>
      <c r="C402" s="19">
        <f t="shared" si="38"/>
        <v>30.183999999999287</v>
      </c>
      <c r="H402" s="2">
        <f t="shared" si="39"/>
        <v>5866.1489999999994</v>
      </c>
      <c r="I402" s="2" t="str">
        <f t="shared" si="36"/>
        <v>01:37</v>
      </c>
      <c r="J402" s="3">
        <f t="shared" si="40"/>
        <v>0.70379035662945966</v>
      </c>
      <c r="K402" s="19">
        <v>32.622999999999998</v>
      </c>
      <c r="L402" s="21">
        <f t="shared" si="41"/>
        <v>3699.1221144444398</v>
      </c>
      <c r="M402" s="19">
        <f t="shared" si="37"/>
        <v>2</v>
      </c>
      <c r="N402" s="2">
        <v>25.6</v>
      </c>
    </row>
    <row r="403" spans="1:14" x14ac:dyDescent="0.25">
      <c r="A403" s="2">
        <v>6478598</v>
      </c>
      <c r="B403" s="2">
        <v>1.88</v>
      </c>
      <c r="C403" s="19">
        <f t="shared" si="38"/>
        <v>29.860380000000259</v>
      </c>
      <c r="H403" s="2">
        <f t="shared" si="39"/>
        <v>5881.23</v>
      </c>
      <c r="I403" s="2" t="str">
        <f t="shared" si="36"/>
        <v>01:38</v>
      </c>
      <c r="J403" s="3">
        <f t="shared" si="40"/>
        <v>0.70536846736005321</v>
      </c>
      <c r="K403" s="19">
        <v>32.661000000000001</v>
      </c>
      <c r="L403" s="21">
        <f t="shared" si="41"/>
        <v>3707.4166644444399</v>
      </c>
      <c r="M403" s="19">
        <f t="shared" si="37"/>
        <v>1.98</v>
      </c>
      <c r="N403" s="2">
        <v>25.8</v>
      </c>
    </row>
    <row r="404" spans="1:14" x14ac:dyDescent="0.25">
      <c r="A404" s="2">
        <v>6493679</v>
      </c>
      <c r="B404" s="2">
        <v>1.89</v>
      </c>
      <c r="C404" s="19">
        <f t="shared" si="38"/>
        <v>30.011190000000262</v>
      </c>
      <c r="H404" s="2">
        <f t="shared" si="39"/>
        <v>5896.3109999999997</v>
      </c>
      <c r="I404" s="2" t="str">
        <f t="shared" si="36"/>
        <v>01:38</v>
      </c>
      <c r="J404" s="3">
        <f t="shared" si="40"/>
        <v>0.706954548346862</v>
      </c>
      <c r="K404" s="19">
        <v>32.659999999999997</v>
      </c>
      <c r="L404" s="21">
        <f t="shared" si="41"/>
        <v>3715.7531061111067</v>
      </c>
      <c r="M404" s="19">
        <f t="shared" si="37"/>
        <v>1.99</v>
      </c>
      <c r="N404" s="2">
        <v>25.7</v>
      </c>
    </row>
    <row r="405" spans="1:14" x14ac:dyDescent="0.25">
      <c r="A405" s="2">
        <v>6508771</v>
      </c>
      <c r="B405" s="2">
        <v>1.88</v>
      </c>
      <c r="C405" s="19">
        <f t="shared" si="38"/>
        <v>29.882159999999296</v>
      </c>
      <c r="H405" s="2">
        <f t="shared" si="39"/>
        <v>5911.4029999999993</v>
      </c>
      <c r="I405" s="2" t="str">
        <f t="shared" si="36"/>
        <v>01:38</v>
      </c>
      <c r="J405" s="3">
        <f t="shared" si="40"/>
        <v>0.70853381014290451</v>
      </c>
      <c r="K405" s="19">
        <v>32.661000000000001</v>
      </c>
      <c r="L405" s="21">
        <f t="shared" si="41"/>
        <v>3724.0537061111063</v>
      </c>
      <c r="M405" s="19">
        <f t="shared" si="37"/>
        <v>1.98</v>
      </c>
      <c r="N405" s="2">
        <v>25.9</v>
      </c>
    </row>
    <row r="406" spans="1:14" x14ac:dyDescent="0.25">
      <c r="A406" s="2">
        <v>6523852</v>
      </c>
      <c r="B406" s="2">
        <v>1.89</v>
      </c>
      <c r="C406" s="19">
        <f t="shared" si="38"/>
        <v>30.011190000000262</v>
      </c>
      <c r="H406" s="2">
        <f t="shared" si="39"/>
        <v>5926.4839999999995</v>
      </c>
      <c r="I406" s="2" t="str">
        <f t="shared" si="36"/>
        <v>01:38</v>
      </c>
      <c r="J406" s="3">
        <f t="shared" si="40"/>
        <v>0.7101198911297133</v>
      </c>
      <c r="K406" s="19">
        <v>32.700000000000003</v>
      </c>
      <c r="L406" s="21">
        <f t="shared" si="41"/>
        <v>3732.3901477777731</v>
      </c>
      <c r="M406" s="19">
        <f t="shared" si="37"/>
        <v>1.99</v>
      </c>
      <c r="N406" s="2">
        <v>25.7</v>
      </c>
    </row>
    <row r="407" spans="1:14" x14ac:dyDescent="0.25">
      <c r="A407" s="2">
        <v>6538933</v>
      </c>
      <c r="B407" s="2">
        <v>1.9</v>
      </c>
      <c r="C407" s="19">
        <f t="shared" si="38"/>
        <v>30.162000000000262</v>
      </c>
      <c r="H407" s="2">
        <f t="shared" si="39"/>
        <v>5941.5649999999996</v>
      </c>
      <c r="I407" s="2" t="str">
        <f t="shared" si="36"/>
        <v>01:39</v>
      </c>
      <c r="J407" s="3">
        <f t="shared" si="40"/>
        <v>0.71171394237273722</v>
      </c>
      <c r="K407" s="19">
        <v>32.700000000000003</v>
      </c>
      <c r="L407" s="21">
        <f t="shared" si="41"/>
        <v>3740.7684811111067</v>
      </c>
      <c r="M407" s="19">
        <f t="shared" si="37"/>
        <v>2</v>
      </c>
      <c r="N407" s="2">
        <v>25.8</v>
      </c>
    </row>
    <row r="408" spans="1:14" x14ac:dyDescent="0.25">
      <c r="A408" s="2">
        <v>6554025</v>
      </c>
      <c r="B408" s="2">
        <v>1.92</v>
      </c>
      <c r="C408" s="19">
        <f t="shared" si="38"/>
        <v>30.485839999999278</v>
      </c>
      <c r="H408" s="2">
        <f t="shared" si="39"/>
        <v>5956.6569999999992</v>
      </c>
      <c r="I408" s="2" t="str">
        <f t="shared" si="36"/>
        <v>01:39</v>
      </c>
      <c r="J408" s="3">
        <f t="shared" si="40"/>
        <v>0.71332510844748775</v>
      </c>
      <c r="K408" s="19">
        <v>32.700000000000003</v>
      </c>
      <c r="L408" s="21">
        <f t="shared" si="41"/>
        <v>3749.2367699999954</v>
      </c>
      <c r="M408" s="19">
        <f t="shared" si="37"/>
        <v>2.02</v>
      </c>
      <c r="N408" s="2">
        <v>25.8</v>
      </c>
    </row>
    <row r="409" spans="1:14" x14ac:dyDescent="0.25">
      <c r="A409" s="2">
        <v>6569106</v>
      </c>
      <c r="B409" s="2">
        <v>1.89</v>
      </c>
      <c r="C409" s="19">
        <f t="shared" si="38"/>
        <v>30.011190000000262</v>
      </c>
      <c r="H409" s="2">
        <f t="shared" si="39"/>
        <v>5971.7379999999994</v>
      </c>
      <c r="I409" s="2" t="str">
        <f t="shared" si="36"/>
        <v>01:39</v>
      </c>
      <c r="J409" s="3">
        <f t="shared" si="40"/>
        <v>0.71491118943429643</v>
      </c>
      <c r="K409" s="19">
        <v>32.718000000000004</v>
      </c>
      <c r="L409" s="21">
        <f t="shared" si="41"/>
        <v>3757.5732116666622</v>
      </c>
      <c r="M409" s="19">
        <f t="shared" si="37"/>
        <v>1.99</v>
      </c>
      <c r="N409" s="2">
        <v>25.8</v>
      </c>
    </row>
    <row r="410" spans="1:14" x14ac:dyDescent="0.25">
      <c r="A410" s="2">
        <v>6584188</v>
      </c>
      <c r="B410" s="2">
        <v>1.9</v>
      </c>
      <c r="C410" s="19">
        <f t="shared" si="38"/>
        <v>30.164000000000669</v>
      </c>
      <c r="H410" s="2">
        <f t="shared" si="39"/>
        <v>5986.82</v>
      </c>
      <c r="I410" s="2" t="str">
        <f t="shared" si="36"/>
        <v>01:39</v>
      </c>
      <c r="J410" s="3">
        <f t="shared" si="40"/>
        <v>0.71650534637662688</v>
      </c>
      <c r="K410" s="19">
        <v>32.720999999999997</v>
      </c>
      <c r="L410" s="21">
        <f t="shared" si="41"/>
        <v>3765.9521005555512</v>
      </c>
      <c r="M410" s="19">
        <f t="shared" si="37"/>
        <v>2</v>
      </c>
      <c r="N410" s="2">
        <v>25.8</v>
      </c>
    </row>
    <row r="411" spans="1:14" x14ac:dyDescent="0.25">
      <c r="A411" s="2">
        <v>6599280</v>
      </c>
      <c r="B411" s="2">
        <v>1.88</v>
      </c>
      <c r="C411" s="19">
        <f t="shared" si="38"/>
        <v>29.882159999999296</v>
      </c>
      <c r="H411" s="2">
        <f t="shared" si="39"/>
        <v>6001.9119999999994</v>
      </c>
      <c r="I411" s="2" t="str">
        <f t="shared" si="36"/>
        <v>01:40</v>
      </c>
      <c r="J411" s="3">
        <f t="shared" si="40"/>
        <v>0.71808460817266961</v>
      </c>
      <c r="K411" s="19">
        <v>32.741</v>
      </c>
      <c r="L411" s="21">
        <f t="shared" si="41"/>
        <v>3774.2527005555512</v>
      </c>
      <c r="M411" s="19">
        <f t="shared" si="37"/>
        <v>1.98</v>
      </c>
      <c r="N411" s="2">
        <v>25.8</v>
      </c>
    </row>
    <row r="412" spans="1:14" x14ac:dyDescent="0.25">
      <c r="A412" s="2">
        <v>6614360</v>
      </c>
      <c r="B412" s="2">
        <v>1.89</v>
      </c>
      <c r="C412" s="19">
        <f t="shared" si="38"/>
        <v>30.009199999999854</v>
      </c>
      <c r="H412" s="2">
        <f t="shared" si="39"/>
        <v>6016.9919999999993</v>
      </c>
      <c r="I412" s="2" t="str">
        <f t="shared" si="36"/>
        <v>01:40</v>
      </c>
      <c r="J412" s="3">
        <f t="shared" si="40"/>
        <v>0.71967058398866823</v>
      </c>
      <c r="K412" s="19">
        <v>32.74</v>
      </c>
      <c r="L412" s="21">
        <f t="shared" si="41"/>
        <v>3782.58858944444</v>
      </c>
      <c r="M412" s="19">
        <f t="shared" si="37"/>
        <v>1.99</v>
      </c>
      <c r="N412" s="2">
        <v>25.9</v>
      </c>
    </row>
    <row r="413" spans="1:14" x14ac:dyDescent="0.25">
      <c r="A413" s="2">
        <v>6629441</v>
      </c>
      <c r="B413" s="2">
        <v>1.87</v>
      </c>
      <c r="C413" s="19">
        <f t="shared" si="38"/>
        <v>29.709570000000262</v>
      </c>
      <c r="H413" s="2">
        <f t="shared" si="39"/>
        <v>6032.0729999999994</v>
      </c>
      <c r="I413" s="2" t="str">
        <f t="shared" si="36"/>
        <v>01:40</v>
      </c>
      <c r="J413" s="3">
        <f t="shared" si="40"/>
        <v>0.72124072446304666</v>
      </c>
      <c r="K413" s="19">
        <v>32.738999999999997</v>
      </c>
      <c r="L413" s="21">
        <f t="shared" si="41"/>
        <v>3790.8412477777733</v>
      </c>
      <c r="M413" s="19">
        <f t="shared" si="37"/>
        <v>1.9700000000000002</v>
      </c>
      <c r="N413" s="2">
        <v>25.9</v>
      </c>
    </row>
    <row r="414" spans="1:14" x14ac:dyDescent="0.25">
      <c r="A414" s="2">
        <v>6644517</v>
      </c>
      <c r="B414" s="2">
        <v>1.88</v>
      </c>
      <c r="C414" s="19">
        <f t="shared" si="38"/>
        <v>29.850480000000044</v>
      </c>
      <c r="H414" s="2">
        <f t="shared" si="39"/>
        <v>6047.1489999999994</v>
      </c>
      <c r="I414" s="2" t="str">
        <f t="shared" si="36"/>
        <v>01:40</v>
      </c>
      <c r="J414" s="3">
        <f t="shared" si="40"/>
        <v>0.72281831198207258</v>
      </c>
      <c r="K414" s="19">
        <v>32.74</v>
      </c>
      <c r="L414" s="21">
        <f t="shared" si="41"/>
        <v>3799.1330477777733</v>
      </c>
      <c r="M414" s="19">
        <f t="shared" si="37"/>
        <v>1.98</v>
      </c>
      <c r="N414" s="2">
        <v>25.9</v>
      </c>
    </row>
    <row r="415" spans="1:14" x14ac:dyDescent="0.25">
      <c r="A415" s="2">
        <v>6659604</v>
      </c>
      <c r="B415" s="2">
        <v>1.91</v>
      </c>
      <c r="C415" s="19">
        <f t="shared" si="38"/>
        <v>30.324870000000889</v>
      </c>
      <c r="H415" s="2">
        <f t="shared" si="39"/>
        <v>6062.2359999999999</v>
      </c>
      <c r="I415" s="2" t="str">
        <f t="shared" si="36"/>
        <v>01:41</v>
      </c>
      <c r="J415" s="3">
        <f t="shared" si="40"/>
        <v>0.7244209708481304</v>
      </c>
      <c r="K415" s="19">
        <v>32.779000000000003</v>
      </c>
      <c r="L415" s="21">
        <f t="shared" si="41"/>
        <v>3807.5566227777736</v>
      </c>
      <c r="M415" s="19">
        <f t="shared" si="37"/>
        <v>2.0099999999999998</v>
      </c>
      <c r="N415" s="2">
        <v>25.8</v>
      </c>
    </row>
    <row r="416" spans="1:14" x14ac:dyDescent="0.25">
      <c r="A416" s="2">
        <v>6674696</v>
      </c>
      <c r="B416" s="2">
        <v>1.88</v>
      </c>
      <c r="C416" s="19">
        <f t="shared" si="38"/>
        <v>29.882159999999296</v>
      </c>
      <c r="H416" s="2">
        <f t="shared" si="39"/>
        <v>6077.3279999999995</v>
      </c>
      <c r="I416" s="2" t="str">
        <f t="shared" si="36"/>
        <v>01:41</v>
      </c>
      <c r="J416" s="3">
        <f t="shared" si="40"/>
        <v>0.72600023264417302</v>
      </c>
      <c r="K416" s="19">
        <v>32.779000000000003</v>
      </c>
      <c r="L416" s="21">
        <f t="shared" si="41"/>
        <v>3815.8572227777731</v>
      </c>
      <c r="M416" s="19">
        <f t="shared" si="37"/>
        <v>1.98</v>
      </c>
      <c r="N416" s="2">
        <v>25.8</v>
      </c>
    </row>
    <row r="417" spans="1:14" x14ac:dyDescent="0.25">
      <c r="A417" s="2">
        <v>6689778</v>
      </c>
      <c r="B417" s="2">
        <v>1.9</v>
      </c>
      <c r="C417" s="19">
        <f t="shared" si="38"/>
        <v>30.164000000000669</v>
      </c>
      <c r="H417" s="2">
        <f t="shared" si="39"/>
        <v>6092.41</v>
      </c>
      <c r="I417" s="2" t="str">
        <f t="shared" si="36"/>
        <v>01:41</v>
      </c>
      <c r="J417" s="3">
        <f t="shared" si="40"/>
        <v>0.72759438958650346</v>
      </c>
      <c r="K417" s="19">
        <v>32.761000000000003</v>
      </c>
      <c r="L417" s="21">
        <f t="shared" si="41"/>
        <v>3824.2361116666621</v>
      </c>
      <c r="M417" s="19">
        <f t="shared" si="37"/>
        <v>2</v>
      </c>
      <c r="N417" s="2">
        <v>25.9</v>
      </c>
    </row>
    <row r="418" spans="1:14" x14ac:dyDescent="0.25">
      <c r="A418" s="2">
        <v>6704860</v>
      </c>
      <c r="B418" s="2">
        <v>1.91</v>
      </c>
      <c r="C418" s="19">
        <f t="shared" si="38"/>
        <v>30.314819999998843</v>
      </c>
      <c r="H418" s="2">
        <f t="shared" si="39"/>
        <v>6107.4919999999993</v>
      </c>
      <c r="I418" s="2" t="str">
        <f t="shared" si="36"/>
        <v>01:41</v>
      </c>
      <c r="J418" s="3">
        <f t="shared" si="40"/>
        <v>0.72919651731354551</v>
      </c>
      <c r="K418" s="19">
        <v>32.779000000000003</v>
      </c>
      <c r="L418" s="21">
        <f t="shared" si="41"/>
        <v>3832.6568949999951</v>
      </c>
      <c r="M418" s="19">
        <f t="shared" si="37"/>
        <v>2.0099999999999998</v>
      </c>
      <c r="N418" s="2">
        <v>25.9</v>
      </c>
    </row>
    <row r="419" spans="1:14" x14ac:dyDescent="0.25">
      <c r="A419" s="2">
        <v>6719931</v>
      </c>
      <c r="B419" s="2">
        <v>1.89</v>
      </c>
      <c r="C419" s="19">
        <f t="shared" si="38"/>
        <v>29.991289999999825</v>
      </c>
      <c r="H419" s="2">
        <f t="shared" si="39"/>
        <v>6122.5629999999992</v>
      </c>
      <c r="I419" s="2" t="str">
        <f t="shared" si="36"/>
        <v>01:42</v>
      </c>
      <c r="J419" s="3">
        <f t="shared" si="40"/>
        <v>0.73078154659225347</v>
      </c>
      <c r="K419" s="19">
        <v>32.798999999999999</v>
      </c>
      <c r="L419" s="21">
        <f t="shared" si="41"/>
        <v>3840.987808888884</v>
      </c>
      <c r="M419" s="19">
        <f t="shared" si="37"/>
        <v>1.99</v>
      </c>
      <c r="N419" s="2">
        <v>25.8</v>
      </c>
    </row>
    <row r="420" spans="1:14" x14ac:dyDescent="0.25">
      <c r="A420" s="2">
        <v>6735020</v>
      </c>
      <c r="B420" s="2">
        <v>1.88</v>
      </c>
      <c r="C420" s="19">
        <f t="shared" si="38"/>
        <v>29.876220000001684</v>
      </c>
      <c r="H420" s="2">
        <f t="shared" si="39"/>
        <v>6137.652</v>
      </c>
      <c r="I420" s="2" t="str">
        <f t="shared" si="36"/>
        <v>01:42</v>
      </c>
      <c r="J420" s="3">
        <f t="shared" si="40"/>
        <v>0.73236049446135543</v>
      </c>
      <c r="K420" s="19">
        <v>32.817999999999998</v>
      </c>
      <c r="L420" s="21">
        <f t="shared" si="41"/>
        <v>3849.2867588888844</v>
      </c>
      <c r="M420" s="19">
        <f t="shared" si="37"/>
        <v>1.98</v>
      </c>
      <c r="N420" s="2">
        <v>25.9</v>
      </c>
    </row>
    <row r="421" spans="1:14" x14ac:dyDescent="0.25">
      <c r="A421" s="2">
        <v>6750091</v>
      </c>
      <c r="B421" s="2">
        <v>1.89</v>
      </c>
      <c r="C421" s="19">
        <f t="shared" si="38"/>
        <v>29.991289999999825</v>
      </c>
      <c r="H421" s="2">
        <f t="shared" si="39"/>
        <v>6152.723</v>
      </c>
      <c r="I421" s="2" t="str">
        <f t="shared" si="36"/>
        <v>01:42</v>
      </c>
      <c r="J421" s="3">
        <f t="shared" si="40"/>
        <v>0.73394552374006339</v>
      </c>
      <c r="K421" s="19">
        <v>32.817</v>
      </c>
      <c r="L421" s="21">
        <f t="shared" si="41"/>
        <v>3857.6176727777734</v>
      </c>
      <c r="M421" s="19">
        <f t="shared" si="37"/>
        <v>1.99</v>
      </c>
      <c r="N421" s="2">
        <v>25.6</v>
      </c>
    </row>
    <row r="422" spans="1:14" x14ac:dyDescent="0.25">
      <c r="A422" s="2">
        <v>6765162</v>
      </c>
      <c r="B422" s="2">
        <v>1.9</v>
      </c>
      <c r="C422" s="19">
        <f t="shared" si="38"/>
        <v>30.141999999999825</v>
      </c>
      <c r="H422" s="2">
        <f t="shared" si="39"/>
        <v>6167.7939999999999</v>
      </c>
      <c r="I422" s="2" t="str">
        <f t="shared" si="36"/>
        <v>01:42</v>
      </c>
      <c r="J422" s="3">
        <f t="shared" si="40"/>
        <v>0.73553851799002112</v>
      </c>
      <c r="K422" s="19">
        <v>32.817999999999998</v>
      </c>
      <c r="L422" s="21">
        <f t="shared" si="41"/>
        <v>3865.990450555551</v>
      </c>
      <c r="M422" s="19">
        <f t="shared" si="37"/>
        <v>2</v>
      </c>
      <c r="N422" s="2">
        <v>25.9</v>
      </c>
    </row>
    <row r="423" spans="1:14" x14ac:dyDescent="0.25">
      <c r="A423" s="2">
        <v>6780234</v>
      </c>
      <c r="B423" s="2">
        <v>1.88</v>
      </c>
      <c r="C423" s="19">
        <f t="shared" si="38"/>
        <v>29.84256000000023</v>
      </c>
      <c r="H423" s="2">
        <f t="shared" si="39"/>
        <v>6182.866</v>
      </c>
      <c r="I423" s="2" t="str">
        <f t="shared" si="36"/>
        <v>01:43</v>
      </c>
      <c r="J423" s="3">
        <f t="shared" si="40"/>
        <v>0.73711568693979279</v>
      </c>
      <c r="K423" s="19">
        <v>32.838000000000001</v>
      </c>
      <c r="L423" s="21">
        <f t="shared" si="41"/>
        <v>3874.280050555551</v>
      </c>
      <c r="M423" s="19">
        <f t="shared" si="37"/>
        <v>1.98</v>
      </c>
      <c r="N423" s="2">
        <v>25.8</v>
      </c>
    </row>
    <row r="424" spans="1:14" x14ac:dyDescent="0.25">
      <c r="A424" s="2">
        <v>6795305</v>
      </c>
      <c r="B424" s="2">
        <v>1.9</v>
      </c>
      <c r="C424" s="19">
        <f t="shared" si="38"/>
        <v>30.141999999999825</v>
      </c>
      <c r="H424" s="2">
        <f t="shared" si="39"/>
        <v>6197.9369999999999</v>
      </c>
      <c r="I424" s="2" t="str">
        <f t="shared" si="36"/>
        <v>01:43</v>
      </c>
      <c r="J424" s="3">
        <f t="shared" si="40"/>
        <v>0.73870868118975053</v>
      </c>
      <c r="K424" s="19">
        <v>32.856000000000002</v>
      </c>
      <c r="L424" s="21">
        <f t="shared" si="41"/>
        <v>3882.6528283333287</v>
      </c>
      <c r="M424" s="19">
        <f t="shared" si="37"/>
        <v>2</v>
      </c>
      <c r="N424" s="2">
        <v>25.9</v>
      </c>
    </row>
    <row r="425" spans="1:14" x14ac:dyDescent="0.25">
      <c r="A425" s="2">
        <v>6810377</v>
      </c>
      <c r="B425" s="2">
        <v>1.89</v>
      </c>
      <c r="C425" s="19">
        <f t="shared" si="38"/>
        <v>29.993280000000233</v>
      </c>
      <c r="H425" s="2">
        <f t="shared" si="39"/>
        <v>6213.009</v>
      </c>
      <c r="I425" s="2" t="str">
        <f t="shared" si="36"/>
        <v>01:43</v>
      </c>
      <c r="J425" s="3">
        <f t="shared" si="40"/>
        <v>0.74029381563926844</v>
      </c>
      <c r="K425" s="19">
        <v>32.856000000000002</v>
      </c>
      <c r="L425" s="21">
        <f t="shared" si="41"/>
        <v>3890.9842949999952</v>
      </c>
      <c r="M425" s="19">
        <f t="shared" si="37"/>
        <v>1.99</v>
      </c>
      <c r="N425" s="2">
        <v>25.9</v>
      </c>
    </row>
    <row r="426" spans="1:14" x14ac:dyDescent="0.25">
      <c r="A426" s="2">
        <v>6825448</v>
      </c>
      <c r="B426" s="2">
        <v>1.87</v>
      </c>
      <c r="C426" s="19">
        <f t="shared" si="38"/>
        <v>29.689869999999832</v>
      </c>
      <c r="H426" s="2">
        <f t="shared" si="39"/>
        <v>6228.08</v>
      </c>
      <c r="I426" s="2" t="str">
        <f t="shared" si="36"/>
        <v>01:43</v>
      </c>
      <c r="J426" s="3">
        <f t="shared" si="40"/>
        <v>0.74186291497547685</v>
      </c>
      <c r="K426" s="19">
        <v>32.856000000000002</v>
      </c>
      <c r="L426" s="21">
        <f t="shared" si="41"/>
        <v>3899.2314811111064</v>
      </c>
      <c r="M426" s="19">
        <f t="shared" si="37"/>
        <v>1.9700000000000002</v>
      </c>
      <c r="N426" s="2">
        <v>25.8</v>
      </c>
    </row>
    <row r="427" spans="1:14" x14ac:dyDescent="0.25">
      <c r="A427" s="2">
        <v>6840541</v>
      </c>
      <c r="B427" s="2">
        <v>1.89</v>
      </c>
      <c r="C427" s="19">
        <f t="shared" si="38"/>
        <v>30.035069999999696</v>
      </c>
      <c r="H427" s="2">
        <f t="shared" si="39"/>
        <v>6243.1729999999998</v>
      </c>
      <c r="I427" s="2" t="str">
        <f t="shared" si="36"/>
        <v>01:44</v>
      </c>
      <c r="J427" s="3">
        <f t="shared" si="40"/>
        <v>0.74345025801200648</v>
      </c>
      <c r="K427" s="19">
        <v>32.854999999999997</v>
      </c>
      <c r="L427" s="21">
        <f t="shared" si="41"/>
        <v>3907.5745561111062</v>
      </c>
      <c r="M427" s="19">
        <f t="shared" si="37"/>
        <v>1.99</v>
      </c>
      <c r="N427" s="2">
        <v>25.9</v>
      </c>
    </row>
    <row r="428" spans="1:14" x14ac:dyDescent="0.25">
      <c r="A428" s="2">
        <v>6855622</v>
      </c>
      <c r="B428" s="2">
        <v>1.87</v>
      </c>
      <c r="C428" s="19">
        <f t="shared" si="38"/>
        <v>29.709570000000262</v>
      </c>
      <c r="H428" s="2">
        <f t="shared" si="39"/>
        <v>6258.2539999999999</v>
      </c>
      <c r="I428" s="2" t="str">
        <f t="shared" si="36"/>
        <v>01:44</v>
      </c>
      <c r="J428" s="3">
        <f t="shared" si="40"/>
        <v>0.74502039848638502</v>
      </c>
      <c r="K428" s="19">
        <v>32.875999999999998</v>
      </c>
      <c r="L428" s="21">
        <f t="shared" si="41"/>
        <v>3915.8272144444395</v>
      </c>
      <c r="M428" s="19">
        <f t="shared" si="37"/>
        <v>1.9700000000000002</v>
      </c>
      <c r="N428" s="2">
        <v>25.9</v>
      </c>
    </row>
    <row r="429" spans="1:14" x14ac:dyDescent="0.25">
      <c r="A429" s="2">
        <v>6870703</v>
      </c>
      <c r="B429" s="2">
        <v>1.87</v>
      </c>
      <c r="C429" s="19">
        <f t="shared" si="38"/>
        <v>29.709570000000262</v>
      </c>
      <c r="H429" s="2">
        <f t="shared" si="39"/>
        <v>6273.335</v>
      </c>
      <c r="I429" s="2" t="str">
        <f t="shared" si="36"/>
        <v>01:44</v>
      </c>
      <c r="J429" s="3">
        <f t="shared" si="40"/>
        <v>0.74659053896076344</v>
      </c>
      <c r="K429" s="19">
        <v>32.895000000000003</v>
      </c>
      <c r="L429" s="21">
        <f t="shared" si="41"/>
        <v>3924.0798727777728</v>
      </c>
      <c r="M429" s="19">
        <f t="shared" si="37"/>
        <v>1.9700000000000002</v>
      </c>
      <c r="N429" s="2">
        <v>25.9</v>
      </c>
    </row>
    <row r="430" spans="1:14" x14ac:dyDescent="0.25">
      <c r="A430" s="2">
        <v>6885795</v>
      </c>
      <c r="B430" s="2">
        <v>1.85</v>
      </c>
      <c r="C430" s="19">
        <f t="shared" si="38"/>
        <v>29.429399999999308</v>
      </c>
      <c r="H430" s="2">
        <f t="shared" si="39"/>
        <v>6288.4269999999997</v>
      </c>
      <c r="I430" s="2" t="str">
        <f t="shared" si="36"/>
        <v>01:44</v>
      </c>
      <c r="J430" s="3">
        <f t="shared" si="40"/>
        <v>0.74814587254777509</v>
      </c>
      <c r="K430" s="19">
        <v>32.911999999999999</v>
      </c>
      <c r="L430" s="21">
        <f t="shared" si="41"/>
        <v>3932.2547061111059</v>
      </c>
      <c r="M430" s="19">
        <f t="shared" si="37"/>
        <v>1.9500000000000002</v>
      </c>
      <c r="N430" s="2">
        <v>25.9</v>
      </c>
    </row>
    <row r="431" spans="1:14" x14ac:dyDescent="0.25">
      <c r="A431" s="2">
        <v>6900876</v>
      </c>
      <c r="B431" s="2">
        <v>1.85</v>
      </c>
      <c r="C431" s="19">
        <f t="shared" si="38"/>
        <v>29.407950000000259</v>
      </c>
      <c r="H431" s="2">
        <f t="shared" si="39"/>
        <v>6303.5079999999998</v>
      </c>
      <c r="I431" s="2" t="str">
        <f t="shared" si="36"/>
        <v>01:45</v>
      </c>
      <c r="J431" s="3">
        <f t="shared" si="40"/>
        <v>0.74970007250972337</v>
      </c>
      <c r="K431" s="19">
        <v>32.893999999999998</v>
      </c>
      <c r="L431" s="21">
        <f t="shared" si="41"/>
        <v>3940.4235811111062</v>
      </c>
      <c r="M431" s="19">
        <f t="shared" si="37"/>
        <v>1.9500000000000002</v>
      </c>
      <c r="N431" s="2">
        <v>26</v>
      </c>
    </row>
    <row r="432" spans="1:14" x14ac:dyDescent="0.25">
      <c r="A432" s="2">
        <v>6915967</v>
      </c>
      <c r="B432" s="2">
        <v>1.89</v>
      </c>
      <c r="C432" s="19">
        <f t="shared" si="38"/>
        <v>30.031089999998883</v>
      </c>
      <c r="H432" s="2">
        <f t="shared" si="39"/>
        <v>6318.5989999999993</v>
      </c>
      <c r="I432" s="2" t="str">
        <f t="shared" si="36"/>
        <v>01:45</v>
      </c>
      <c r="J432" s="3">
        <f t="shared" si="40"/>
        <v>0.75128720520463288</v>
      </c>
      <c r="K432" s="19">
        <v>32.895000000000003</v>
      </c>
      <c r="L432" s="21">
        <f t="shared" si="41"/>
        <v>3948.7655505555504</v>
      </c>
      <c r="M432" s="19">
        <f t="shared" si="37"/>
        <v>1.99</v>
      </c>
      <c r="N432" s="2">
        <v>26</v>
      </c>
    </row>
    <row r="433" spans="1:14" x14ac:dyDescent="0.25">
      <c r="A433" s="2">
        <v>6931060</v>
      </c>
      <c r="B433" s="2">
        <v>1.89</v>
      </c>
      <c r="C433" s="19">
        <f t="shared" si="38"/>
        <v>30.035070000001507</v>
      </c>
      <c r="H433" s="2">
        <f t="shared" si="39"/>
        <v>6333.692</v>
      </c>
      <c r="I433" s="2" t="str">
        <f t="shared" si="36"/>
        <v>01:45</v>
      </c>
      <c r="J433" s="3">
        <f t="shared" si="40"/>
        <v>0.75287454824116262</v>
      </c>
      <c r="K433" s="19">
        <v>32.933</v>
      </c>
      <c r="L433" s="21">
        <f t="shared" si="41"/>
        <v>3957.1086255555506</v>
      </c>
      <c r="M433" s="19">
        <f t="shared" si="37"/>
        <v>1.99</v>
      </c>
      <c r="N433" s="2">
        <v>25.9</v>
      </c>
    </row>
    <row r="434" spans="1:14" x14ac:dyDescent="0.25">
      <c r="A434" s="2">
        <v>6946140</v>
      </c>
      <c r="B434" s="2">
        <v>1.86</v>
      </c>
      <c r="C434" s="19">
        <f t="shared" si="38"/>
        <v>29.556799999999861</v>
      </c>
      <c r="H434" s="2">
        <f t="shared" si="39"/>
        <v>6348.7719999999999</v>
      </c>
      <c r="I434" s="2" t="str">
        <f t="shared" si="36"/>
        <v>01:45</v>
      </c>
      <c r="J434" s="3">
        <f t="shared" si="40"/>
        <v>0.75443661487400548</v>
      </c>
      <c r="K434" s="19">
        <v>32.933</v>
      </c>
      <c r="L434" s="21">
        <f t="shared" si="41"/>
        <v>3965.3188477777726</v>
      </c>
      <c r="M434" s="19">
        <f t="shared" si="37"/>
        <v>1.9600000000000002</v>
      </c>
      <c r="N434" s="2">
        <v>25.9</v>
      </c>
    </row>
    <row r="435" spans="1:14" x14ac:dyDescent="0.25">
      <c r="A435" s="2">
        <v>6961221</v>
      </c>
      <c r="B435" s="2">
        <v>1.88</v>
      </c>
      <c r="C435" s="19">
        <f t="shared" si="38"/>
        <v>29.860379999998457</v>
      </c>
      <c r="H435" s="2">
        <f t="shared" si="39"/>
        <v>6363.8529999999992</v>
      </c>
      <c r="I435" s="2" t="str">
        <f t="shared" si="36"/>
        <v>01:46</v>
      </c>
      <c r="J435" s="3">
        <f t="shared" si="40"/>
        <v>0.75601472560459893</v>
      </c>
      <c r="K435" s="19">
        <v>32.933</v>
      </c>
      <c r="L435" s="21">
        <f t="shared" si="41"/>
        <v>3973.6133977777722</v>
      </c>
      <c r="M435" s="19">
        <f t="shared" si="37"/>
        <v>1.98</v>
      </c>
      <c r="N435" s="2">
        <v>25.9</v>
      </c>
    </row>
    <row r="436" spans="1:14" x14ac:dyDescent="0.25">
      <c r="A436" s="2">
        <v>6976312</v>
      </c>
      <c r="B436" s="2">
        <v>1.89</v>
      </c>
      <c r="C436" s="19">
        <f t="shared" si="38"/>
        <v>30.031090000000695</v>
      </c>
      <c r="H436" s="2">
        <f t="shared" si="39"/>
        <v>6378.9439999999995</v>
      </c>
      <c r="I436" s="2" t="str">
        <f t="shared" si="36"/>
        <v>01:46</v>
      </c>
      <c r="J436" s="3">
        <f t="shared" si="40"/>
        <v>0.75760185829950855</v>
      </c>
      <c r="K436" s="19">
        <v>32.933</v>
      </c>
      <c r="L436" s="21">
        <f t="shared" si="41"/>
        <v>3981.9553672222169</v>
      </c>
      <c r="M436" s="19">
        <f t="shared" si="37"/>
        <v>1.99</v>
      </c>
      <c r="N436" s="2">
        <v>25.9</v>
      </c>
    </row>
    <row r="437" spans="1:14" x14ac:dyDescent="0.25">
      <c r="A437" s="2">
        <v>6991393</v>
      </c>
      <c r="B437" s="2">
        <v>1.91</v>
      </c>
      <c r="C437" s="19">
        <f t="shared" si="38"/>
        <v>30.312810000000258</v>
      </c>
      <c r="H437" s="2">
        <f t="shared" si="39"/>
        <v>6394.0249999999996</v>
      </c>
      <c r="I437" s="2" t="str">
        <f t="shared" si="36"/>
        <v>01:46</v>
      </c>
      <c r="J437" s="3">
        <f t="shared" si="40"/>
        <v>0.75920387979874748</v>
      </c>
      <c r="K437" s="19">
        <v>32.972000000000001</v>
      </c>
      <c r="L437" s="21">
        <f t="shared" si="41"/>
        <v>3990.3755922222167</v>
      </c>
      <c r="M437" s="19">
        <f t="shared" si="37"/>
        <v>2.0099999999999998</v>
      </c>
      <c r="N437" s="2">
        <v>26</v>
      </c>
    </row>
    <row r="438" spans="1:14" x14ac:dyDescent="0.25">
      <c r="A438" s="2">
        <v>7006475</v>
      </c>
      <c r="B438" s="2">
        <v>1.88</v>
      </c>
      <c r="C438" s="19">
        <f t="shared" si="38"/>
        <v>29.862360000000663</v>
      </c>
      <c r="H438" s="2">
        <f t="shared" si="39"/>
        <v>6409.107</v>
      </c>
      <c r="I438" s="2" t="str">
        <f t="shared" si="36"/>
        <v>01:46</v>
      </c>
      <c r="J438" s="3">
        <f t="shared" si="40"/>
        <v>0.76078209517165463</v>
      </c>
      <c r="K438" s="19">
        <v>32.972000000000001</v>
      </c>
      <c r="L438" s="21">
        <f t="shared" si="41"/>
        <v>3998.670692222217</v>
      </c>
      <c r="M438" s="19">
        <f t="shared" si="37"/>
        <v>1.98</v>
      </c>
      <c r="N438" s="2">
        <v>26.1</v>
      </c>
    </row>
    <row r="439" spans="1:14" x14ac:dyDescent="0.25">
      <c r="A439" s="2">
        <v>7021555</v>
      </c>
      <c r="B439" s="2">
        <v>1.89</v>
      </c>
      <c r="C439" s="19">
        <f t="shared" si="38"/>
        <v>30.009199999999854</v>
      </c>
      <c r="H439" s="2">
        <f t="shared" si="39"/>
        <v>6424.1869999999999</v>
      </c>
      <c r="I439" s="2" t="str">
        <f t="shared" si="36"/>
        <v>01:47</v>
      </c>
      <c r="J439" s="3">
        <f t="shared" si="40"/>
        <v>0.76236807098765336</v>
      </c>
      <c r="K439" s="19">
        <v>32.972999999999999</v>
      </c>
      <c r="L439" s="21">
        <f t="shared" si="41"/>
        <v>4007.0065811111058</v>
      </c>
      <c r="M439" s="19">
        <f t="shared" si="37"/>
        <v>1.99</v>
      </c>
      <c r="N439" s="2">
        <v>26.1</v>
      </c>
    </row>
    <row r="440" spans="1:14" x14ac:dyDescent="0.25">
      <c r="A440" s="2">
        <v>7036637</v>
      </c>
      <c r="B440" s="2">
        <v>1.88</v>
      </c>
      <c r="C440" s="19">
        <f t="shared" si="38"/>
        <v>29.862359999998862</v>
      </c>
      <c r="H440" s="2">
        <f t="shared" si="39"/>
        <v>6439.2689999999993</v>
      </c>
      <c r="I440" s="2" t="str">
        <f t="shared" si="36"/>
        <v>01:47</v>
      </c>
      <c r="J440" s="3">
        <f t="shared" si="40"/>
        <v>0.76394628636056039</v>
      </c>
      <c r="K440" s="19">
        <v>33.012</v>
      </c>
      <c r="L440" s="21">
        <f t="shared" si="41"/>
        <v>4015.3016811111056</v>
      </c>
      <c r="M440" s="19">
        <f t="shared" si="37"/>
        <v>1.98</v>
      </c>
      <c r="N440" s="2">
        <v>26</v>
      </c>
    </row>
    <row r="441" spans="1:14" x14ac:dyDescent="0.25">
      <c r="A441" s="2">
        <v>7051718</v>
      </c>
      <c r="B441" s="2">
        <v>1.87</v>
      </c>
      <c r="C441" s="19">
        <f t="shared" si="38"/>
        <v>29.709570000000262</v>
      </c>
      <c r="H441" s="2">
        <f t="shared" si="39"/>
        <v>6454.3499999999995</v>
      </c>
      <c r="I441" s="2" t="str">
        <f t="shared" si="36"/>
        <v>01:47</v>
      </c>
      <c r="J441" s="3">
        <f t="shared" si="40"/>
        <v>0.76551642683493892</v>
      </c>
      <c r="K441" s="19">
        <v>33.011000000000003</v>
      </c>
      <c r="L441" s="21">
        <f t="shared" si="41"/>
        <v>4023.5543394444389</v>
      </c>
      <c r="M441" s="19">
        <f t="shared" si="37"/>
        <v>1.9700000000000002</v>
      </c>
      <c r="N441" s="2">
        <v>26.1</v>
      </c>
    </row>
    <row r="442" spans="1:14" x14ac:dyDescent="0.25">
      <c r="A442" s="2">
        <v>7066799</v>
      </c>
      <c r="B442" s="2">
        <v>1.87</v>
      </c>
      <c r="C442" s="19">
        <f t="shared" si="38"/>
        <v>29.709570000000262</v>
      </c>
      <c r="H442" s="2">
        <f t="shared" si="39"/>
        <v>6469.4309999999996</v>
      </c>
      <c r="I442" s="2" t="str">
        <f t="shared" si="36"/>
        <v>01:47</v>
      </c>
      <c r="J442" s="3">
        <f t="shared" si="40"/>
        <v>0.76708656730931746</v>
      </c>
      <c r="K442" s="19">
        <v>33.012</v>
      </c>
      <c r="L442" s="21">
        <f t="shared" si="41"/>
        <v>4031.8069977777723</v>
      </c>
      <c r="M442" s="19">
        <f t="shared" si="37"/>
        <v>1.9700000000000002</v>
      </c>
      <c r="N442" s="2">
        <v>26</v>
      </c>
    </row>
    <row r="443" spans="1:14" x14ac:dyDescent="0.25">
      <c r="A443" s="2">
        <v>7081892</v>
      </c>
      <c r="B443" s="2">
        <v>1.89</v>
      </c>
      <c r="C443" s="19">
        <f t="shared" si="38"/>
        <v>30.035069999999696</v>
      </c>
      <c r="H443" s="2">
        <f t="shared" si="39"/>
        <v>6484.5239999999994</v>
      </c>
      <c r="I443" s="2" t="str">
        <f t="shared" si="36"/>
        <v>01:48</v>
      </c>
      <c r="J443" s="3">
        <f t="shared" si="40"/>
        <v>0.76867391034584709</v>
      </c>
      <c r="K443" s="19">
        <v>32.994</v>
      </c>
      <c r="L443" s="21">
        <f t="shared" si="41"/>
        <v>4040.150072777772</v>
      </c>
      <c r="M443" s="19">
        <f t="shared" si="37"/>
        <v>1.99</v>
      </c>
      <c r="N443" s="2">
        <v>25.9</v>
      </c>
    </row>
    <row r="444" spans="1:14" x14ac:dyDescent="0.25">
      <c r="A444" s="2">
        <v>7096974</v>
      </c>
      <c r="B444" s="2">
        <v>1.91</v>
      </c>
      <c r="C444" s="19">
        <f t="shared" si="38"/>
        <v>30.314820000000669</v>
      </c>
      <c r="H444" s="2">
        <f t="shared" si="39"/>
        <v>6499.6059999999998</v>
      </c>
      <c r="I444" s="2" t="str">
        <f t="shared" si="36"/>
        <v>01:48</v>
      </c>
      <c r="J444" s="3">
        <f t="shared" si="40"/>
        <v>0.77027603807288914</v>
      </c>
      <c r="K444" s="19">
        <v>33.051000000000002</v>
      </c>
      <c r="L444" s="21">
        <f t="shared" si="41"/>
        <v>4048.5708561111055</v>
      </c>
      <c r="M444" s="19">
        <f t="shared" si="37"/>
        <v>2.0099999999999998</v>
      </c>
      <c r="N444" s="2">
        <v>25.9</v>
      </c>
    </row>
    <row r="445" spans="1:14" x14ac:dyDescent="0.25">
      <c r="A445" s="2">
        <v>7112055</v>
      </c>
      <c r="B445" s="2">
        <v>1.89</v>
      </c>
      <c r="C445" s="19">
        <f t="shared" si="38"/>
        <v>30.011190000000262</v>
      </c>
      <c r="H445" s="2">
        <f t="shared" si="39"/>
        <v>6514.6869999999999</v>
      </c>
      <c r="I445" s="2" t="str">
        <f t="shared" si="36"/>
        <v>01:48</v>
      </c>
      <c r="J445" s="3">
        <f t="shared" si="40"/>
        <v>0.77186211905969793</v>
      </c>
      <c r="K445" s="19">
        <v>33.051000000000002</v>
      </c>
      <c r="L445" s="21">
        <f t="shared" si="41"/>
        <v>4056.9072977777723</v>
      </c>
      <c r="M445" s="19">
        <f t="shared" si="37"/>
        <v>1.99</v>
      </c>
      <c r="N445" s="2">
        <v>26</v>
      </c>
    </row>
    <row r="446" spans="1:14" x14ac:dyDescent="0.25">
      <c r="A446" s="2">
        <v>7127135</v>
      </c>
      <c r="B446" s="2">
        <v>1.88</v>
      </c>
      <c r="C446" s="19">
        <f t="shared" si="38"/>
        <v>29.858399999999854</v>
      </c>
      <c r="H446" s="2">
        <f t="shared" si="39"/>
        <v>6529.7669999999998</v>
      </c>
      <c r="I446" s="2" t="str">
        <f t="shared" si="36"/>
        <v>01:48</v>
      </c>
      <c r="J446" s="3">
        <f t="shared" si="40"/>
        <v>0.773440125147978</v>
      </c>
      <c r="K446" s="19">
        <v>33.031999999999996</v>
      </c>
      <c r="L446" s="21">
        <f t="shared" si="41"/>
        <v>4065.2012977777722</v>
      </c>
      <c r="M446" s="19">
        <f t="shared" si="37"/>
        <v>1.98</v>
      </c>
      <c r="N446" s="2">
        <v>25.9</v>
      </c>
    </row>
    <row r="447" spans="1:14" x14ac:dyDescent="0.25">
      <c r="A447" s="2">
        <v>7142219</v>
      </c>
      <c r="B447" s="2">
        <v>1.87</v>
      </c>
      <c r="C447" s="19">
        <f t="shared" si="38"/>
        <v>29.715479999999673</v>
      </c>
      <c r="H447" s="2">
        <f t="shared" si="39"/>
        <v>6544.8509999999997</v>
      </c>
      <c r="I447" s="2" t="str">
        <f t="shared" si="36"/>
        <v>01:49</v>
      </c>
      <c r="J447" s="3">
        <f t="shared" si="40"/>
        <v>0.77501057796380746</v>
      </c>
      <c r="K447" s="19">
        <v>33.048999999999999</v>
      </c>
      <c r="L447" s="21">
        <f t="shared" si="41"/>
        <v>4073.4555977777723</v>
      </c>
      <c r="M447" s="19">
        <f t="shared" si="37"/>
        <v>1.9700000000000002</v>
      </c>
      <c r="N447" s="2">
        <v>25.9</v>
      </c>
    </row>
    <row r="448" spans="1:14" x14ac:dyDescent="0.25">
      <c r="A448" s="2">
        <v>7157299</v>
      </c>
      <c r="B448" s="2">
        <v>1.9</v>
      </c>
      <c r="C448" s="19">
        <f t="shared" si="38"/>
        <v>30.159999999999854</v>
      </c>
      <c r="H448" s="2">
        <f t="shared" si="39"/>
        <v>6559.9309999999996</v>
      </c>
      <c r="I448" s="2" t="str">
        <f t="shared" si="36"/>
        <v>01:49</v>
      </c>
      <c r="J448" s="3">
        <f t="shared" si="40"/>
        <v>0.77660452350752474</v>
      </c>
      <c r="K448" s="19">
        <v>33.048999999999999</v>
      </c>
      <c r="L448" s="21">
        <f t="shared" si="41"/>
        <v>4081.83337555555</v>
      </c>
      <c r="M448" s="19">
        <f t="shared" si="37"/>
        <v>2</v>
      </c>
      <c r="N448" s="2">
        <v>25.9</v>
      </c>
    </row>
    <row r="449" spans="1:14" x14ac:dyDescent="0.25">
      <c r="A449" s="2">
        <v>7172381</v>
      </c>
      <c r="B449" s="2">
        <v>1.89</v>
      </c>
      <c r="C449" s="19">
        <f t="shared" si="38"/>
        <v>30.013180000000666</v>
      </c>
      <c r="H449" s="2">
        <f t="shared" si="39"/>
        <v>6575.0129999999999</v>
      </c>
      <c r="I449" s="2" t="str">
        <f t="shared" si="36"/>
        <v>01:49</v>
      </c>
      <c r="J449" s="3">
        <f t="shared" si="40"/>
        <v>0.77819070966514359</v>
      </c>
      <c r="K449" s="19">
        <v>33.088000000000001</v>
      </c>
      <c r="L449" s="21">
        <f t="shared" si="41"/>
        <v>4090.1703699999948</v>
      </c>
      <c r="M449" s="19">
        <f t="shared" si="37"/>
        <v>1.99</v>
      </c>
      <c r="N449" s="2">
        <v>26</v>
      </c>
    </row>
    <row r="450" spans="1:14" x14ac:dyDescent="0.25">
      <c r="A450" s="2">
        <v>7187462</v>
      </c>
      <c r="B450" s="2">
        <v>1.88</v>
      </c>
      <c r="C450" s="19">
        <f t="shared" si="38"/>
        <v>29.860380000000259</v>
      </c>
      <c r="H450" s="2">
        <f t="shared" si="39"/>
        <v>6590.0940000000001</v>
      </c>
      <c r="I450" s="2" t="str">
        <f t="shared" si="36"/>
        <v>01:49</v>
      </c>
      <c r="J450" s="3">
        <f t="shared" si="40"/>
        <v>0.77976882039573725</v>
      </c>
      <c r="K450" s="19">
        <v>33.088000000000001</v>
      </c>
      <c r="L450" s="21">
        <f t="shared" si="41"/>
        <v>4098.4649199999949</v>
      </c>
      <c r="M450" s="19">
        <f t="shared" si="37"/>
        <v>1.98</v>
      </c>
      <c r="N450" s="2">
        <v>26.1</v>
      </c>
    </row>
    <row r="451" spans="1:14" x14ac:dyDescent="0.25">
      <c r="A451" s="2">
        <v>7202544</v>
      </c>
      <c r="B451" s="2">
        <v>1.89</v>
      </c>
      <c r="C451" s="19">
        <f t="shared" si="38"/>
        <v>30.013179999998854</v>
      </c>
      <c r="H451" s="2">
        <f t="shared" si="39"/>
        <v>6605.1759999999995</v>
      </c>
      <c r="I451" s="2" t="str">
        <f t="shared" si="36"/>
        <v>01:50</v>
      </c>
      <c r="J451" s="3">
        <f t="shared" si="40"/>
        <v>0.78135500655335599</v>
      </c>
      <c r="K451" s="19">
        <v>33.088000000000001</v>
      </c>
      <c r="L451" s="21">
        <f t="shared" si="41"/>
        <v>4106.8019144444388</v>
      </c>
      <c r="M451" s="19">
        <f t="shared" si="37"/>
        <v>1.99</v>
      </c>
      <c r="N451" s="2">
        <v>26</v>
      </c>
    </row>
    <row r="452" spans="1:14" x14ac:dyDescent="0.25">
      <c r="A452" s="2">
        <v>7217625</v>
      </c>
      <c r="B452" s="2">
        <v>1.9</v>
      </c>
      <c r="C452" s="19">
        <f t="shared" si="38"/>
        <v>30.162000000000262</v>
      </c>
      <c r="H452" s="2">
        <f t="shared" si="39"/>
        <v>6620.2569999999996</v>
      </c>
      <c r="I452" s="2" t="str">
        <f t="shared" si="36"/>
        <v>01:50</v>
      </c>
      <c r="J452" s="3">
        <f t="shared" si="40"/>
        <v>0.78294905779637969</v>
      </c>
      <c r="K452" s="19">
        <v>33.07</v>
      </c>
      <c r="L452" s="21">
        <f t="shared" si="41"/>
        <v>4115.1802477777719</v>
      </c>
      <c r="M452" s="19">
        <f t="shared" si="37"/>
        <v>2</v>
      </c>
      <c r="N452" s="2">
        <v>25.9</v>
      </c>
    </row>
    <row r="453" spans="1:14" x14ac:dyDescent="0.25">
      <c r="A453" s="2">
        <v>7232705</v>
      </c>
      <c r="B453" s="2">
        <v>1.86</v>
      </c>
      <c r="C453" s="19">
        <f t="shared" si="38"/>
        <v>29.556799999999861</v>
      </c>
      <c r="H453" s="2">
        <f t="shared" si="39"/>
        <v>6635.3369999999995</v>
      </c>
      <c r="I453" s="2" t="str">
        <f t="shared" si="36"/>
        <v>01:50</v>
      </c>
      <c r="J453" s="3">
        <f t="shared" si="40"/>
        <v>0.78451112442922255</v>
      </c>
      <c r="K453" s="19">
        <v>33.072000000000003</v>
      </c>
      <c r="L453" s="21">
        <f t="shared" si="41"/>
        <v>4123.3904699999939</v>
      </c>
      <c r="M453" s="19">
        <f t="shared" si="37"/>
        <v>1.9600000000000002</v>
      </c>
      <c r="N453" s="2">
        <v>26</v>
      </c>
    </row>
    <row r="454" spans="1:14" x14ac:dyDescent="0.25">
      <c r="A454" s="2">
        <v>7247797</v>
      </c>
      <c r="B454" s="2">
        <v>1.9</v>
      </c>
      <c r="C454" s="19">
        <f t="shared" si="38"/>
        <v>30.183999999999287</v>
      </c>
      <c r="H454" s="2">
        <f t="shared" si="39"/>
        <v>6650.4289999999992</v>
      </c>
      <c r="I454" s="2" t="str">
        <f t="shared" si="36"/>
        <v>01:50</v>
      </c>
      <c r="J454" s="3">
        <f t="shared" si="40"/>
        <v>0.78610633836461907</v>
      </c>
      <c r="K454" s="19">
        <v>33.128999999999998</v>
      </c>
      <c r="L454" s="21">
        <f t="shared" si="41"/>
        <v>4131.7749144444379</v>
      </c>
      <c r="M454" s="19">
        <f t="shared" si="37"/>
        <v>2</v>
      </c>
      <c r="N454" s="2">
        <v>26</v>
      </c>
    </row>
    <row r="455" spans="1:14" x14ac:dyDescent="0.25">
      <c r="A455" s="2">
        <v>7262878</v>
      </c>
      <c r="B455" s="2">
        <v>1.9</v>
      </c>
      <c r="C455" s="19">
        <f t="shared" si="38"/>
        <v>30.162000000000262</v>
      </c>
      <c r="H455" s="2">
        <f t="shared" si="39"/>
        <v>6665.5099999999993</v>
      </c>
      <c r="I455" s="2" t="str">
        <f t="shared" si="36"/>
        <v>01:51</v>
      </c>
      <c r="J455" s="3">
        <f t="shared" si="40"/>
        <v>0.78770038960764288</v>
      </c>
      <c r="K455" s="19">
        <v>33.128999999999998</v>
      </c>
      <c r="L455" s="21">
        <f t="shared" si="41"/>
        <v>4140.153247777771</v>
      </c>
      <c r="M455" s="19">
        <f t="shared" si="37"/>
        <v>2</v>
      </c>
      <c r="N455" s="2">
        <v>26</v>
      </c>
    </row>
    <row r="456" spans="1:14" x14ac:dyDescent="0.25">
      <c r="A456" s="2">
        <v>7277960</v>
      </c>
      <c r="B456" s="2">
        <v>1.88</v>
      </c>
      <c r="C456" s="19">
        <f t="shared" si="38"/>
        <v>29.862360000000663</v>
      </c>
      <c r="H456" s="2">
        <f t="shared" si="39"/>
        <v>6680.5919999999996</v>
      </c>
      <c r="I456" s="2" t="str">
        <f t="shared" si="36"/>
        <v>01:51</v>
      </c>
      <c r="J456" s="3">
        <f t="shared" si="40"/>
        <v>0.78927860498055014</v>
      </c>
      <c r="K456" s="19">
        <v>33.128999999999998</v>
      </c>
      <c r="L456" s="21">
        <f t="shared" si="41"/>
        <v>4148.4483477777712</v>
      </c>
      <c r="M456" s="19">
        <f t="shared" si="37"/>
        <v>1.98</v>
      </c>
      <c r="N456" s="2">
        <v>26.1</v>
      </c>
    </row>
    <row r="457" spans="1:14" x14ac:dyDescent="0.25">
      <c r="A457" s="2">
        <v>7293051</v>
      </c>
      <c r="B457" s="2">
        <v>1.89</v>
      </c>
      <c r="C457" s="19">
        <f t="shared" si="38"/>
        <v>30.031090000000695</v>
      </c>
      <c r="H457" s="2">
        <f t="shared" si="39"/>
        <v>6695.683</v>
      </c>
      <c r="I457" s="2" t="str">
        <f t="shared" si="36"/>
        <v>01:51</v>
      </c>
      <c r="J457" s="3">
        <f t="shared" si="40"/>
        <v>0.79086573767545965</v>
      </c>
      <c r="K457" s="19">
        <v>33.110999999999997</v>
      </c>
      <c r="L457" s="21">
        <f t="shared" si="41"/>
        <v>4156.7903172222159</v>
      </c>
      <c r="M457" s="19">
        <f t="shared" si="37"/>
        <v>1.99</v>
      </c>
      <c r="N457" s="2">
        <v>25.9</v>
      </c>
    </row>
    <row r="458" spans="1:14" x14ac:dyDescent="0.25">
      <c r="A458" s="2">
        <v>7308132</v>
      </c>
      <c r="B458" s="2">
        <v>1.88</v>
      </c>
      <c r="C458" s="19">
        <f t="shared" si="38"/>
        <v>29.860379999998457</v>
      </c>
      <c r="H458" s="2">
        <f t="shared" si="39"/>
        <v>6710.7639999999992</v>
      </c>
      <c r="I458" s="2" t="str">
        <f t="shared" si="36"/>
        <v>01:51</v>
      </c>
      <c r="J458" s="3">
        <f t="shared" si="40"/>
        <v>0.7924438484060532</v>
      </c>
      <c r="K458" s="19">
        <v>33.110999999999997</v>
      </c>
      <c r="L458" s="21">
        <f t="shared" si="41"/>
        <v>4165.0848672222155</v>
      </c>
      <c r="M458" s="19">
        <f t="shared" si="37"/>
        <v>1.98</v>
      </c>
      <c r="N458" s="2">
        <v>25.9</v>
      </c>
    </row>
    <row r="459" spans="1:14" x14ac:dyDescent="0.25">
      <c r="A459" s="2">
        <v>7323214</v>
      </c>
      <c r="B459" s="2">
        <v>1.88</v>
      </c>
      <c r="C459" s="19">
        <f t="shared" si="38"/>
        <v>29.862360000000663</v>
      </c>
      <c r="H459" s="2">
        <f t="shared" si="39"/>
        <v>6725.8459999999995</v>
      </c>
      <c r="I459" s="2" t="str">
        <f t="shared" si="36"/>
        <v>01:52</v>
      </c>
      <c r="J459" s="3">
        <f t="shared" si="40"/>
        <v>0.79402206377896034</v>
      </c>
      <c r="K459" s="19">
        <v>33.128999999999998</v>
      </c>
      <c r="L459" s="21">
        <f t="shared" si="41"/>
        <v>4173.3799672222158</v>
      </c>
      <c r="M459" s="19">
        <f t="shared" si="37"/>
        <v>1.98</v>
      </c>
      <c r="N459" s="2">
        <v>26</v>
      </c>
    </row>
    <row r="460" spans="1:14" x14ac:dyDescent="0.25">
      <c r="A460" s="2">
        <v>7338296</v>
      </c>
      <c r="B460" s="2">
        <v>1.88</v>
      </c>
      <c r="C460" s="19">
        <f t="shared" si="38"/>
        <v>29.862360000000663</v>
      </c>
      <c r="H460" s="2">
        <f t="shared" si="39"/>
        <v>6740.9279999999999</v>
      </c>
      <c r="I460" s="2" t="str">
        <f t="shared" si="36"/>
        <v>01:52</v>
      </c>
      <c r="J460" s="3">
        <f t="shared" si="40"/>
        <v>0.7956002791518676</v>
      </c>
      <c r="K460" s="19">
        <v>33.167000000000002</v>
      </c>
      <c r="L460" s="21">
        <f t="shared" si="41"/>
        <v>4181.6750672222161</v>
      </c>
      <c r="M460" s="19">
        <f t="shared" si="37"/>
        <v>1.98</v>
      </c>
      <c r="N460" s="2">
        <v>26</v>
      </c>
    </row>
    <row r="461" spans="1:14" x14ac:dyDescent="0.25">
      <c r="A461" s="2">
        <v>7353378</v>
      </c>
      <c r="B461" s="2">
        <v>1.87</v>
      </c>
      <c r="C461" s="19">
        <f t="shared" si="38"/>
        <v>29.71153999999887</v>
      </c>
      <c r="H461" s="2">
        <f t="shared" si="39"/>
        <v>6756.0099999999993</v>
      </c>
      <c r="I461" s="2" t="str">
        <f t="shared" si="36"/>
        <v>01:52</v>
      </c>
      <c r="J461" s="3">
        <f t="shared" si="40"/>
        <v>0.79717052374006292</v>
      </c>
      <c r="K461" s="19">
        <v>33.148000000000003</v>
      </c>
      <c r="L461" s="21">
        <f t="shared" si="41"/>
        <v>4189.9282727777709</v>
      </c>
      <c r="M461" s="19">
        <f t="shared" si="37"/>
        <v>1.9700000000000002</v>
      </c>
      <c r="N461" s="2">
        <v>25.9</v>
      </c>
    </row>
    <row r="462" spans="1:14" x14ac:dyDescent="0.25">
      <c r="A462" s="2">
        <v>7368459</v>
      </c>
      <c r="B462" s="2">
        <v>1.93</v>
      </c>
      <c r="C462" s="19">
        <f t="shared" si="38"/>
        <v>30.614430000000262</v>
      </c>
      <c r="H462" s="2">
        <f t="shared" si="39"/>
        <v>6771.0909999999994</v>
      </c>
      <c r="I462" s="2" t="str">
        <f t="shared" ref="I462:I525" si="42">TEXT(H462/86400,"hh:mm")</f>
        <v>01:52</v>
      </c>
      <c r="J462" s="3">
        <f t="shared" si="40"/>
        <v>0.79878848575173211</v>
      </c>
      <c r="K462" s="19">
        <v>33.165999999999997</v>
      </c>
      <c r="L462" s="21">
        <f t="shared" si="41"/>
        <v>4198.4322811111042</v>
      </c>
      <c r="M462" s="19">
        <f t="shared" ref="M462:M523" si="43">B462+0.1</f>
        <v>2.0299999999999998</v>
      </c>
      <c r="N462" s="2">
        <v>26</v>
      </c>
    </row>
    <row r="463" spans="1:14" x14ac:dyDescent="0.25">
      <c r="A463" s="2">
        <v>7383540</v>
      </c>
      <c r="B463" s="2">
        <v>1.89</v>
      </c>
      <c r="C463" s="19">
        <f t="shared" ref="C463:C523" si="44">M463*(H463-H462)</f>
        <v>30.011190000000262</v>
      </c>
      <c r="H463" s="2">
        <f t="shared" ref="H463:H526" si="45">(A463/1000-612.368)+15</f>
        <v>6786.1719999999996</v>
      </c>
      <c r="I463" s="2" t="str">
        <f t="shared" si="42"/>
        <v>01:53</v>
      </c>
      <c r="J463" s="3">
        <f t="shared" ref="J463:J526" si="46">L463/5256</f>
        <v>0.80037456673854079</v>
      </c>
      <c r="K463" s="19">
        <v>33.149000000000001</v>
      </c>
      <c r="L463" s="21">
        <f t="shared" si="41"/>
        <v>4206.7687227777706</v>
      </c>
      <c r="M463" s="19">
        <f t="shared" si="43"/>
        <v>1.99</v>
      </c>
      <c r="N463" s="2">
        <v>26.1</v>
      </c>
    </row>
    <row r="464" spans="1:14" x14ac:dyDescent="0.25">
      <c r="A464" s="2">
        <v>7398610</v>
      </c>
      <c r="B464" s="2">
        <v>1.9</v>
      </c>
      <c r="C464" s="19">
        <f t="shared" si="44"/>
        <v>30.139999999999418</v>
      </c>
      <c r="H464" s="2">
        <f t="shared" si="45"/>
        <v>6801.2419999999993</v>
      </c>
      <c r="I464" s="2" t="str">
        <f t="shared" si="42"/>
        <v>01:53</v>
      </c>
      <c r="J464" s="3">
        <f t="shared" si="46"/>
        <v>0.80196745528919189</v>
      </c>
      <c r="K464" s="19">
        <v>33.207000000000001</v>
      </c>
      <c r="L464" s="21">
        <f t="shared" ref="L464:L523" si="47">C464*1000/(60*60) + L463</f>
        <v>4215.1409449999928</v>
      </c>
      <c r="M464" s="19">
        <f t="shared" si="43"/>
        <v>2</v>
      </c>
      <c r="N464" s="2">
        <v>26.2</v>
      </c>
    </row>
    <row r="465" spans="1:14" x14ac:dyDescent="0.25">
      <c r="A465" s="2">
        <v>7413682</v>
      </c>
      <c r="B465" s="2">
        <v>1.87</v>
      </c>
      <c r="C465" s="19">
        <f t="shared" si="44"/>
        <v>29.691840000000234</v>
      </c>
      <c r="H465" s="2">
        <f t="shared" si="45"/>
        <v>6816.3139999999994</v>
      </c>
      <c r="I465" s="2" t="str">
        <f t="shared" si="42"/>
        <v>01:53</v>
      </c>
      <c r="J465" s="3">
        <f t="shared" si="46"/>
        <v>0.80353665873921731</v>
      </c>
      <c r="K465" s="19">
        <v>33.267000000000003</v>
      </c>
      <c r="L465" s="21">
        <f t="shared" si="47"/>
        <v>4223.3886783333264</v>
      </c>
      <c r="M465" s="19">
        <f t="shared" si="43"/>
        <v>1.9700000000000002</v>
      </c>
      <c r="N465" s="2">
        <v>26.3</v>
      </c>
    </row>
    <row r="466" spans="1:14" x14ac:dyDescent="0.25">
      <c r="A466" s="2">
        <v>7428753</v>
      </c>
      <c r="B466" s="2">
        <v>1.89</v>
      </c>
      <c r="C466" s="19">
        <f t="shared" si="44"/>
        <v>29.991289999999825</v>
      </c>
      <c r="H466" s="2">
        <f t="shared" si="45"/>
        <v>6831.3849999999993</v>
      </c>
      <c r="I466" s="2" t="str">
        <f t="shared" si="42"/>
        <v>01:53</v>
      </c>
      <c r="J466" s="3">
        <f t="shared" si="46"/>
        <v>0.80512168801792527</v>
      </c>
      <c r="K466" s="19">
        <v>33.244</v>
      </c>
      <c r="L466" s="21">
        <f t="shared" si="47"/>
        <v>4231.7195922222154</v>
      </c>
      <c r="M466" s="19">
        <f t="shared" si="43"/>
        <v>1.99</v>
      </c>
      <c r="N466" s="2">
        <v>26.3</v>
      </c>
    </row>
    <row r="467" spans="1:14" x14ac:dyDescent="0.25">
      <c r="A467" s="2">
        <v>7443825</v>
      </c>
      <c r="B467" s="2">
        <v>1.89</v>
      </c>
      <c r="C467" s="19">
        <f t="shared" si="44"/>
        <v>29.993280000000233</v>
      </c>
      <c r="H467" s="2">
        <f t="shared" si="45"/>
        <v>6846.4569999999994</v>
      </c>
      <c r="I467" s="2" t="str">
        <f t="shared" si="42"/>
        <v>01:54</v>
      </c>
      <c r="J467" s="3">
        <f t="shared" si="46"/>
        <v>0.8067068224674433</v>
      </c>
      <c r="K467" s="19">
        <v>33.267000000000003</v>
      </c>
      <c r="L467" s="21">
        <f t="shared" si="47"/>
        <v>4240.0510588888819</v>
      </c>
      <c r="M467" s="19">
        <f t="shared" si="43"/>
        <v>1.99</v>
      </c>
      <c r="N467" s="2">
        <v>26.3</v>
      </c>
    </row>
    <row r="468" spans="1:14" x14ac:dyDescent="0.25">
      <c r="A468" s="2">
        <v>7458897</v>
      </c>
      <c r="B468" s="2">
        <v>1.87</v>
      </c>
      <c r="C468" s="19">
        <f t="shared" si="44"/>
        <v>29.691840000000234</v>
      </c>
      <c r="H468" s="2">
        <f t="shared" si="45"/>
        <v>6861.5289999999995</v>
      </c>
      <c r="I468" s="2" t="str">
        <f t="shared" si="42"/>
        <v>01:54</v>
      </c>
      <c r="J468" s="3">
        <f t="shared" si="46"/>
        <v>0.80827602591746872</v>
      </c>
      <c r="K468" s="19">
        <v>33.284999999999997</v>
      </c>
      <c r="L468" s="21">
        <f t="shared" si="47"/>
        <v>4248.2987922222155</v>
      </c>
      <c r="M468" s="19">
        <f t="shared" si="43"/>
        <v>1.9700000000000002</v>
      </c>
      <c r="N468" s="2">
        <v>26.1</v>
      </c>
    </row>
    <row r="469" spans="1:14" x14ac:dyDescent="0.25">
      <c r="A469" s="2">
        <v>7473982</v>
      </c>
      <c r="B469" s="2">
        <v>1.89</v>
      </c>
      <c r="C469" s="19">
        <f t="shared" si="44"/>
        <v>30.019150000000071</v>
      </c>
      <c r="H469" s="2">
        <f t="shared" si="45"/>
        <v>6876.6139999999996</v>
      </c>
      <c r="I469" s="2" t="str">
        <f t="shared" si="42"/>
        <v>01:54</v>
      </c>
      <c r="J469" s="3">
        <f t="shared" si="46"/>
        <v>0.80986252758751764</v>
      </c>
      <c r="K469" s="19">
        <v>33.283999999999999</v>
      </c>
      <c r="L469" s="21">
        <f t="shared" si="47"/>
        <v>4256.637444999993</v>
      </c>
      <c r="M469" s="19">
        <f t="shared" si="43"/>
        <v>1.99</v>
      </c>
      <c r="N469" s="2">
        <v>26.3</v>
      </c>
    </row>
    <row r="470" spans="1:14" x14ac:dyDescent="0.25">
      <c r="A470" s="2">
        <v>7489054</v>
      </c>
      <c r="B470" s="2">
        <v>1.88</v>
      </c>
      <c r="C470" s="19">
        <f t="shared" si="44"/>
        <v>29.84256000000023</v>
      </c>
      <c r="H470" s="2">
        <f t="shared" si="45"/>
        <v>6891.6859999999997</v>
      </c>
      <c r="I470" s="2" t="str">
        <f t="shared" si="42"/>
        <v>01:54</v>
      </c>
      <c r="J470" s="3">
        <f t="shared" si="46"/>
        <v>0.81143969653728942</v>
      </c>
      <c r="K470" s="19">
        <v>33.265999999999998</v>
      </c>
      <c r="L470" s="21">
        <f t="shared" si="47"/>
        <v>4264.9270449999931</v>
      </c>
      <c r="M470" s="19">
        <f t="shared" si="43"/>
        <v>1.98</v>
      </c>
      <c r="N470" s="2">
        <v>26.3</v>
      </c>
    </row>
    <row r="471" spans="1:14" x14ac:dyDescent="0.25">
      <c r="A471" s="2">
        <v>7504126</v>
      </c>
      <c r="B471" s="2">
        <v>1.88</v>
      </c>
      <c r="C471" s="19">
        <f t="shared" si="44"/>
        <v>29.84256000000023</v>
      </c>
      <c r="H471" s="2">
        <f t="shared" si="45"/>
        <v>6906.7579999999998</v>
      </c>
      <c r="I471" s="2" t="str">
        <f t="shared" si="42"/>
        <v>01:55</v>
      </c>
      <c r="J471" s="3">
        <f t="shared" si="46"/>
        <v>0.81301686548706109</v>
      </c>
      <c r="K471" s="19">
        <v>33.322000000000003</v>
      </c>
      <c r="L471" s="21">
        <f t="shared" si="47"/>
        <v>4273.2166449999932</v>
      </c>
      <c r="M471" s="19">
        <f t="shared" si="43"/>
        <v>1.98</v>
      </c>
      <c r="N471" s="2">
        <v>26.2</v>
      </c>
    </row>
    <row r="472" spans="1:14" x14ac:dyDescent="0.25">
      <c r="A472" s="2">
        <v>7519129</v>
      </c>
      <c r="B472" s="2">
        <v>1.92</v>
      </c>
      <c r="C472" s="19">
        <f t="shared" si="44"/>
        <v>30.306059999999398</v>
      </c>
      <c r="H472" s="2">
        <f t="shared" si="45"/>
        <v>6921.7609999999995</v>
      </c>
      <c r="I472" s="2" t="str">
        <f t="shared" si="42"/>
        <v>01:55</v>
      </c>
      <c r="J472" s="3">
        <f t="shared" si="46"/>
        <v>0.81461853025114028</v>
      </c>
      <c r="K472" s="19">
        <v>33.322000000000003</v>
      </c>
      <c r="L472" s="21">
        <f t="shared" si="47"/>
        <v>4281.6349949999931</v>
      </c>
      <c r="M472" s="19">
        <f t="shared" si="43"/>
        <v>2.02</v>
      </c>
      <c r="N472" s="2">
        <v>26.3</v>
      </c>
    </row>
    <row r="473" spans="1:14" x14ac:dyDescent="0.25">
      <c r="A473" s="2">
        <v>7534146</v>
      </c>
      <c r="B473" s="2">
        <v>1.88</v>
      </c>
      <c r="C473" s="19">
        <f t="shared" si="44"/>
        <v>29.733659999999652</v>
      </c>
      <c r="H473" s="2">
        <f t="shared" si="45"/>
        <v>6936.7779999999993</v>
      </c>
      <c r="I473" s="2" t="str">
        <f t="shared" si="42"/>
        <v>01:55</v>
      </c>
      <c r="J473" s="3">
        <f t="shared" si="46"/>
        <v>0.81618994387366695</v>
      </c>
      <c r="K473" s="19">
        <v>33.36</v>
      </c>
      <c r="L473" s="21">
        <f t="shared" si="47"/>
        <v>4289.8943449999933</v>
      </c>
      <c r="M473" s="19">
        <f t="shared" si="43"/>
        <v>1.98</v>
      </c>
      <c r="N473" s="2">
        <v>26.3</v>
      </c>
    </row>
    <row r="474" spans="1:14" x14ac:dyDescent="0.25">
      <c r="A474" s="2">
        <v>7549227</v>
      </c>
      <c r="B474" s="2">
        <v>1.87</v>
      </c>
      <c r="C474" s="19">
        <f t="shared" si="44"/>
        <v>29.709570000000262</v>
      </c>
      <c r="H474" s="2">
        <f t="shared" si="45"/>
        <v>6951.8589999999995</v>
      </c>
      <c r="I474" s="2" t="str">
        <f t="shared" si="42"/>
        <v>01:55</v>
      </c>
      <c r="J474" s="3">
        <f t="shared" si="46"/>
        <v>0.81776008434804548</v>
      </c>
      <c r="K474" s="19">
        <v>33.360999999999997</v>
      </c>
      <c r="L474" s="21">
        <f t="shared" si="47"/>
        <v>4298.1470033333271</v>
      </c>
      <c r="M474" s="19">
        <f t="shared" si="43"/>
        <v>1.9700000000000002</v>
      </c>
      <c r="N474" s="2">
        <v>26.2</v>
      </c>
    </row>
    <row r="475" spans="1:14" x14ac:dyDescent="0.25">
      <c r="A475" s="2">
        <v>7564308</v>
      </c>
      <c r="B475" s="2">
        <v>1.91</v>
      </c>
      <c r="C475" s="19">
        <f t="shared" si="44"/>
        <v>30.312810000000258</v>
      </c>
      <c r="H475" s="2">
        <f t="shared" si="45"/>
        <v>6966.94</v>
      </c>
      <c r="I475" s="2" t="str">
        <f t="shared" si="42"/>
        <v>01:56</v>
      </c>
      <c r="J475" s="3">
        <f t="shared" si="46"/>
        <v>0.81936210584728442</v>
      </c>
      <c r="K475" s="19">
        <v>33.360999999999997</v>
      </c>
      <c r="L475" s="21">
        <f t="shared" si="47"/>
        <v>4306.567228333327</v>
      </c>
      <c r="M475" s="19">
        <f t="shared" si="43"/>
        <v>2.0099999999999998</v>
      </c>
      <c r="N475" s="2">
        <v>26.3</v>
      </c>
    </row>
    <row r="476" spans="1:14" x14ac:dyDescent="0.25">
      <c r="A476" s="2">
        <v>7579389</v>
      </c>
      <c r="B476" s="2">
        <v>1.88</v>
      </c>
      <c r="C476" s="19">
        <f t="shared" si="44"/>
        <v>29.860380000000259</v>
      </c>
      <c r="H476" s="2">
        <f t="shared" si="45"/>
        <v>6982.0209999999997</v>
      </c>
      <c r="I476" s="2" t="str">
        <f t="shared" si="42"/>
        <v>01:56</v>
      </c>
      <c r="J476" s="3">
        <f t="shared" si="46"/>
        <v>0.82094021657787797</v>
      </c>
      <c r="K476" s="19">
        <v>33.343000000000004</v>
      </c>
      <c r="L476" s="21">
        <f t="shared" si="47"/>
        <v>4314.8617783333266</v>
      </c>
      <c r="M476" s="19">
        <f t="shared" si="43"/>
        <v>1.98</v>
      </c>
      <c r="N476" s="2">
        <v>26.3</v>
      </c>
    </row>
    <row r="477" spans="1:14" x14ac:dyDescent="0.25">
      <c r="A477" s="2">
        <v>7594470</v>
      </c>
      <c r="B477" s="2">
        <v>1.89</v>
      </c>
      <c r="C477" s="19">
        <f t="shared" si="44"/>
        <v>30.011190000000262</v>
      </c>
      <c r="H477" s="2">
        <f t="shared" si="45"/>
        <v>6997.1019999999999</v>
      </c>
      <c r="I477" s="2" t="str">
        <f t="shared" si="42"/>
        <v>01:56</v>
      </c>
      <c r="J477" s="3">
        <f t="shared" si="46"/>
        <v>0.82252629756468665</v>
      </c>
      <c r="K477" s="19">
        <v>33.4</v>
      </c>
      <c r="L477" s="21">
        <f t="shared" si="47"/>
        <v>4323.1982199999929</v>
      </c>
      <c r="M477" s="19">
        <f t="shared" si="43"/>
        <v>1.99</v>
      </c>
      <c r="N477" s="2">
        <v>26.2</v>
      </c>
    </row>
    <row r="478" spans="1:14" x14ac:dyDescent="0.25">
      <c r="A478" s="2">
        <v>7609551</v>
      </c>
      <c r="B478" s="2">
        <v>1.89</v>
      </c>
      <c r="C478" s="19">
        <f t="shared" si="44"/>
        <v>30.011190000000262</v>
      </c>
      <c r="H478" s="2">
        <f t="shared" si="45"/>
        <v>7012.183</v>
      </c>
      <c r="I478" s="2" t="str">
        <f t="shared" si="42"/>
        <v>01:56</v>
      </c>
      <c r="J478" s="3">
        <f t="shared" si="46"/>
        <v>0.82411237855149533</v>
      </c>
      <c r="K478" s="19">
        <v>33.4</v>
      </c>
      <c r="L478" s="21">
        <f t="shared" si="47"/>
        <v>4331.5346616666593</v>
      </c>
      <c r="M478" s="19">
        <f t="shared" si="43"/>
        <v>1.99</v>
      </c>
      <c r="N478" s="2">
        <v>26.2</v>
      </c>
    </row>
    <row r="479" spans="1:14" x14ac:dyDescent="0.25">
      <c r="A479" s="2">
        <v>7624632</v>
      </c>
      <c r="B479" s="2">
        <v>1.84</v>
      </c>
      <c r="C479" s="19">
        <f t="shared" si="44"/>
        <v>29.257139999998493</v>
      </c>
      <c r="H479" s="2">
        <f t="shared" si="45"/>
        <v>7027.2639999999992</v>
      </c>
      <c r="I479" s="2" t="str">
        <f t="shared" si="42"/>
        <v>01:57</v>
      </c>
      <c r="J479" s="3">
        <f t="shared" si="46"/>
        <v>0.82565860825722825</v>
      </c>
      <c r="K479" s="19">
        <v>33.383000000000003</v>
      </c>
      <c r="L479" s="21">
        <f t="shared" si="47"/>
        <v>4339.6616449999919</v>
      </c>
      <c r="M479" s="19">
        <f t="shared" si="43"/>
        <v>1.9400000000000002</v>
      </c>
      <c r="N479" s="2">
        <v>26.3</v>
      </c>
    </row>
    <row r="480" spans="1:14" x14ac:dyDescent="0.25">
      <c r="A480" s="2">
        <v>7639714</v>
      </c>
      <c r="B480" s="2">
        <v>1.89</v>
      </c>
      <c r="C480" s="19">
        <f t="shared" si="44"/>
        <v>30.013180000000666</v>
      </c>
      <c r="H480" s="2">
        <f t="shared" si="45"/>
        <v>7042.3459999999995</v>
      </c>
      <c r="I480" s="2" t="str">
        <f t="shared" si="42"/>
        <v>01:57</v>
      </c>
      <c r="J480" s="3">
        <f t="shared" si="46"/>
        <v>0.82724479441484722</v>
      </c>
      <c r="K480" s="19">
        <v>33.383000000000003</v>
      </c>
      <c r="L480" s="21">
        <f t="shared" si="47"/>
        <v>4347.9986394444368</v>
      </c>
      <c r="M480" s="19">
        <f t="shared" si="43"/>
        <v>1.99</v>
      </c>
      <c r="N480" s="2">
        <v>26.3</v>
      </c>
    </row>
    <row r="481" spans="1:14" x14ac:dyDescent="0.25">
      <c r="A481" s="2">
        <v>7654795</v>
      </c>
      <c r="B481" s="2">
        <v>1.88</v>
      </c>
      <c r="C481" s="19">
        <f t="shared" si="44"/>
        <v>29.860380000000259</v>
      </c>
      <c r="H481" s="2">
        <f t="shared" si="45"/>
        <v>7057.4269999999997</v>
      </c>
      <c r="I481" s="2" t="str">
        <f t="shared" si="42"/>
        <v>01:57</v>
      </c>
      <c r="J481" s="3">
        <f t="shared" si="46"/>
        <v>0.82882290514544088</v>
      </c>
      <c r="K481" s="19">
        <v>33.4</v>
      </c>
      <c r="L481" s="21">
        <f t="shared" si="47"/>
        <v>4356.2931894444373</v>
      </c>
      <c r="M481" s="19">
        <f t="shared" si="43"/>
        <v>1.98</v>
      </c>
      <c r="N481" s="2">
        <v>26.3</v>
      </c>
    </row>
    <row r="482" spans="1:14" x14ac:dyDescent="0.25">
      <c r="A482" s="2">
        <v>7669875</v>
      </c>
      <c r="B482" s="2">
        <v>1.88</v>
      </c>
      <c r="C482" s="19">
        <f t="shared" si="44"/>
        <v>29.858399999999854</v>
      </c>
      <c r="H482" s="2">
        <f t="shared" si="45"/>
        <v>7072.5069999999996</v>
      </c>
      <c r="I482" s="2" t="str">
        <f t="shared" si="42"/>
        <v>01:57</v>
      </c>
      <c r="J482" s="3">
        <f t="shared" si="46"/>
        <v>0.83040091123372095</v>
      </c>
      <c r="K482" s="19">
        <v>33.42</v>
      </c>
      <c r="L482" s="21">
        <f t="shared" si="47"/>
        <v>4364.5871894444372</v>
      </c>
      <c r="M482" s="19">
        <f t="shared" si="43"/>
        <v>1.98</v>
      </c>
      <c r="N482" s="2">
        <v>26.3</v>
      </c>
    </row>
    <row r="483" spans="1:14" x14ac:dyDescent="0.25">
      <c r="A483" s="2">
        <v>7684945</v>
      </c>
      <c r="B483" s="2">
        <v>1.86</v>
      </c>
      <c r="C483" s="19">
        <f t="shared" si="44"/>
        <v>29.537199999999434</v>
      </c>
      <c r="H483" s="2">
        <f t="shared" si="45"/>
        <v>7087.5769999999993</v>
      </c>
      <c r="I483" s="2" t="str">
        <f t="shared" si="42"/>
        <v>01:58</v>
      </c>
      <c r="J483" s="3">
        <f t="shared" si="46"/>
        <v>0.83196194201335905</v>
      </c>
      <c r="K483" s="19">
        <v>33.42</v>
      </c>
      <c r="L483" s="21">
        <f t="shared" si="47"/>
        <v>4372.7919672222151</v>
      </c>
      <c r="M483" s="19">
        <f t="shared" si="43"/>
        <v>1.9600000000000002</v>
      </c>
      <c r="N483" s="2">
        <v>26.4</v>
      </c>
    </row>
    <row r="484" spans="1:14" x14ac:dyDescent="0.25">
      <c r="A484" s="2">
        <v>7700030</v>
      </c>
      <c r="B484" s="2">
        <v>1.87</v>
      </c>
      <c r="C484" s="19">
        <f t="shared" si="44"/>
        <v>29.717450000000074</v>
      </c>
      <c r="H484" s="2">
        <f t="shared" si="45"/>
        <v>7102.6619999999994</v>
      </c>
      <c r="I484" s="2" t="str">
        <f t="shared" si="42"/>
        <v>01:58</v>
      </c>
      <c r="J484" s="3">
        <f t="shared" si="46"/>
        <v>0.83353249894300563</v>
      </c>
      <c r="K484" s="19">
        <v>33.438000000000002</v>
      </c>
      <c r="L484" s="21">
        <f t="shared" si="47"/>
        <v>4381.0468144444376</v>
      </c>
      <c r="M484" s="19">
        <f t="shared" si="43"/>
        <v>1.9700000000000002</v>
      </c>
      <c r="N484" s="2">
        <v>26.4</v>
      </c>
    </row>
    <row r="485" spans="1:14" x14ac:dyDescent="0.25">
      <c r="A485" s="2">
        <v>7715110</v>
      </c>
      <c r="B485" s="2">
        <v>1.87</v>
      </c>
      <c r="C485" s="19">
        <f t="shared" si="44"/>
        <v>29.707599999999861</v>
      </c>
      <c r="H485" s="2">
        <f t="shared" si="45"/>
        <v>7117.7419999999993</v>
      </c>
      <c r="I485" s="2" t="str">
        <f t="shared" si="42"/>
        <v>01:58</v>
      </c>
      <c r="J485" s="3">
        <f t="shared" si="46"/>
        <v>0.83510253530356704</v>
      </c>
      <c r="K485" s="19">
        <v>33.439</v>
      </c>
      <c r="L485" s="21">
        <f t="shared" si="47"/>
        <v>4389.2989255555485</v>
      </c>
      <c r="M485" s="19">
        <f t="shared" si="43"/>
        <v>1.9700000000000002</v>
      </c>
      <c r="N485" s="2">
        <v>26.4</v>
      </c>
    </row>
    <row r="486" spans="1:14" x14ac:dyDescent="0.25">
      <c r="A486" s="2">
        <v>7730191</v>
      </c>
      <c r="B486" s="2">
        <v>1.88</v>
      </c>
      <c r="C486" s="19">
        <f t="shared" si="44"/>
        <v>29.860380000000259</v>
      </c>
      <c r="H486" s="2">
        <f t="shared" si="45"/>
        <v>7132.8229999999994</v>
      </c>
      <c r="I486" s="2" t="str">
        <f t="shared" si="42"/>
        <v>01:58</v>
      </c>
      <c r="J486" s="3">
        <f t="shared" si="46"/>
        <v>0.83668064603416059</v>
      </c>
      <c r="K486" s="19">
        <v>33.439</v>
      </c>
      <c r="L486" s="21">
        <f t="shared" si="47"/>
        <v>4397.5934755555481</v>
      </c>
      <c r="M486" s="19">
        <f t="shared" si="43"/>
        <v>1.98</v>
      </c>
      <c r="N486" s="2">
        <v>26.2</v>
      </c>
    </row>
    <row r="487" spans="1:14" x14ac:dyDescent="0.25">
      <c r="A487" s="2">
        <v>7745273</v>
      </c>
      <c r="B487" s="2">
        <v>1.87</v>
      </c>
      <c r="C487" s="19">
        <f t="shared" si="44"/>
        <v>29.711540000000664</v>
      </c>
      <c r="H487" s="2">
        <f t="shared" si="45"/>
        <v>7147.9049999999997</v>
      </c>
      <c r="I487" s="2" t="str">
        <f t="shared" si="42"/>
        <v>01:59</v>
      </c>
      <c r="J487" s="3">
        <f t="shared" si="46"/>
        <v>0.83825089062235614</v>
      </c>
      <c r="K487" s="19">
        <v>33.476999999999997</v>
      </c>
      <c r="L487" s="21">
        <f t="shared" si="47"/>
        <v>4405.8466811111039</v>
      </c>
      <c r="M487" s="19">
        <f t="shared" si="43"/>
        <v>1.9700000000000002</v>
      </c>
      <c r="N487" s="2">
        <v>26.3</v>
      </c>
    </row>
    <row r="488" spans="1:14" x14ac:dyDescent="0.25">
      <c r="A488" s="2">
        <v>7760344</v>
      </c>
      <c r="B488" s="2">
        <v>1.88</v>
      </c>
      <c r="C488" s="19">
        <f t="shared" si="44"/>
        <v>29.840579999999825</v>
      </c>
      <c r="H488" s="2">
        <f t="shared" si="45"/>
        <v>7162.9759999999997</v>
      </c>
      <c r="I488" s="2" t="str">
        <f t="shared" si="42"/>
        <v>01:59</v>
      </c>
      <c r="J488" s="3">
        <f t="shared" si="46"/>
        <v>0.83982795492981432</v>
      </c>
      <c r="K488" s="19">
        <v>33.46</v>
      </c>
      <c r="L488" s="21">
        <f t="shared" si="47"/>
        <v>4414.1357311111042</v>
      </c>
      <c r="M488" s="19">
        <f t="shared" si="43"/>
        <v>1.98</v>
      </c>
      <c r="N488" s="2">
        <v>26.2</v>
      </c>
    </row>
    <row r="489" spans="1:14" x14ac:dyDescent="0.25">
      <c r="A489" s="2">
        <v>7775416</v>
      </c>
      <c r="B489" s="2">
        <v>1.89</v>
      </c>
      <c r="C489" s="19">
        <f t="shared" si="44"/>
        <v>29.993280000000233</v>
      </c>
      <c r="H489" s="2">
        <f t="shared" si="45"/>
        <v>7178.0479999999998</v>
      </c>
      <c r="I489" s="2" t="str">
        <f t="shared" si="42"/>
        <v>01:59</v>
      </c>
      <c r="J489" s="3">
        <f t="shared" si="46"/>
        <v>0.84141308937933235</v>
      </c>
      <c r="K489" s="19">
        <v>33.476999999999997</v>
      </c>
      <c r="L489" s="21">
        <f t="shared" si="47"/>
        <v>4422.4671977777707</v>
      </c>
      <c r="M489" s="19">
        <f t="shared" si="43"/>
        <v>1.99</v>
      </c>
      <c r="N489" s="2">
        <v>26.3</v>
      </c>
    </row>
    <row r="490" spans="1:14" x14ac:dyDescent="0.25">
      <c r="A490" s="2">
        <v>7790500</v>
      </c>
      <c r="B490" s="2">
        <v>1.9</v>
      </c>
      <c r="C490" s="19">
        <f t="shared" si="44"/>
        <v>30.167999999999665</v>
      </c>
      <c r="H490" s="2">
        <f t="shared" si="45"/>
        <v>7193.1319999999996</v>
      </c>
      <c r="I490" s="2" t="str">
        <f t="shared" si="42"/>
        <v>01:59</v>
      </c>
      <c r="J490" s="3">
        <f t="shared" si="46"/>
        <v>0.84300745772027608</v>
      </c>
      <c r="K490" s="19">
        <v>33.517000000000003</v>
      </c>
      <c r="L490" s="21">
        <f t="shared" si="47"/>
        <v>4430.8471977777708</v>
      </c>
      <c r="M490" s="19">
        <f t="shared" si="43"/>
        <v>2</v>
      </c>
      <c r="N490" s="2">
        <v>26.4</v>
      </c>
    </row>
    <row r="491" spans="1:14" x14ac:dyDescent="0.25">
      <c r="A491" s="2">
        <v>7805582</v>
      </c>
      <c r="B491" s="2">
        <v>1.88</v>
      </c>
      <c r="C491" s="19">
        <f t="shared" si="44"/>
        <v>29.862360000000663</v>
      </c>
      <c r="H491" s="2">
        <f t="shared" si="45"/>
        <v>7208.2139999999999</v>
      </c>
      <c r="I491" s="2" t="str">
        <f t="shared" si="42"/>
        <v>02:00</v>
      </c>
      <c r="J491" s="3">
        <f t="shared" si="46"/>
        <v>0.84458567309318322</v>
      </c>
      <c r="K491" s="19">
        <v>33.499000000000002</v>
      </c>
      <c r="L491" s="21">
        <f t="shared" si="47"/>
        <v>4439.1422977777711</v>
      </c>
      <c r="M491" s="19">
        <f t="shared" si="43"/>
        <v>1.98</v>
      </c>
      <c r="N491" s="2">
        <v>26.4</v>
      </c>
    </row>
    <row r="492" spans="1:14" x14ac:dyDescent="0.25">
      <c r="A492" s="2">
        <v>7820664</v>
      </c>
      <c r="B492" s="2">
        <v>1.89</v>
      </c>
      <c r="C492" s="19">
        <f t="shared" si="44"/>
        <v>30.013179999998854</v>
      </c>
      <c r="H492" s="2">
        <f t="shared" si="45"/>
        <v>7223.2959999999994</v>
      </c>
      <c r="I492" s="2" t="str">
        <f t="shared" si="42"/>
        <v>02:00</v>
      </c>
      <c r="J492" s="3">
        <f t="shared" si="46"/>
        <v>0.84617185925080196</v>
      </c>
      <c r="K492" s="19">
        <v>33.46</v>
      </c>
      <c r="L492" s="21">
        <f t="shared" si="47"/>
        <v>4447.479292222215</v>
      </c>
      <c r="M492" s="19">
        <f t="shared" si="43"/>
        <v>1.99</v>
      </c>
      <c r="N492" s="2">
        <v>26.3</v>
      </c>
    </row>
    <row r="493" spans="1:14" x14ac:dyDescent="0.25">
      <c r="A493" s="2">
        <v>7835733</v>
      </c>
      <c r="B493" s="2">
        <v>1.88</v>
      </c>
      <c r="C493" s="19">
        <f t="shared" si="44"/>
        <v>29.836620000000821</v>
      </c>
      <c r="H493" s="2">
        <f t="shared" si="45"/>
        <v>7238.3649999999998</v>
      </c>
      <c r="I493" s="2" t="str">
        <f t="shared" si="42"/>
        <v>02:00</v>
      </c>
      <c r="J493" s="3">
        <f t="shared" si="46"/>
        <v>0.84774871427363296</v>
      </c>
      <c r="K493" s="19">
        <v>33.515999999999998</v>
      </c>
      <c r="L493" s="21">
        <f t="shared" si="47"/>
        <v>4455.7672422222149</v>
      </c>
      <c r="M493" s="19">
        <f t="shared" si="43"/>
        <v>1.98</v>
      </c>
      <c r="N493" s="2">
        <v>26.3</v>
      </c>
    </row>
    <row r="494" spans="1:14" x14ac:dyDescent="0.25">
      <c r="A494" s="2">
        <v>7850805</v>
      </c>
      <c r="B494" s="2">
        <v>1.9</v>
      </c>
      <c r="C494" s="19">
        <f t="shared" si="44"/>
        <v>30.144000000000233</v>
      </c>
      <c r="H494" s="2">
        <f t="shared" si="45"/>
        <v>7253.4369999999999</v>
      </c>
      <c r="I494" s="2" t="str">
        <f t="shared" si="42"/>
        <v>02:00</v>
      </c>
      <c r="J494" s="3">
        <f t="shared" si="46"/>
        <v>0.84934181422289723</v>
      </c>
      <c r="K494" s="19">
        <v>33.499000000000002</v>
      </c>
      <c r="L494" s="21">
        <f t="shared" si="47"/>
        <v>4464.1405755555479</v>
      </c>
      <c r="M494" s="19">
        <f t="shared" si="43"/>
        <v>2</v>
      </c>
      <c r="N494" s="2">
        <v>26.2</v>
      </c>
    </row>
    <row r="495" spans="1:14" x14ac:dyDescent="0.25">
      <c r="A495" s="2">
        <v>7865889</v>
      </c>
      <c r="B495" s="2">
        <v>1.88</v>
      </c>
      <c r="C495" s="19">
        <f t="shared" si="44"/>
        <v>29.866319999999668</v>
      </c>
      <c r="H495" s="2">
        <f t="shared" si="45"/>
        <v>7268.5209999999997</v>
      </c>
      <c r="I495" s="2" t="str">
        <f t="shared" si="42"/>
        <v>02:01</v>
      </c>
      <c r="J495" s="3">
        <f t="shared" si="46"/>
        <v>0.85092023888043145</v>
      </c>
      <c r="K495" s="19">
        <v>33.536999999999999</v>
      </c>
      <c r="L495" s="21">
        <f t="shared" si="47"/>
        <v>4472.4367755555477</v>
      </c>
      <c r="M495" s="19">
        <f t="shared" si="43"/>
        <v>1.98</v>
      </c>
      <c r="N495" s="2">
        <v>26.2</v>
      </c>
    </row>
    <row r="496" spans="1:14" x14ac:dyDescent="0.25">
      <c r="A496" s="2">
        <v>7880969</v>
      </c>
      <c r="B496" s="2">
        <v>1.87</v>
      </c>
      <c r="C496" s="19">
        <f t="shared" si="44"/>
        <v>29.707599999999861</v>
      </c>
      <c r="H496" s="2">
        <f t="shared" si="45"/>
        <v>7283.6009999999997</v>
      </c>
      <c r="I496" s="2" t="str">
        <f t="shared" si="42"/>
        <v>02:01</v>
      </c>
      <c r="J496" s="3">
        <f t="shared" si="46"/>
        <v>0.85249027524099286</v>
      </c>
      <c r="K496" s="19">
        <v>33.555999999999997</v>
      </c>
      <c r="L496" s="21">
        <f t="shared" si="47"/>
        <v>4480.6888866666586</v>
      </c>
      <c r="M496" s="19">
        <f t="shared" si="43"/>
        <v>1.9700000000000002</v>
      </c>
      <c r="N496" s="2">
        <v>26.3</v>
      </c>
    </row>
    <row r="497" spans="1:14" x14ac:dyDescent="0.25">
      <c r="A497" s="2">
        <v>7896052</v>
      </c>
      <c r="B497" s="2">
        <v>1.89</v>
      </c>
      <c r="C497" s="19">
        <f t="shared" si="44"/>
        <v>30.015169999999262</v>
      </c>
      <c r="H497" s="2">
        <f t="shared" si="45"/>
        <v>7298.6839999999993</v>
      </c>
      <c r="I497" s="2" t="str">
        <f t="shared" si="42"/>
        <v>02:01</v>
      </c>
      <c r="J497" s="3">
        <f t="shared" si="46"/>
        <v>0.85407656656942177</v>
      </c>
      <c r="K497" s="19">
        <v>33.499000000000002</v>
      </c>
      <c r="L497" s="21">
        <f t="shared" si="47"/>
        <v>4489.026433888881</v>
      </c>
      <c r="M497" s="19">
        <f t="shared" si="43"/>
        <v>1.99</v>
      </c>
      <c r="N497" s="2">
        <v>26.4</v>
      </c>
    </row>
    <row r="498" spans="1:14" x14ac:dyDescent="0.25">
      <c r="A498" s="2">
        <v>7911133</v>
      </c>
      <c r="B498" s="2">
        <v>1.88</v>
      </c>
      <c r="C498" s="19">
        <f t="shared" si="44"/>
        <v>29.860380000000259</v>
      </c>
      <c r="H498" s="2">
        <f t="shared" si="45"/>
        <v>7313.7649999999994</v>
      </c>
      <c r="I498" s="2" t="str">
        <f t="shared" si="42"/>
        <v>02:01</v>
      </c>
      <c r="J498" s="3">
        <f t="shared" si="46"/>
        <v>0.85565467730001554</v>
      </c>
      <c r="K498" s="19">
        <v>33.537999999999997</v>
      </c>
      <c r="L498" s="21">
        <f t="shared" si="47"/>
        <v>4497.3209838888815</v>
      </c>
      <c r="M498" s="19">
        <f t="shared" si="43"/>
        <v>1.98</v>
      </c>
      <c r="N498" s="2">
        <v>26.4</v>
      </c>
    </row>
    <row r="499" spans="1:14" x14ac:dyDescent="0.25">
      <c r="A499" s="2">
        <v>7926215</v>
      </c>
      <c r="B499" s="2">
        <v>1.89</v>
      </c>
      <c r="C499" s="19">
        <f t="shared" si="44"/>
        <v>30.013180000000666</v>
      </c>
      <c r="H499" s="2">
        <f t="shared" si="45"/>
        <v>7328.8469999999998</v>
      </c>
      <c r="I499" s="2" t="str">
        <f t="shared" si="42"/>
        <v>02:02</v>
      </c>
      <c r="J499" s="3">
        <f t="shared" si="46"/>
        <v>0.85724086345763439</v>
      </c>
      <c r="K499" s="19">
        <v>33.537999999999997</v>
      </c>
      <c r="L499" s="21">
        <f t="shared" si="47"/>
        <v>4505.6579783333264</v>
      </c>
      <c r="M499" s="19">
        <f t="shared" si="43"/>
        <v>1.99</v>
      </c>
      <c r="N499" s="2">
        <v>26.5</v>
      </c>
    </row>
    <row r="500" spans="1:14" x14ac:dyDescent="0.25">
      <c r="A500" s="2">
        <v>7941296</v>
      </c>
      <c r="B500" s="2">
        <v>1.89</v>
      </c>
      <c r="C500" s="19">
        <f t="shared" si="44"/>
        <v>30.011190000000262</v>
      </c>
      <c r="H500" s="2">
        <f t="shared" si="45"/>
        <v>7343.9279999999999</v>
      </c>
      <c r="I500" s="2" t="str">
        <f t="shared" si="42"/>
        <v>02:02</v>
      </c>
      <c r="J500" s="3">
        <f t="shared" si="46"/>
        <v>0.85882694444444307</v>
      </c>
      <c r="K500" s="19">
        <v>33.555</v>
      </c>
      <c r="L500" s="21">
        <f t="shared" si="47"/>
        <v>4513.9944199999927</v>
      </c>
      <c r="M500" s="19">
        <f t="shared" si="43"/>
        <v>1.99</v>
      </c>
      <c r="N500" s="2">
        <v>26.5</v>
      </c>
    </row>
    <row r="501" spans="1:14" x14ac:dyDescent="0.25">
      <c r="A501" s="2">
        <v>7956372</v>
      </c>
      <c r="B501" s="2">
        <v>1.88</v>
      </c>
      <c r="C501" s="19">
        <f t="shared" si="44"/>
        <v>29.850480000000044</v>
      </c>
      <c r="H501" s="2">
        <f t="shared" si="45"/>
        <v>7359.0039999999999</v>
      </c>
      <c r="I501" s="2" t="str">
        <f t="shared" si="42"/>
        <v>02:02</v>
      </c>
      <c r="J501" s="3">
        <f t="shared" si="46"/>
        <v>0.86040453196346889</v>
      </c>
      <c r="K501" s="19">
        <v>33.594999999999999</v>
      </c>
      <c r="L501" s="21">
        <f t="shared" si="47"/>
        <v>4522.2862199999927</v>
      </c>
      <c r="M501" s="19">
        <f t="shared" si="43"/>
        <v>1.98</v>
      </c>
      <c r="N501" s="2">
        <v>26.4</v>
      </c>
    </row>
    <row r="502" spans="1:14" x14ac:dyDescent="0.25">
      <c r="A502" s="2">
        <v>7971456</v>
      </c>
      <c r="B502" s="2">
        <v>1.91</v>
      </c>
      <c r="C502" s="19">
        <f t="shared" si="44"/>
        <v>30.318839999999661</v>
      </c>
      <c r="H502" s="2">
        <f t="shared" si="45"/>
        <v>7374.0879999999997</v>
      </c>
      <c r="I502" s="2" t="str">
        <f t="shared" si="42"/>
        <v>02:02</v>
      </c>
      <c r="J502" s="3">
        <f t="shared" si="46"/>
        <v>0.86200687214611738</v>
      </c>
      <c r="K502" s="19">
        <v>33.594000000000001</v>
      </c>
      <c r="L502" s="21">
        <f t="shared" si="47"/>
        <v>4530.708119999993</v>
      </c>
      <c r="M502" s="19">
        <f t="shared" si="43"/>
        <v>2.0099999999999998</v>
      </c>
      <c r="N502" s="2">
        <v>26.4</v>
      </c>
    </row>
    <row r="503" spans="1:14" x14ac:dyDescent="0.25">
      <c r="A503" s="2">
        <v>7986537</v>
      </c>
      <c r="B503" s="2">
        <v>1.88</v>
      </c>
      <c r="C503" s="19">
        <f t="shared" si="44"/>
        <v>29.860380000000259</v>
      </c>
      <c r="H503" s="2">
        <f t="shared" si="45"/>
        <v>7389.1689999999999</v>
      </c>
      <c r="I503" s="2" t="str">
        <f t="shared" si="42"/>
        <v>02:03</v>
      </c>
      <c r="J503" s="3">
        <f t="shared" si="46"/>
        <v>0.86358498287671093</v>
      </c>
      <c r="K503" s="19">
        <v>33.631999999999998</v>
      </c>
      <c r="L503" s="21">
        <f t="shared" si="47"/>
        <v>4539.0026699999926</v>
      </c>
      <c r="M503" s="19">
        <f t="shared" si="43"/>
        <v>1.98</v>
      </c>
      <c r="N503" s="2">
        <v>26.5</v>
      </c>
    </row>
    <row r="504" spans="1:14" x14ac:dyDescent="0.25">
      <c r="A504" s="2">
        <v>8001629</v>
      </c>
      <c r="B504" s="2">
        <v>1.89</v>
      </c>
      <c r="C504" s="19">
        <f t="shared" si="44"/>
        <v>30.033079999999291</v>
      </c>
      <c r="H504" s="2">
        <f t="shared" si="45"/>
        <v>7404.2609999999995</v>
      </c>
      <c r="I504" s="2" t="str">
        <f t="shared" si="42"/>
        <v>02:03</v>
      </c>
      <c r="J504" s="3">
        <f t="shared" si="46"/>
        <v>0.8651722207424305</v>
      </c>
      <c r="K504" s="19">
        <v>33.613999999999997</v>
      </c>
      <c r="L504" s="21">
        <f t="shared" si="47"/>
        <v>4547.3451922222148</v>
      </c>
      <c r="M504" s="19">
        <f t="shared" si="43"/>
        <v>1.99</v>
      </c>
      <c r="N504" s="2">
        <v>26.5</v>
      </c>
    </row>
    <row r="505" spans="1:14" x14ac:dyDescent="0.25">
      <c r="A505" s="2">
        <v>8016704</v>
      </c>
      <c r="B505" s="2">
        <v>1.89</v>
      </c>
      <c r="C505" s="19">
        <f t="shared" si="44"/>
        <v>29.999249999999638</v>
      </c>
      <c r="H505" s="2">
        <f t="shared" si="45"/>
        <v>7419.3359999999993</v>
      </c>
      <c r="I505" s="2" t="str">
        <f t="shared" si="42"/>
        <v>02:03</v>
      </c>
      <c r="J505" s="3">
        <f t="shared" si="46"/>
        <v>0.86675767070437881</v>
      </c>
      <c r="K505" s="19">
        <v>33.615000000000002</v>
      </c>
      <c r="L505" s="21">
        <f t="shared" si="47"/>
        <v>4555.6783172222149</v>
      </c>
      <c r="M505" s="19">
        <f t="shared" si="43"/>
        <v>1.99</v>
      </c>
      <c r="N505" s="2">
        <v>26.5</v>
      </c>
    </row>
    <row r="506" spans="1:14" x14ac:dyDescent="0.25">
      <c r="A506" s="2">
        <v>8031787</v>
      </c>
      <c r="B506" s="2">
        <v>1.87</v>
      </c>
      <c r="C506" s="19">
        <f t="shared" si="44"/>
        <v>29.713510000001065</v>
      </c>
      <c r="H506" s="2">
        <f t="shared" si="45"/>
        <v>7434.4189999999999</v>
      </c>
      <c r="I506" s="2" t="str">
        <f t="shared" si="42"/>
        <v>02:03</v>
      </c>
      <c r="J506" s="3">
        <f t="shared" si="46"/>
        <v>0.86832801940639126</v>
      </c>
      <c r="K506" s="19">
        <v>33.613999999999997</v>
      </c>
      <c r="L506" s="21">
        <f t="shared" si="47"/>
        <v>4563.9320699999926</v>
      </c>
      <c r="M506" s="19">
        <f t="shared" si="43"/>
        <v>1.9700000000000002</v>
      </c>
      <c r="N506" s="2">
        <v>26.4</v>
      </c>
    </row>
    <row r="507" spans="1:14" x14ac:dyDescent="0.25">
      <c r="A507" s="2">
        <v>8046869</v>
      </c>
      <c r="B507" s="2">
        <v>1.9</v>
      </c>
      <c r="C507" s="19">
        <f t="shared" si="44"/>
        <v>30.16399999999885</v>
      </c>
      <c r="H507" s="2">
        <f t="shared" si="45"/>
        <v>7449.5009999999993</v>
      </c>
      <c r="I507" s="2" t="str">
        <f t="shared" si="42"/>
        <v>02:04</v>
      </c>
      <c r="J507" s="3">
        <f t="shared" si="46"/>
        <v>0.86992217634872171</v>
      </c>
      <c r="K507" s="19">
        <v>33.613999999999997</v>
      </c>
      <c r="L507" s="21">
        <f t="shared" si="47"/>
        <v>4572.310958888881</v>
      </c>
      <c r="M507" s="19">
        <f t="shared" si="43"/>
        <v>2</v>
      </c>
      <c r="N507" s="2">
        <v>26.3</v>
      </c>
    </row>
    <row r="508" spans="1:14" x14ac:dyDescent="0.25">
      <c r="A508" s="2">
        <v>8061951</v>
      </c>
      <c r="B508" s="2">
        <v>1.88</v>
      </c>
      <c r="C508" s="19">
        <f t="shared" si="44"/>
        <v>29.862360000000663</v>
      </c>
      <c r="H508" s="2">
        <f t="shared" si="45"/>
        <v>7464.5829999999996</v>
      </c>
      <c r="I508" s="2" t="str">
        <f t="shared" si="42"/>
        <v>02:04</v>
      </c>
      <c r="J508" s="3">
        <f t="shared" si="46"/>
        <v>0.87150039172162885</v>
      </c>
      <c r="K508" s="19">
        <v>33.613999999999997</v>
      </c>
      <c r="L508" s="21">
        <f t="shared" si="47"/>
        <v>4580.6060588888813</v>
      </c>
      <c r="M508" s="19">
        <f t="shared" si="43"/>
        <v>1.98</v>
      </c>
      <c r="N508" s="2">
        <v>26.4</v>
      </c>
    </row>
    <row r="509" spans="1:14" x14ac:dyDescent="0.25">
      <c r="A509" s="2">
        <v>8077032</v>
      </c>
      <c r="B509" s="2">
        <v>1.91</v>
      </c>
      <c r="C509" s="19">
        <f t="shared" si="44"/>
        <v>30.312810000000258</v>
      </c>
      <c r="H509" s="2">
        <f t="shared" si="45"/>
        <v>7479.6639999999998</v>
      </c>
      <c r="I509" s="2" t="str">
        <f t="shared" si="42"/>
        <v>02:04</v>
      </c>
      <c r="J509" s="3">
        <f t="shared" si="46"/>
        <v>0.87310241322086779</v>
      </c>
      <c r="K509" s="19">
        <v>33.61</v>
      </c>
      <c r="L509" s="21">
        <f t="shared" si="47"/>
        <v>4589.0262838888812</v>
      </c>
      <c r="M509" s="19">
        <f t="shared" si="43"/>
        <v>2.0099999999999998</v>
      </c>
      <c r="N509" s="2">
        <v>26.4</v>
      </c>
    </row>
    <row r="510" spans="1:14" x14ac:dyDescent="0.25">
      <c r="A510" s="2">
        <v>8092114</v>
      </c>
      <c r="B510" s="2">
        <v>1.85</v>
      </c>
      <c r="C510" s="19">
        <f t="shared" si="44"/>
        <v>29.409899999998881</v>
      </c>
      <c r="H510" s="2">
        <f t="shared" si="45"/>
        <v>7494.7459999999992</v>
      </c>
      <c r="I510" s="2" t="str">
        <f t="shared" si="42"/>
        <v>02:04</v>
      </c>
      <c r="J510" s="3">
        <f t="shared" si="46"/>
        <v>0.87465671623964003</v>
      </c>
      <c r="K510" s="19">
        <v>33.61</v>
      </c>
      <c r="L510" s="21">
        <f t="shared" si="47"/>
        <v>4597.1957005555478</v>
      </c>
      <c r="M510" s="19">
        <f t="shared" si="43"/>
        <v>1.9500000000000002</v>
      </c>
      <c r="N510" s="2">
        <v>26.6</v>
      </c>
    </row>
    <row r="511" spans="1:14" x14ac:dyDescent="0.25">
      <c r="A511" s="2">
        <v>8107196</v>
      </c>
      <c r="B511" s="2">
        <v>1.86</v>
      </c>
      <c r="C511" s="19">
        <f t="shared" si="44"/>
        <v>29.560720000000657</v>
      </c>
      <c r="H511" s="2">
        <f t="shared" si="45"/>
        <v>7509.8279999999995</v>
      </c>
      <c r="I511" s="2" t="str">
        <f t="shared" si="42"/>
        <v>02:05</v>
      </c>
      <c r="J511" s="3">
        <f t="shared" si="46"/>
        <v>0.87621899004312387</v>
      </c>
      <c r="K511" s="19">
        <v>33.670999999999999</v>
      </c>
      <c r="L511" s="21">
        <f t="shared" si="47"/>
        <v>4605.4070116666589</v>
      </c>
      <c r="M511" s="19">
        <f t="shared" si="43"/>
        <v>1.9600000000000002</v>
      </c>
      <c r="N511" s="2">
        <v>26.5</v>
      </c>
    </row>
    <row r="512" spans="1:14" x14ac:dyDescent="0.25">
      <c r="A512" s="2">
        <v>8122265</v>
      </c>
      <c r="B512" s="2">
        <v>1.83</v>
      </c>
      <c r="C512" s="19">
        <f t="shared" si="44"/>
        <v>29.083170000000802</v>
      </c>
      <c r="H512" s="2">
        <f t="shared" si="45"/>
        <v>7524.8969999999999</v>
      </c>
      <c r="I512" s="2" t="str">
        <f t="shared" si="42"/>
        <v>02:05</v>
      </c>
      <c r="J512" s="3">
        <f t="shared" si="46"/>
        <v>0.87775602549467135</v>
      </c>
      <c r="K512" s="19">
        <v>33.631999999999998</v>
      </c>
      <c r="L512" s="21">
        <f t="shared" si="47"/>
        <v>4613.4856699999928</v>
      </c>
      <c r="M512" s="19">
        <f t="shared" si="43"/>
        <v>1.9300000000000002</v>
      </c>
      <c r="N512" s="2">
        <v>26.5</v>
      </c>
    </row>
    <row r="513" spans="1:15" x14ac:dyDescent="0.25">
      <c r="A513" s="2">
        <v>8137349</v>
      </c>
      <c r="B513" s="2">
        <v>1.78</v>
      </c>
      <c r="C513" s="19">
        <f t="shared" si="44"/>
        <v>28.357919999999687</v>
      </c>
      <c r="H513" s="2">
        <f t="shared" si="45"/>
        <v>7539.9809999999998</v>
      </c>
      <c r="I513" s="2" t="str">
        <f t="shared" si="42"/>
        <v>02:05</v>
      </c>
      <c r="J513" s="3">
        <f t="shared" si="46"/>
        <v>0.87925473173515845</v>
      </c>
      <c r="K513" s="19">
        <v>33.619999999999997</v>
      </c>
      <c r="L513" s="21">
        <f t="shared" si="47"/>
        <v>4621.3628699999927</v>
      </c>
      <c r="M513" s="19">
        <f t="shared" si="43"/>
        <v>1.8800000000000001</v>
      </c>
      <c r="N513" s="2">
        <v>26.4</v>
      </c>
    </row>
    <row r="514" spans="1:15" x14ac:dyDescent="0.25">
      <c r="A514" s="2">
        <v>8152431</v>
      </c>
      <c r="B514" s="2">
        <v>1.78</v>
      </c>
      <c r="C514" s="19">
        <f t="shared" si="44"/>
        <v>28.35415999999892</v>
      </c>
      <c r="H514" s="2">
        <f t="shared" si="45"/>
        <v>7555.0629999999992</v>
      </c>
      <c r="I514" s="2" t="str">
        <f t="shared" si="42"/>
        <v>02:05</v>
      </c>
      <c r="J514" s="3">
        <f t="shared" si="46"/>
        <v>0.88075323926094906</v>
      </c>
      <c r="K514" s="19">
        <v>33.6</v>
      </c>
      <c r="L514" s="21">
        <f t="shared" si="47"/>
        <v>4629.2390255555483</v>
      </c>
      <c r="M514" s="19">
        <f t="shared" si="43"/>
        <v>1.8800000000000001</v>
      </c>
      <c r="N514" s="2">
        <v>26.3</v>
      </c>
    </row>
    <row r="515" spans="1:15" x14ac:dyDescent="0.25">
      <c r="A515" s="2">
        <v>8167513</v>
      </c>
      <c r="B515" s="2">
        <v>1.78</v>
      </c>
      <c r="C515" s="19">
        <f t="shared" si="44"/>
        <v>28.354160000000633</v>
      </c>
      <c r="H515" s="2">
        <f t="shared" si="45"/>
        <v>7570.1449999999995</v>
      </c>
      <c r="I515" s="2" t="str">
        <f t="shared" si="42"/>
        <v>02:06</v>
      </c>
      <c r="J515" s="3">
        <f t="shared" si="46"/>
        <v>0.88225174678673968</v>
      </c>
      <c r="K515" s="19">
        <v>33.61</v>
      </c>
      <c r="L515" s="21">
        <f t="shared" si="47"/>
        <v>4637.115181111104</v>
      </c>
      <c r="M515" s="19">
        <f t="shared" si="43"/>
        <v>1.8800000000000001</v>
      </c>
      <c r="N515" s="2">
        <v>26.5</v>
      </c>
    </row>
    <row r="516" spans="1:15" x14ac:dyDescent="0.25">
      <c r="A516" s="2">
        <v>8182582</v>
      </c>
      <c r="B516" s="2">
        <v>1.74</v>
      </c>
      <c r="C516" s="19">
        <f t="shared" si="44"/>
        <v>27.726960000000766</v>
      </c>
      <c r="H516" s="2">
        <f t="shared" si="45"/>
        <v>7585.2139999999999</v>
      </c>
      <c r="I516" s="2" t="str">
        <f t="shared" si="42"/>
        <v>02:06</v>
      </c>
      <c r="J516" s="3">
        <f t="shared" si="46"/>
        <v>0.88371710700997674</v>
      </c>
      <c r="K516" s="19">
        <v>33.64</v>
      </c>
      <c r="L516" s="21">
        <f t="shared" si="47"/>
        <v>4644.8171144444377</v>
      </c>
      <c r="M516" s="19">
        <f t="shared" si="43"/>
        <v>1.84</v>
      </c>
      <c r="N516" s="2">
        <v>26.4</v>
      </c>
    </row>
    <row r="517" spans="1:15" x14ac:dyDescent="0.25">
      <c r="A517" s="2">
        <v>8197653</v>
      </c>
      <c r="B517" s="2">
        <v>1.76</v>
      </c>
      <c r="C517" s="19">
        <f t="shared" si="44"/>
        <v>28.032059999999838</v>
      </c>
      <c r="H517" s="2">
        <f t="shared" si="45"/>
        <v>7600.2849999999999</v>
      </c>
      <c r="I517" s="2" t="str">
        <f t="shared" si="42"/>
        <v>02:06</v>
      </c>
      <c r="J517" s="3">
        <f t="shared" si="46"/>
        <v>0.88519859166243753</v>
      </c>
      <c r="K517" s="19">
        <v>33.631999999999998</v>
      </c>
      <c r="L517" s="21">
        <f t="shared" si="47"/>
        <v>4652.6037977777714</v>
      </c>
      <c r="M517" s="19">
        <f t="shared" si="43"/>
        <v>1.86</v>
      </c>
      <c r="N517" s="2">
        <v>26.4</v>
      </c>
    </row>
    <row r="518" spans="1:15" x14ac:dyDescent="0.25">
      <c r="A518" s="2">
        <v>8212726</v>
      </c>
      <c r="B518" s="2">
        <v>1.72</v>
      </c>
      <c r="C518" s="19">
        <f t="shared" si="44"/>
        <v>27.432860000000584</v>
      </c>
      <c r="H518" s="2">
        <f t="shared" si="45"/>
        <v>7615.3580000000002</v>
      </c>
      <c r="I518" s="2" t="str">
        <f t="shared" si="42"/>
        <v>02:06</v>
      </c>
      <c r="J518" s="3">
        <f t="shared" si="46"/>
        <v>0.88664840880263707</v>
      </c>
      <c r="K518" s="19">
        <v>33.633000000000003</v>
      </c>
      <c r="L518" s="21">
        <f t="shared" si="47"/>
        <v>4660.2240366666601</v>
      </c>
      <c r="M518" s="19">
        <f t="shared" si="43"/>
        <v>1.82</v>
      </c>
      <c r="N518" s="2">
        <v>26.6</v>
      </c>
    </row>
    <row r="519" spans="1:15" x14ac:dyDescent="0.25">
      <c r="A519" s="2">
        <v>8227797</v>
      </c>
      <c r="B519" s="2">
        <v>1.74</v>
      </c>
      <c r="C519" s="19">
        <f t="shared" si="44"/>
        <v>27.730639999999841</v>
      </c>
      <c r="H519" s="2">
        <f t="shared" si="45"/>
        <v>7630.4290000000001</v>
      </c>
      <c r="I519" s="2" t="str">
        <f t="shared" si="42"/>
        <v>02:07</v>
      </c>
      <c r="J519" s="3">
        <f t="shared" si="46"/>
        <v>0.88811396351259808</v>
      </c>
      <c r="K519" s="19">
        <v>33.651000000000003</v>
      </c>
      <c r="L519" s="21">
        <f t="shared" si="47"/>
        <v>4667.9269922222156</v>
      </c>
      <c r="M519" s="19">
        <f t="shared" si="43"/>
        <v>1.84</v>
      </c>
      <c r="N519" s="2">
        <v>26.6</v>
      </c>
    </row>
    <row r="520" spans="1:15" x14ac:dyDescent="0.25">
      <c r="A520" s="2">
        <v>8242868</v>
      </c>
      <c r="B520" s="2">
        <v>1.72</v>
      </c>
      <c r="C520" s="19">
        <f t="shared" si="44"/>
        <v>27.429219999999841</v>
      </c>
      <c r="H520" s="2">
        <f t="shared" si="45"/>
        <v>7645.5</v>
      </c>
      <c r="I520" s="2" t="str">
        <f t="shared" si="42"/>
        <v>02:07</v>
      </c>
      <c r="J520" s="3">
        <f t="shared" si="46"/>
        <v>0.88956358828005966</v>
      </c>
      <c r="K520" s="19">
        <v>33.593000000000004</v>
      </c>
      <c r="L520" s="21">
        <f t="shared" si="47"/>
        <v>4675.5462199999938</v>
      </c>
      <c r="M520" s="19">
        <f t="shared" si="43"/>
        <v>1.82</v>
      </c>
      <c r="N520" s="2">
        <v>26.4</v>
      </c>
    </row>
    <row r="521" spans="1:15" x14ac:dyDescent="0.25">
      <c r="A521" s="2">
        <v>8257940</v>
      </c>
      <c r="B521" s="2">
        <v>1.68</v>
      </c>
      <c r="C521" s="19">
        <f t="shared" si="44"/>
        <v>26.828160000000207</v>
      </c>
      <c r="H521" s="2">
        <f t="shared" si="45"/>
        <v>7660.5720000000001</v>
      </c>
      <c r="I521" s="2" t="str">
        <f t="shared" si="42"/>
        <v>02:07</v>
      </c>
      <c r="J521" s="3">
        <f t="shared" si="46"/>
        <v>0.89098144723490502</v>
      </c>
      <c r="K521" s="19">
        <v>33.631999999999998</v>
      </c>
      <c r="L521" s="21">
        <f t="shared" si="47"/>
        <v>4682.9984866666609</v>
      </c>
      <c r="M521" s="19">
        <f t="shared" si="43"/>
        <v>1.78</v>
      </c>
      <c r="N521" s="2">
        <v>26.6</v>
      </c>
    </row>
    <row r="522" spans="1:15" x14ac:dyDescent="0.25">
      <c r="A522" s="2">
        <v>8273025</v>
      </c>
      <c r="B522" s="2">
        <v>1.7</v>
      </c>
      <c r="C522" s="19">
        <f t="shared" si="44"/>
        <v>27.152999999998428</v>
      </c>
      <c r="H522" s="2">
        <f t="shared" si="45"/>
        <v>7675.6569999999992</v>
      </c>
      <c r="I522" s="2" t="str">
        <f t="shared" si="42"/>
        <v>02:07</v>
      </c>
      <c r="J522" s="3">
        <f t="shared" si="46"/>
        <v>0.89241647387113021</v>
      </c>
      <c r="K522" s="19">
        <v>33.633000000000003</v>
      </c>
      <c r="L522" s="21">
        <f t="shared" si="47"/>
        <v>4690.5409866666605</v>
      </c>
      <c r="M522" s="19">
        <f t="shared" si="43"/>
        <v>1.8</v>
      </c>
      <c r="N522" s="2">
        <v>26.7</v>
      </c>
    </row>
    <row r="523" spans="1:15" x14ac:dyDescent="0.25">
      <c r="A523" s="2">
        <v>8288106</v>
      </c>
      <c r="B523" s="2">
        <v>1.62</v>
      </c>
      <c r="C523" s="19">
        <f t="shared" si="44"/>
        <v>25.93932000000023</v>
      </c>
      <c r="H523" s="2">
        <f t="shared" si="45"/>
        <v>7690.7379999999994</v>
      </c>
      <c r="I523" s="2" t="str">
        <f t="shared" si="42"/>
        <v>02:08</v>
      </c>
      <c r="J523" s="3">
        <f t="shared" si="46"/>
        <v>0.89378735794013076</v>
      </c>
      <c r="K523" s="19">
        <v>33.633000000000003</v>
      </c>
      <c r="L523" s="21">
        <f t="shared" si="47"/>
        <v>4697.7463533333275</v>
      </c>
      <c r="M523" s="19">
        <f t="shared" si="43"/>
        <v>1.7200000000000002</v>
      </c>
      <c r="N523" s="2">
        <v>26.7</v>
      </c>
    </row>
    <row r="524" spans="1:15" x14ac:dyDescent="0.25">
      <c r="A524" s="2">
        <v>8303187</v>
      </c>
      <c r="B524" s="2">
        <v>1.63</v>
      </c>
      <c r="C524" s="19">
        <f>M524*(H524-H523)</f>
        <v>26.090130000000226</v>
      </c>
      <c r="G524" s="20"/>
      <c r="H524" s="20">
        <f t="shared" si="45"/>
        <v>7705.8189999999995</v>
      </c>
      <c r="I524" s="20" t="str">
        <f t="shared" si="42"/>
        <v>02:08</v>
      </c>
      <c r="J524" s="23">
        <f t="shared" si="46"/>
        <v>0.89516621226534654</v>
      </c>
      <c r="K524" s="22">
        <f>33.633</f>
        <v>33.633000000000003</v>
      </c>
      <c r="L524" s="24">
        <f>C524*1000/(60*60) + L523</f>
        <v>4704.9936116666613</v>
      </c>
      <c r="M524" s="22">
        <v>1.73</v>
      </c>
      <c r="N524" s="20">
        <v>26.6</v>
      </c>
      <c r="O524" s="20"/>
    </row>
    <row r="525" spans="1:15" x14ac:dyDescent="0.25">
      <c r="A525" s="2">
        <f>A524+15000</f>
        <v>8318187</v>
      </c>
      <c r="C525" s="19">
        <f t="shared" ref="C525:C588" si="48">M525*(H525-H524)</f>
        <v>25.820533184113501</v>
      </c>
      <c r="H525" s="2">
        <f t="shared" si="45"/>
        <v>7720.8189999999995</v>
      </c>
      <c r="I525" s="2" t="str">
        <f t="shared" si="42"/>
        <v>02:08</v>
      </c>
      <c r="J525" s="3">
        <f t="shared" si="46"/>
        <v>0.89653081849231009</v>
      </c>
      <c r="K525" s="19">
        <v>33.555708143849429</v>
      </c>
      <c r="L525" s="21">
        <f t="shared" ref="L525:L588" si="49">C525*1000/(60*60) + L524</f>
        <v>4712.1659819955821</v>
      </c>
      <c r="M525" s="19">
        <v>1.7213688789409001</v>
      </c>
      <c r="N525" s="2">
        <v>26.6</v>
      </c>
    </row>
    <row r="526" spans="1:15" x14ac:dyDescent="0.25">
      <c r="A526" s="2">
        <f t="shared" ref="A526:A589" si="50">A525+15000</f>
        <v>8333187</v>
      </c>
      <c r="C526" s="19">
        <f t="shared" si="48"/>
        <v>25.291942248899492</v>
      </c>
      <c r="H526" s="2">
        <f t="shared" si="45"/>
        <v>7735.8189999999995</v>
      </c>
      <c r="I526" s="2" t="str">
        <f t="shared" ref="I526:I589" si="51">TEXT(H526/86400,"hh:mm")</f>
        <v>02:08</v>
      </c>
      <c r="J526" s="3">
        <f t="shared" si="46"/>
        <v>0.89786748887160672</v>
      </c>
      <c r="K526" s="19">
        <v>33.590379019756767</v>
      </c>
      <c r="L526" s="21">
        <f t="shared" si="49"/>
        <v>4719.1915215091649</v>
      </c>
      <c r="M526" s="19">
        <v>1.686129483259966</v>
      </c>
      <c r="N526" s="2">
        <v>26.5</v>
      </c>
    </row>
    <row r="527" spans="1:15" x14ac:dyDescent="0.25">
      <c r="A527" s="2">
        <f t="shared" si="50"/>
        <v>8348187</v>
      </c>
      <c r="C527" s="19">
        <f t="shared" si="48"/>
        <v>24.679436922451707</v>
      </c>
      <c r="H527" s="2">
        <f t="shared" ref="H527:H590" si="52">(A527/1000-612.368)+15</f>
        <v>7750.8189999999995</v>
      </c>
      <c r="I527" s="2" t="str">
        <f t="shared" si="51"/>
        <v>02:09</v>
      </c>
      <c r="J527" s="3">
        <f t="shared" ref="J527:J590" si="53">L527/5256</f>
        <v>0.89917178855675228</v>
      </c>
      <c r="K527" s="19">
        <v>33.62232401745959</v>
      </c>
      <c r="L527" s="21">
        <f t="shared" si="49"/>
        <v>4726.0469206542903</v>
      </c>
      <c r="M527" s="19">
        <v>1.6452957948301139</v>
      </c>
      <c r="N527" s="2">
        <v>26.5</v>
      </c>
    </row>
    <row r="528" spans="1:15" x14ac:dyDescent="0.25">
      <c r="A528" s="2">
        <f t="shared" si="50"/>
        <v>8363187</v>
      </c>
      <c r="C528" s="19">
        <f t="shared" si="48"/>
        <v>24.302792313207242</v>
      </c>
      <c r="H528" s="2">
        <f t="shared" si="52"/>
        <v>7765.8189999999995</v>
      </c>
      <c r="I528" s="2" t="str">
        <f t="shared" si="51"/>
        <v>02:09</v>
      </c>
      <c r="J528" s="3">
        <f t="shared" si="53"/>
        <v>0.9004561827048797</v>
      </c>
      <c r="K528" s="19">
        <v>33.583316150218337</v>
      </c>
      <c r="L528" s="21">
        <f t="shared" si="49"/>
        <v>4732.7976962968478</v>
      </c>
      <c r="M528" s="19">
        <v>1.6201861542138161</v>
      </c>
      <c r="N528" s="2">
        <v>26.4</v>
      </c>
    </row>
    <row r="529" spans="1:14" x14ac:dyDescent="0.25">
      <c r="A529" s="2">
        <f t="shared" si="50"/>
        <v>8378187</v>
      </c>
      <c r="C529" s="19">
        <f t="shared" si="48"/>
        <v>23.891870831400301</v>
      </c>
      <c r="H529" s="2">
        <f t="shared" si="52"/>
        <v>7780.8189999999995</v>
      </c>
      <c r="I529" s="2" t="str">
        <f t="shared" si="51"/>
        <v>02:09</v>
      </c>
      <c r="J529" s="3">
        <f t="shared" si="53"/>
        <v>0.90171885979515753</v>
      </c>
      <c r="K529" s="19">
        <v>33.616468247632127</v>
      </c>
      <c r="L529" s="21">
        <f t="shared" si="49"/>
        <v>4739.4343270833479</v>
      </c>
      <c r="M529" s="19">
        <v>1.59279138876002</v>
      </c>
      <c r="N529" s="2">
        <v>26.3</v>
      </c>
    </row>
    <row r="530" spans="1:14" x14ac:dyDescent="0.25">
      <c r="A530" s="2">
        <f t="shared" si="50"/>
        <v>8393187</v>
      </c>
      <c r="C530" s="19">
        <f t="shared" si="48"/>
        <v>23.635658665527256</v>
      </c>
      <c r="H530" s="2">
        <f t="shared" si="52"/>
        <v>7795.8189999999995</v>
      </c>
      <c r="I530" s="2" t="str">
        <f t="shared" si="51"/>
        <v>02:09</v>
      </c>
      <c r="J530" s="3">
        <f t="shared" si="53"/>
        <v>0.90296799616129597</v>
      </c>
      <c r="K530" s="19">
        <v>33.574544118379762</v>
      </c>
      <c r="L530" s="21">
        <f t="shared" si="49"/>
        <v>4745.9997878237718</v>
      </c>
      <c r="M530" s="19">
        <v>1.575710577701817</v>
      </c>
      <c r="N530" s="2">
        <v>26.5</v>
      </c>
    </row>
    <row r="531" spans="1:14" x14ac:dyDescent="0.25">
      <c r="A531" s="2">
        <f t="shared" si="50"/>
        <v>8408187</v>
      </c>
      <c r="C531" s="19">
        <f t="shared" si="48"/>
        <v>23.252697686542575</v>
      </c>
      <c r="H531" s="2">
        <f t="shared" si="52"/>
        <v>7810.8189999999995</v>
      </c>
      <c r="I531" s="2" t="str">
        <f t="shared" si="51"/>
        <v>02:10</v>
      </c>
      <c r="J531" s="3">
        <f t="shared" si="53"/>
        <v>0.90419689317246532</v>
      </c>
      <c r="K531" s="19">
        <v>33.591608452065309</v>
      </c>
      <c r="L531" s="21">
        <f t="shared" si="49"/>
        <v>4752.4588705144779</v>
      </c>
      <c r="M531" s="19">
        <v>1.5501798457695051</v>
      </c>
      <c r="N531" s="2">
        <v>26.4</v>
      </c>
    </row>
    <row r="532" spans="1:14" x14ac:dyDescent="0.25">
      <c r="A532" s="2">
        <f t="shared" si="50"/>
        <v>8423187</v>
      </c>
      <c r="C532" s="19">
        <f t="shared" si="48"/>
        <v>22.870398121670309</v>
      </c>
      <c r="H532" s="2">
        <f t="shared" si="52"/>
        <v>7825.8189999999995</v>
      </c>
      <c r="I532" s="2" t="str">
        <f t="shared" si="51"/>
        <v>02:10</v>
      </c>
      <c r="J532" s="3">
        <f t="shared" si="53"/>
        <v>0.90540558578417207</v>
      </c>
      <c r="K532" s="19">
        <v>33.617297008831443</v>
      </c>
      <c r="L532" s="21">
        <f t="shared" si="49"/>
        <v>4758.8117588816085</v>
      </c>
      <c r="M532" s="19">
        <v>1.524693208111354</v>
      </c>
      <c r="N532" s="2">
        <v>26.4</v>
      </c>
    </row>
    <row r="533" spans="1:14" x14ac:dyDescent="0.25">
      <c r="A533" s="2">
        <f t="shared" si="50"/>
        <v>8438187</v>
      </c>
      <c r="C533" s="19">
        <f t="shared" si="48"/>
        <v>22.789484675991211</v>
      </c>
      <c r="H533" s="2">
        <f t="shared" si="52"/>
        <v>7840.8189999999995</v>
      </c>
      <c r="I533" s="2" t="str">
        <f t="shared" si="51"/>
        <v>02:10</v>
      </c>
      <c r="J533" s="3">
        <f t="shared" si="53"/>
        <v>0.90661000214832688</v>
      </c>
      <c r="K533" s="19">
        <v>33.628519672861813</v>
      </c>
      <c r="L533" s="21">
        <f t="shared" si="49"/>
        <v>4765.1421712916062</v>
      </c>
      <c r="M533" s="19">
        <v>1.519298978399414</v>
      </c>
      <c r="N533" s="2">
        <v>26.6</v>
      </c>
    </row>
    <row r="534" spans="1:14" x14ac:dyDescent="0.25">
      <c r="A534" s="2">
        <f t="shared" si="50"/>
        <v>8453187</v>
      </c>
      <c r="C534" s="19">
        <f t="shared" si="48"/>
        <v>22.481856733324619</v>
      </c>
      <c r="H534" s="2">
        <f t="shared" si="52"/>
        <v>7855.8189999999995</v>
      </c>
      <c r="I534" s="2" t="str">
        <f t="shared" si="51"/>
        <v>02:10</v>
      </c>
      <c r="J534" s="3">
        <f t="shared" si="53"/>
        <v>0.9077981604823645</v>
      </c>
      <c r="K534" s="19">
        <v>33.572507612235583</v>
      </c>
      <c r="L534" s="21">
        <f t="shared" si="49"/>
        <v>4771.3871314953076</v>
      </c>
      <c r="M534" s="19">
        <v>1.4987904488883079</v>
      </c>
      <c r="N534" s="2">
        <v>26.6</v>
      </c>
    </row>
    <row r="535" spans="1:14" x14ac:dyDescent="0.25">
      <c r="A535" s="2">
        <f t="shared" si="50"/>
        <v>8468187</v>
      </c>
      <c r="C535" s="19">
        <f t="shared" si="48"/>
        <v>22.313386917779475</v>
      </c>
      <c r="H535" s="2">
        <f t="shared" si="52"/>
        <v>7870.8189999999995</v>
      </c>
      <c r="I535" s="2" t="str">
        <f t="shared" si="51"/>
        <v>02:11</v>
      </c>
      <c r="J535" s="3">
        <f t="shared" si="53"/>
        <v>0.90897741524505782</v>
      </c>
      <c r="K535" s="19">
        <v>33.566398476177589</v>
      </c>
      <c r="L535" s="21">
        <f t="shared" si="49"/>
        <v>4777.585294528024</v>
      </c>
      <c r="M535" s="19">
        <v>1.4875591278519651</v>
      </c>
      <c r="N535" s="2">
        <v>26.4</v>
      </c>
    </row>
    <row r="536" spans="1:14" x14ac:dyDescent="0.25">
      <c r="A536" s="2">
        <f t="shared" si="50"/>
        <v>8483187</v>
      </c>
      <c r="C536" s="19">
        <f t="shared" si="48"/>
        <v>21.827400106362347</v>
      </c>
      <c r="H536" s="2">
        <f t="shared" si="52"/>
        <v>7885.8189999999995</v>
      </c>
      <c r="I536" s="2" t="str">
        <f t="shared" si="51"/>
        <v>02:11</v>
      </c>
      <c r="J536" s="3">
        <f t="shared" si="53"/>
        <v>0.91013098577325646</v>
      </c>
      <c r="K536" s="19">
        <v>33.56902814693386</v>
      </c>
      <c r="L536" s="21">
        <f t="shared" si="49"/>
        <v>4783.6484612242357</v>
      </c>
      <c r="M536" s="19">
        <v>1.455160007090823</v>
      </c>
      <c r="N536" s="2">
        <v>26.6</v>
      </c>
    </row>
    <row r="537" spans="1:14" x14ac:dyDescent="0.25">
      <c r="A537" s="2">
        <f t="shared" si="50"/>
        <v>8498187</v>
      </c>
      <c r="C537" s="19">
        <f t="shared" si="48"/>
        <v>21.332250432179148</v>
      </c>
      <c r="H537" s="2">
        <f t="shared" si="52"/>
        <v>7900.8189999999995</v>
      </c>
      <c r="I537" s="2" t="str">
        <f t="shared" si="51"/>
        <v>02:11</v>
      </c>
      <c r="J537" s="3">
        <f t="shared" si="53"/>
        <v>0.91125838781283963</v>
      </c>
      <c r="K537" s="19">
        <v>33.597831458647072</v>
      </c>
      <c r="L537" s="21">
        <f t="shared" si="49"/>
        <v>4789.5740863442852</v>
      </c>
      <c r="M537" s="19">
        <v>1.4221500288119431</v>
      </c>
      <c r="N537" s="2">
        <v>26.7</v>
      </c>
    </row>
    <row r="538" spans="1:14" x14ac:dyDescent="0.25">
      <c r="A538" s="2">
        <f t="shared" si="50"/>
        <v>8513187</v>
      </c>
      <c r="C538" s="19">
        <f t="shared" si="48"/>
        <v>21.261267147101968</v>
      </c>
      <c r="H538" s="2">
        <f t="shared" si="52"/>
        <v>7915.8189999999995</v>
      </c>
      <c r="I538" s="2" t="str">
        <f t="shared" si="51"/>
        <v>02:11</v>
      </c>
      <c r="J538" s="3">
        <f t="shared" si="53"/>
        <v>0.91238203841041599</v>
      </c>
      <c r="K538" s="19">
        <v>33.589045697070489</v>
      </c>
      <c r="L538" s="21">
        <f t="shared" si="49"/>
        <v>4795.4799938851465</v>
      </c>
      <c r="M538" s="19">
        <v>1.417417809806798</v>
      </c>
      <c r="N538" s="2">
        <v>26.7</v>
      </c>
    </row>
    <row r="539" spans="1:14" x14ac:dyDescent="0.25">
      <c r="A539" s="2">
        <f t="shared" si="50"/>
        <v>8528187</v>
      </c>
      <c r="C539" s="19">
        <f t="shared" si="48"/>
        <v>20.893846995478185</v>
      </c>
      <c r="H539" s="2">
        <f t="shared" si="52"/>
        <v>7930.8189999999995</v>
      </c>
      <c r="I539" s="2" t="str">
        <f t="shared" si="51"/>
        <v>02:12</v>
      </c>
      <c r="J539" s="3">
        <f t="shared" si="53"/>
        <v>0.91348627098036139</v>
      </c>
      <c r="K539" s="19">
        <v>33.650632736686113</v>
      </c>
      <c r="L539" s="21">
        <f t="shared" si="49"/>
        <v>4801.2838402727793</v>
      </c>
      <c r="M539" s="19">
        <v>1.392923133031879</v>
      </c>
      <c r="N539" s="2">
        <v>26.6</v>
      </c>
    </row>
    <row r="540" spans="1:14" x14ac:dyDescent="0.25">
      <c r="A540" s="2">
        <f t="shared" si="50"/>
        <v>8543187</v>
      </c>
      <c r="C540" s="19">
        <f t="shared" si="48"/>
        <v>20.580355974222929</v>
      </c>
      <c r="H540" s="2">
        <f t="shared" si="52"/>
        <v>7945.8189999999995</v>
      </c>
      <c r="I540" s="2" t="str">
        <f t="shared" si="51"/>
        <v>02:12</v>
      </c>
      <c r="J540" s="3">
        <f t="shared" si="53"/>
        <v>0.91457393565851874</v>
      </c>
      <c r="K540" s="19">
        <v>33.601822363593179</v>
      </c>
      <c r="L540" s="21">
        <f t="shared" si="49"/>
        <v>4807.0006058211748</v>
      </c>
      <c r="M540" s="19">
        <v>1.372023731614862</v>
      </c>
      <c r="N540" s="2">
        <v>26.2</v>
      </c>
    </row>
    <row r="541" spans="1:14" x14ac:dyDescent="0.25">
      <c r="A541" s="2">
        <f t="shared" si="50"/>
        <v>8558187</v>
      </c>
      <c r="C541" s="19">
        <f t="shared" si="48"/>
        <v>20.353555108920975</v>
      </c>
      <c r="H541" s="2">
        <f t="shared" si="52"/>
        <v>7960.8189999999995</v>
      </c>
      <c r="I541" s="2" t="str">
        <f t="shared" si="51"/>
        <v>02:12</v>
      </c>
      <c r="J541" s="3">
        <f t="shared" si="53"/>
        <v>0.91564961398957545</v>
      </c>
      <c r="K541" s="19">
        <v>33.642692400420948</v>
      </c>
      <c r="L541" s="21">
        <f t="shared" si="49"/>
        <v>4812.6543711292088</v>
      </c>
      <c r="M541" s="19">
        <v>1.3569036739280651</v>
      </c>
      <c r="N541" s="2">
        <v>26.3</v>
      </c>
    </row>
    <row r="542" spans="1:14" x14ac:dyDescent="0.25">
      <c r="A542" s="2">
        <f t="shared" si="50"/>
        <v>8573187</v>
      </c>
      <c r="C542" s="19">
        <f t="shared" si="48"/>
        <v>20.090479193425857</v>
      </c>
      <c r="H542" s="2">
        <f t="shared" si="52"/>
        <v>7975.8189999999995</v>
      </c>
      <c r="I542" s="2" t="str">
        <f t="shared" si="51"/>
        <v>02:12</v>
      </c>
      <c r="J542" s="3">
        <f t="shared" si="53"/>
        <v>0.91671138884970504</v>
      </c>
      <c r="K542" s="19">
        <v>33.633999019141463</v>
      </c>
      <c r="L542" s="21">
        <f t="shared" si="49"/>
        <v>4818.2350597940494</v>
      </c>
      <c r="M542" s="19">
        <v>1.3393652795617239</v>
      </c>
      <c r="N542" s="2">
        <v>26.4</v>
      </c>
    </row>
    <row r="543" spans="1:14" x14ac:dyDescent="0.25">
      <c r="A543" s="2">
        <f t="shared" si="50"/>
        <v>8588187</v>
      </c>
      <c r="C543" s="19">
        <f t="shared" si="48"/>
        <v>19.626018329997134</v>
      </c>
      <c r="H543" s="2">
        <f t="shared" si="52"/>
        <v>7990.8189999999995</v>
      </c>
      <c r="I543" s="2" t="str">
        <f t="shared" si="51"/>
        <v>02:13</v>
      </c>
      <c r="J543" s="3">
        <f t="shared" si="53"/>
        <v>0.91774861711422795</v>
      </c>
      <c r="K543" s="19">
        <v>33.559342707317363</v>
      </c>
      <c r="L543" s="21">
        <f t="shared" si="49"/>
        <v>4823.6867315523823</v>
      </c>
      <c r="M543" s="19">
        <v>1.3084012219998089</v>
      </c>
      <c r="N543" s="2">
        <v>26.4</v>
      </c>
    </row>
    <row r="544" spans="1:14" x14ac:dyDescent="0.25">
      <c r="A544" s="2">
        <f t="shared" si="50"/>
        <v>8603187</v>
      </c>
      <c r="C544" s="19">
        <f t="shared" si="48"/>
        <v>19.308298099543034</v>
      </c>
      <c r="H544" s="2">
        <f t="shared" si="52"/>
        <v>8005.8189999999995</v>
      </c>
      <c r="I544" s="2" t="str">
        <f t="shared" si="51"/>
        <v>02:13</v>
      </c>
      <c r="J544" s="3">
        <f t="shared" si="53"/>
        <v>0.91876905397472297</v>
      </c>
      <c r="K544" s="19">
        <v>33.608770055468582</v>
      </c>
      <c r="L544" s="21">
        <f t="shared" si="49"/>
        <v>4829.050147691144</v>
      </c>
      <c r="M544" s="19">
        <v>1.287219873302869</v>
      </c>
      <c r="N544" s="2">
        <v>26.3</v>
      </c>
    </row>
    <row r="545" spans="1:14" x14ac:dyDescent="0.25">
      <c r="A545" s="2">
        <f t="shared" si="50"/>
        <v>8618187</v>
      </c>
      <c r="C545" s="19">
        <f t="shared" si="48"/>
        <v>18.934760528539336</v>
      </c>
      <c r="H545" s="2">
        <f t="shared" si="52"/>
        <v>8020.8189999999995</v>
      </c>
      <c r="I545" s="2" t="str">
        <f t="shared" si="51"/>
        <v>02:13</v>
      </c>
      <c r="J545" s="3">
        <f t="shared" si="53"/>
        <v>0.91976974950409351</v>
      </c>
      <c r="K545" s="19">
        <v>33.571409664269723</v>
      </c>
      <c r="L545" s="21">
        <f t="shared" si="49"/>
        <v>4834.3098033935157</v>
      </c>
      <c r="M545" s="19">
        <v>1.262317368569289</v>
      </c>
      <c r="N545" s="2">
        <v>26.3</v>
      </c>
    </row>
    <row r="546" spans="1:14" x14ac:dyDescent="0.25">
      <c r="A546" s="2">
        <f t="shared" si="50"/>
        <v>8633187</v>
      </c>
      <c r="C546" s="19">
        <f t="shared" si="48"/>
        <v>18.774109566317758</v>
      </c>
      <c r="H546" s="2">
        <f t="shared" si="52"/>
        <v>8035.8189999999995</v>
      </c>
      <c r="I546" s="2" t="str">
        <f t="shared" si="51"/>
        <v>02:13</v>
      </c>
      <c r="J546" s="3">
        <f t="shared" si="53"/>
        <v>0.92076195468580746</v>
      </c>
      <c r="K546" s="19">
        <v>33.633217947550357</v>
      </c>
      <c r="L546" s="21">
        <f t="shared" si="49"/>
        <v>4839.5248338286037</v>
      </c>
      <c r="M546" s="19">
        <v>1.251607304421184</v>
      </c>
      <c r="N546" s="2">
        <v>26.2</v>
      </c>
    </row>
    <row r="547" spans="1:14" x14ac:dyDescent="0.25">
      <c r="A547" s="2">
        <f t="shared" si="50"/>
        <v>8648187</v>
      </c>
      <c r="C547" s="19">
        <f t="shared" si="48"/>
        <v>18.521336697312659</v>
      </c>
      <c r="H547" s="2">
        <f t="shared" si="52"/>
        <v>8050.8189999999995</v>
      </c>
      <c r="I547" s="2" t="str">
        <f t="shared" si="51"/>
        <v>02:14</v>
      </c>
      <c r="J547" s="3">
        <f t="shared" si="53"/>
        <v>0.9217408009090291</v>
      </c>
      <c r="K547" s="19">
        <v>33.597212278371593</v>
      </c>
      <c r="L547" s="21">
        <f t="shared" si="49"/>
        <v>4844.6696495778569</v>
      </c>
      <c r="M547" s="19">
        <v>1.2347557798208439</v>
      </c>
      <c r="N547" s="2">
        <v>26.2</v>
      </c>
    </row>
    <row r="548" spans="1:14" x14ac:dyDescent="0.25">
      <c r="A548" s="2">
        <f t="shared" si="50"/>
        <v>8663187</v>
      </c>
      <c r="C548" s="19">
        <f t="shared" si="48"/>
        <v>18.154250717812978</v>
      </c>
      <c r="H548" s="2">
        <f t="shared" si="52"/>
        <v>8065.8189999999995</v>
      </c>
      <c r="I548" s="2" t="str">
        <f t="shared" si="51"/>
        <v>02:14</v>
      </c>
      <c r="J548" s="3">
        <f t="shared" si="53"/>
        <v>0.92270024676550078</v>
      </c>
      <c r="K548" s="19">
        <v>33.584369416208453</v>
      </c>
      <c r="L548" s="21">
        <f t="shared" si="49"/>
        <v>4849.712496999472</v>
      </c>
      <c r="M548" s="19">
        <v>1.210283381187532</v>
      </c>
      <c r="N548" s="2">
        <v>26.3</v>
      </c>
    </row>
    <row r="549" spans="1:14" x14ac:dyDescent="0.25">
      <c r="A549" s="2">
        <f t="shared" si="50"/>
        <v>8678187</v>
      </c>
      <c r="C549" s="19">
        <f t="shared" si="48"/>
        <v>17.868342021127273</v>
      </c>
      <c r="H549" s="2">
        <f t="shared" si="52"/>
        <v>8080.8189999999995</v>
      </c>
      <c r="I549" s="2" t="str">
        <f t="shared" si="51"/>
        <v>02:14</v>
      </c>
      <c r="J549" s="3">
        <f t="shared" si="53"/>
        <v>0.9236445824464754</v>
      </c>
      <c r="K549" s="19">
        <v>33.63675084784969</v>
      </c>
      <c r="L549" s="21">
        <f t="shared" si="49"/>
        <v>4854.6759253386745</v>
      </c>
      <c r="M549" s="19">
        <v>1.1912228014084849</v>
      </c>
      <c r="N549" s="2">
        <v>26.4</v>
      </c>
    </row>
    <row r="550" spans="1:14" x14ac:dyDescent="0.25">
      <c r="A550" s="2">
        <f t="shared" si="50"/>
        <v>8693187</v>
      </c>
      <c r="C550" s="19">
        <f t="shared" si="48"/>
        <v>17.717530578858558</v>
      </c>
      <c r="H550" s="2">
        <f t="shared" si="52"/>
        <v>8095.8189999999995</v>
      </c>
      <c r="I550" s="2" t="str">
        <f t="shared" si="51"/>
        <v>02:14</v>
      </c>
      <c r="J550" s="3">
        <f t="shared" si="53"/>
        <v>0.92458094779501132</v>
      </c>
      <c r="K550" s="19">
        <v>33.580093914084181</v>
      </c>
      <c r="L550" s="21">
        <f t="shared" si="49"/>
        <v>4859.5974616105796</v>
      </c>
      <c r="M550" s="19">
        <v>1.1811687052572371</v>
      </c>
      <c r="N550" s="2">
        <v>26.4</v>
      </c>
    </row>
    <row r="551" spans="1:14" x14ac:dyDescent="0.25">
      <c r="A551" s="2">
        <f t="shared" si="50"/>
        <v>8708187</v>
      </c>
      <c r="C551" s="19">
        <f t="shared" si="48"/>
        <v>17.417200586206725</v>
      </c>
      <c r="H551" s="2">
        <f t="shared" si="52"/>
        <v>8110.8189999999995</v>
      </c>
      <c r="I551" s="2" t="str">
        <f t="shared" si="51"/>
        <v>02:15</v>
      </c>
      <c r="J551" s="3">
        <f t="shared" si="53"/>
        <v>0.92550144080755814</v>
      </c>
      <c r="K551" s="19">
        <v>33.562465223524612</v>
      </c>
      <c r="L551" s="21">
        <f t="shared" si="49"/>
        <v>4864.4355728845258</v>
      </c>
      <c r="M551" s="19">
        <v>1.161146705747115</v>
      </c>
      <c r="N551" s="2">
        <v>26.3</v>
      </c>
    </row>
    <row r="552" spans="1:14" x14ac:dyDescent="0.25">
      <c r="A552" s="2">
        <f t="shared" si="50"/>
        <v>8723187</v>
      </c>
      <c r="C552" s="19">
        <f t="shared" si="48"/>
        <v>17.204638083703575</v>
      </c>
      <c r="H552" s="2">
        <f t="shared" si="52"/>
        <v>8125.8189999999995</v>
      </c>
      <c r="I552" s="2" t="str">
        <f t="shared" si="51"/>
        <v>02:15</v>
      </c>
      <c r="J552" s="3">
        <f t="shared" si="53"/>
        <v>0.92641069996554193</v>
      </c>
      <c r="K552" s="19">
        <v>33.607344400694153</v>
      </c>
      <c r="L552" s="21">
        <f t="shared" si="49"/>
        <v>4869.2146390188882</v>
      </c>
      <c r="M552" s="19">
        <v>1.146975872246905</v>
      </c>
      <c r="N552" s="2">
        <v>26.3</v>
      </c>
    </row>
    <row r="553" spans="1:14" x14ac:dyDescent="0.25">
      <c r="A553" s="2">
        <f t="shared" si="50"/>
        <v>8738187</v>
      </c>
      <c r="C553" s="19">
        <f t="shared" si="48"/>
        <v>16.994614641794985</v>
      </c>
      <c r="H553" s="2">
        <f t="shared" si="52"/>
        <v>8140.8189999999995</v>
      </c>
      <c r="I553" s="2" t="str">
        <f t="shared" si="51"/>
        <v>02:15</v>
      </c>
      <c r="J553" s="3">
        <f t="shared" si="53"/>
        <v>0.92730885945743446</v>
      </c>
      <c r="K553" s="19">
        <v>33.568344876367469</v>
      </c>
      <c r="L553" s="21">
        <f t="shared" si="49"/>
        <v>4873.9353653082753</v>
      </c>
      <c r="M553" s="19">
        <v>1.1329743094529989</v>
      </c>
      <c r="N553" s="2">
        <v>26.4</v>
      </c>
    </row>
    <row r="554" spans="1:14" x14ac:dyDescent="0.25">
      <c r="A554" s="2">
        <f t="shared" si="50"/>
        <v>8753187</v>
      </c>
      <c r="C554" s="19">
        <f t="shared" si="48"/>
        <v>16.724131394759311</v>
      </c>
      <c r="H554" s="2">
        <f t="shared" si="52"/>
        <v>8155.8189999999995</v>
      </c>
      <c r="I554" s="2" t="str">
        <f t="shared" si="51"/>
        <v>02:15</v>
      </c>
      <c r="J554" s="3">
        <f t="shared" si="53"/>
        <v>0.92819272400349606</v>
      </c>
      <c r="K554" s="19">
        <v>33.56106481932963</v>
      </c>
      <c r="L554" s="21">
        <f t="shared" si="49"/>
        <v>4878.5809573623756</v>
      </c>
      <c r="M554" s="19">
        <v>1.114942092983954</v>
      </c>
      <c r="N554" s="2">
        <v>26.3</v>
      </c>
    </row>
    <row r="555" spans="1:14" x14ac:dyDescent="0.25">
      <c r="A555" s="2">
        <f t="shared" si="50"/>
        <v>8768187</v>
      </c>
      <c r="C555" s="19">
        <f t="shared" si="48"/>
        <v>16.375132116483329</v>
      </c>
      <c r="H555" s="2">
        <f t="shared" si="52"/>
        <v>8170.8189999999995</v>
      </c>
      <c r="I555" s="2" t="str">
        <f t="shared" si="51"/>
        <v>02:16</v>
      </c>
      <c r="J555" s="3">
        <f t="shared" si="53"/>
        <v>0.92905814405869658</v>
      </c>
      <c r="K555" s="19">
        <v>33.536323379428403</v>
      </c>
      <c r="L555" s="21">
        <f t="shared" si="49"/>
        <v>4883.1296051725094</v>
      </c>
      <c r="M555" s="19">
        <v>1.0916754744322219</v>
      </c>
      <c r="N555" s="2">
        <v>26.3</v>
      </c>
    </row>
    <row r="556" spans="1:14" x14ac:dyDescent="0.25">
      <c r="A556" s="2">
        <f t="shared" si="50"/>
        <v>8783187</v>
      </c>
      <c r="C556" s="19">
        <f t="shared" si="48"/>
        <v>16.228730145193889</v>
      </c>
      <c r="H556" s="2">
        <f t="shared" si="52"/>
        <v>8185.8189999999995</v>
      </c>
      <c r="I556" s="2" t="str">
        <f t="shared" si="51"/>
        <v>02:16</v>
      </c>
      <c r="J556" s="3">
        <f t="shared" si="53"/>
        <v>0.92991582682047125</v>
      </c>
      <c r="K556" s="19">
        <v>33.609422138146783</v>
      </c>
      <c r="L556" s="21">
        <f t="shared" si="49"/>
        <v>4887.637585768397</v>
      </c>
      <c r="M556" s="19">
        <v>1.081915343012926</v>
      </c>
      <c r="N556" s="2">
        <v>26.2</v>
      </c>
    </row>
    <row r="557" spans="1:14" x14ac:dyDescent="0.25">
      <c r="A557" s="2">
        <f t="shared" si="50"/>
        <v>8798187</v>
      </c>
      <c r="C557" s="19">
        <f t="shared" si="48"/>
        <v>15.890600898414419</v>
      </c>
      <c r="H557" s="2">
        <f t="shared" si="52"/>
        <v>8200.8189999999995</v>
      </c>
      <c r="I557" s="2" t="str">
        <f t="shared" si="51"/>
        <v>02:16</v>
      </c>
      <c r="J557" s="3">
        <f t="shared" si="53"/>
        <v>0.93075563956878082</v>
      </c>
      <c r="K557" s="19">
        <v>33.579984469827558</v>
      </c>
      <c r="L557" s="21">
        <f t="shared" si="49"/>
        <v>4892.0516415735119</v>
      </c>
      <c r="M557" s="19">
        <v>1.0593733932276279</v>
      </c>
      <c r="N557" s="2">
        <v>26.2</v>
      </c>
    </row>
    <row r="558" spans="1:14" x14ac:dyDescent="0.25">
      <c r="A558" s="2">
        <f t="shared" si="50"/>
        <v>8813187</v>
      </c>
      <c r="C558" s="19">
        <f t="shared" si="48"/>
        <v>15.856948429140317</v>
      </c>
      <c r="H558" s="2">
        <f t="shared" si="52"/>
        <v>8215.8189999999995</v>
      </c>
      <c r="I558" s="2" t="str">
        <f t="shared" si="51"/>
        <v>02:16</v>
      </c>
      <c r="J558" s="3">
        <f t="shared" si="53"/>
        <v>0.93159367379575631</v>
      </c>
      <c r="K558" s="19">
        <v>33.56304038420047</v>
      </c>
      <c r="L558" s="21">
        <f t="shared" si="49"/>
        <v>4896.4563494704953</v>
      </c>
      <c r="M558" s="19">
        <v>1.0571298952760211</v>
      </c>
      <c r="N558" s="2">
        <v>26.3</v>
      </c>
    </row>
    <row r="559" spans="1:14" x14ac:dyDescent="0.25">
      <c r="A559" s="2">
        <f t="shared" si="50"/>
        <v>8828187</v>
      </c>
      <c r="C559" s="19">
        <f t="shared" si="48"/>
        <v>15.439399544864445</v>
      </c>
      <c r="H559" s="2">
        <f t="shared" si="52"/>
        <v>8230.8189999999995</v>
      </c>
      <c r="I559" s="2" t="str">
        <f t="shared" si="51"/>
        <v>02:17</v>
      </c>
      <c r="J559" s="3">
        <f t="shared" si="53"/>
        <v>0.93240964070895949</v>
      </c>
      <c r="K559" s="19">
        <v>33.568360558707212</v>
      </c>
      <c r="L559" s="21">
        <f t="shared" si="49"/>
        <v>4900.7450715662908</v>
      </c>
      <c r="M559" s="19">
        <v>1.029293302990963</v>
      </c>
      <c r="N559" s="2">
        <v>26.4</v>
      </c>
    </row>
    <row r="560" spans="1:14" x14ac:dyDescent="0.25">
      <c r="A560" s="2">
        <f t="shared" si="50"/>
        <v>8843187</v>
      </c>
      <c r="C560" s="19">
        <f t="shared" si="48"/>
        <v>15.419755481333999</v>
      </c>
      <c r="H560" s="2">
        <f t="shared" si="52"/>
        <v>8245.8189999999995</v>
      </c>
      <c r="I560" s="2" t="str">
        <f t="shared" si="51"/>
        <v>02:17</v>
      </c>
      <c r="J560" s="3">
        <f t="shared" si="53"/>
        <v>0.93322456944021548</v>
      </c>
      <c r="K560" s="19">
        <v>33.58792717781423</v>
      </c>
      <c r="L560" s="21">
        <f t="shared" si="49"/>
        <v>4905.0283369777726</v>
      </c>
      <c r="M560" s="19">
        <v>1.0279836987555999</v>
      </c>
      <c r="N560" s="2">
        <v>26.1</v>
      </c>
    </row>
    <row r="561" spans="1:14" x14ac:dyDescent="0.25">
      <c r="A561" s="2">
        <f t="shared" si="50"/>
        <v>8858187</v>
      </c>
      <c r="C561" s="19">
        <f t="shared" si="48"/>
        <v>14.963201949151259</v>
      </c>
      <c r="H561" s="2">
        <f t="shared" si="52"/>
        <v>8260.8189999999995</v>
      </c>
      <c r="I561" s="2" t="str">
        <f t="shared" si="51"/>
        <v>02:17</v>
      </c>
      <c r="J561" s="3">
        <f t="shared" si="53"/>
        <v>0.93401536947557984</v>
      </c>
      <c r="K561" s="19">
        <v>33.635784940787957</v>
      </c>
      <c r="L561" s="21">
        <f t="shared" si="49"/>
        <v>4909.1847819636478</v>
      </c>
      <c r="M561" s="19">
        <v>0.99754679661008394</v>
      </c>
      <c r="N561" s="2">
        <v>26.2</v>
      </c>
    </row>
    <row r="562" spans="1:14" x14ac:dyDescent="0.25">
      <c r="A562" s="2">
        <f t="shared" si="50"/>
        <v>8873187</v>
      </c>
      <c r="C562" s="19">
        <f t="shared" si="48"/>
        <v>14.827501206523063</v>
      </c>
      <c r="H562" s="2">
        <f t="shared" si="52"/>
        <v>8275.8189999999995</v>
      </c>
      <c r="I562" s="2" t="str">
        <f t="shared" si="51"/>
        <v>02:17</v>
      </c>
      <c r="J562" s="3">
        <f t="shared" si="53"/>
        <v>0.93479899777374309</v>
      </c>
      <c r="K562" s="19">
        <v>33.627497817048187</v>
      </c>
      <c r="L562" s="21">
        <f t="shared" si="49"/>
        <v>4913.3035322987935</v>
      </c>
      <c r="M562" s="19">
        <v>0.98850008043487092</v>
      </c>
      <c r="N562" s="2">
        <v>26.3</v>
      </c>
    </row>
    <row r="563" spans="1:14" x14ac:dyDescent="0.25">
      <c r="A563" s="2">
        <f t="shared" si="50"/>
        <v>8888187</v>
      </c>
      <c r="C563" s="19">
        <f t="shared" si="48"/>
        <v>14.638831779774302</v>
      </c>
      <c r="H563" s="2">
        <f t="shared" si="52"/>
        <v>8290.8189999999995</v>
      </c>
      <c r="I563" s="2" t="str">
        <f t="shared" si="51"/>
        <v>02:18</v>
      </c>
      <c r="J563" s="3">
        <f t="shared" si="53"/>
        <v>0.93557265495811304</v>
      </c>
      <c r="K563" s="19">
        <v>33.550108710700982</v>
      </c>
      <c r="L563" s="21">
        <f t="shared" si="49"/>
        <v>4917.3698744598423</v>
      </c>
      <c r="M563" s="19">
        <v>0.97592211865162015</v>
      </c>
      <c r="N563" s="2">
        <v>26.3</v>
      </c>
    </row>
    <row r="564" spans="1:14" x14ac:dyDescent="0.25">
      <c r="A564" s="2">
        <f t="shared" si="50"/>
        <v>8903187</v>
      </c>
      <c r="C564" s="19">
        <f t="shared" si="48"/>
        <v>14.289277840653906</v>
      </c>
      <c r="H564" s="2">
        <f t="shared" si="52"/>
        <v>8305.8189999999995</v>
      </c>
      <c r="I564" s="2" t="str">
        <f t="shared" si="51"/>
        <v>02:18</v>
      </c>
      <c r="J564" s="3">
        <f t="shared" si="53"/>
        <v>0.93632783833798872</v>
      </c>
      <c r="K564" s="19">
        <v>33.635156894228693</v>
      </c>
      <c r="L564" s="21">
        <f t="shared" si="49"/>
        <v>4921.3391183044687</v>
      </c>
      <c r="M564" s="19">
        <v>0.95261852271026037</v>
      </c>
      <c r="N564" s="2">
        <v>26.3</v>
      </c>
    </row>
    <row r="565" spans="1:14" x14ac:dyDescent="0.25">
      <c r="A565" s="2">
        <f t="shared" si="50"/>
        <v>8918187</v>
      </c>
      <c r="C565" s="19">
        <f t="shared" si="48"/>
        <v>14.113944183930819</v>
      </c>
      <c r="H565" s="2">
        <f t="shared" si="52"/>
        <v>8320.8189999999995</v>
      </c>
      <c r="I565" s="2" t="str">
        <f t="shared" si="51"/>
        <v>02:18</v>
      </c>
      <c r="J565" s="3">
        <f t="shared" si="53"/>
        <v>0.93707375539489357</v>
      </c>
      <c r="K565" s="19">
        <v>33.614521348413597</v>
      </c>
      <c r="L565" s="21">
        <f t="shared" si="49"/>
        <v>4925.2596583555605</v>
      </c>
      <c r="M565" s="19">
        <v>0.94092961226205463</v>
      </c>
      <c r="N565" s="2">
        <v>26.1</v>
      </c>
    </row>
    <row r="566" spans="1:14" x14ac:dyDescent="0.25">
      <c r="A566" s="2">
        <f t="shared" si="50"/>
        <v>8933187</v>
      </c>
      <c r="C566" s="19">
        <f t="shared" si="48"/>
        <v>13.912269363444668</v>
      </c>
      <c r="H566" s="2">
        <f t="shared" si="52"/>
        <v>8335.8189999999995</v>
      </c>
      <c r="I566" s="2" t="str">
        <f t="shared" si="51"/>
        <v>02:18</v>
      </c>
      <c r="J566" s="3">
        <f t="shared" si="53"/>
        <v>0.93780901400745498</v>
      </c>
      <c r="K566" s="19">
        <v>33.646717967313407</v>
      </c>
      <c r="L566" s="21">
        <f t="shared" si="49"/>
        <v>4929.1241776231836</v>
      </c>
      <c r="M566" s="19">
        <v>0.92748462422964451</v>
      </c>
      <c r="N566" s="2">
        <v>26.1</v>
      </c>
    </row>
    <row r="567" spans="1:14" x14ac:dyDescent="0.25">
      <c r="A567" s="2">
        <f t="shared" si="50"/>
        <v>8948187</v>
      </c>
      <c r="C567" s="19">
        <f t="shared" si="48"/>
        <v>13.76943415782269</v>
      </c>
      <c r="H567" s="2">
        <f t="shared" si="52"/>
        <v>8350.8189999999995</v>
      </c>
      <c r="I567" s="2" t="str">
        <f t="shared" si="51"/>
        <v>02:19</v>
      </c>
      <c r="J567" s="3">
        <f t="shared" si="53"/>
        <v>0.93853672382891951</v>
      </c>
      <c r="K567" s="19">
        <v>33.596167556758267</v>
      </c>
      <c r="L567" s="21">
        <f t="shared" si="49"/>
        <v>4932.9490204448011</v>
      </c>
      <c r="M567" s="19">
        <v>0.91796227718817935</v>
      </c>
      <c r="N567" s="2">
        <v>26</v>
      </c>
    </row>
    <row r="568" spans="1:14" x14ac:dyDescent="0.25">
      <c r="A568" s="2">
        <f t="shared" si="50"/>
        <v>8963187</v>
      </c>
      <c r="C568" s="19">
        <f t="shared" si="48"/>
        <v>13.500731299224414</v>
      </c>
      <c r="H568" s="2">
        <f t="shared" si="52"/>
        <v>8365.8189999999995</v>
      </c>
      <c r="I568" s="2" t="str">
        <f t="shared" si="51"/>
        <v>02:19</v>
      </c>
      <c r="J568" s="3">
        <f t="shared" si="53"/>
        <v>0.93925023279746478</v>
      </c>
      <c r="K568" s="19">
        <v>33.648058179303668</v>
      </c>
      <c r="L568" s="21">
        <f t="shared" si="49"/>
        <v>4936.699223583475</v>
      </c>
      <c r="M568" s="19">
        <v>0.90004875328162759</v>
      </c>
      <c r="N568" s="2">
        <v>25.9</v>
      </c>
    </row>
    <row r="569" spans="1:14" x14ac:dyDescent="0.25">
      <c r="A569" s="2">
        <f t="shared" si="50"/>
        <v>8978187</v>
      </c>
      <c r="C569" s="19">
        <f t="shared" si="48"/>
        <v>13.304294106603457</v>
      </c>
      <c r="H569" s="2">
        <f t="shared" si="52"/>
        <v>8380.8189999999995</v>
      </c>
      <c r="I569" s="2" t="str">
        <f t="shared" si="51"/>
        <v>02:19</v>
      </c>
      <c r="J569" s="3">
        <f t="shared" si="53"/>
        <v>0.93995336012848352</v>
      </c>
      <c r="K569" s="19">
        <v>33.591072516622212</v>
      </c>
      <c r="L569" s="21">
        <f t="shared" si="49"/>
        <v>4940.3948608353094</v>
      </c>
      <c r="M569" s="19">
        <v>0.88695294044023054</v>
      </c>
      <c r="N569" s="2">
        <v>25.9</v>
      </c>
    </row>
    <row r="570" spans="1:14" x14ac:dyDescent="0.25">
      <c r="A570" s="2">
        <f t="shared" si="50"/>
        <v>8993187</v>
      </c>
      <c r="C570" s="19">
        <f t="shared" si="48"/>
        <v>13.078644413663712</v>
      </c>
      <c r="H570" s="2">
        <f t="shared" si="52"/>
        <v>8395.8189999999995</v>
      </c>
      <c r="I570" s="2" t="str">
        <f t="shared" si="51"/>
        <v>02:19</v>
      </c>
      <c r="J570" s="3">
        <f t="shared" si="53"/>
        <v>0.94064456195146162</v>
      </c>
      <c r="K570" s="19">
        <v>33.580513692941928</v>
      </c>
      <c r="L570" s="21">
        <f t="shared" si="49"/>
        <v>4944.0278176168822</v>
      </c>
      <c r="M570" s="19">
        <v>0.87190962757758084</v>
      </c>
      <c r="N570" s="2">
        <v>26</v>
      </c>
    </row>
    <row r="571" spans="1:14" x14ac:dyDescent="0.25">
      <c r="A571" s="2">
        <f t="shared" si="50"/>
        <v>9008187</v>
      </c>
      <c r="C571" s="19">
        <f t="shared" si="48"/>
        <v>12.933562748437776</v>
      </c>
      <c r="H571" s="2">
        <f t="shared" si="52"/>
        <v>8410.8189999999995</v>
      </c>
      <c r="I571" s="2" t="str">
        <f t="shared" si="51"/>
        <v>02:20</v>
      </c>
      <c r="J571" s="3">
        <f t="shared" si="53"/>
        <v>0.94132809625873148</v>
      </c>
      <c r="K571" s="19">
        <v>33.593721601035448</v>
      </c>
      <c r="L571" s="21">
        <f t="shared" si="49"/>
        <v>4947.6204739358927</v>
      </c>
      <c r="M571" s="19">
        <v>0.86223751656251835</v>
      </c>
      <c r="N571" s="2">
        <v>25.9</v>
      </c>
    </row>
    <row r="572" spans="1:14" x14ac:dyDescent="0.25">
      <c r="A572" s="2">
        <f t="shared" si="50"/>
        <v>9023187</v>
      </c>
      <c r="C572" s="19">
        <f t="shared" si="48"/>
        <v>12.761141533483011</v>
      </c>
      <c r="H572" s="2">
        <f t="shared" si="52"/>
        <v>8425.8189999999995</v>
      </c>
      <c r="I572" s="2" t="str">
        <f t="shared" si="51"/>
        <v>02:20</v>
      </c>
      <c r="J572" s="3">
        <f t="shared" si="53"/>
        <v>0.94200251816456837</v>
      </c>
      <c r="K572" s="19">
        <v>33.547817970026223</v>
      </c>
      <c r="L572" s="21">
        <f t="shared" si="49"/>
        <v>4951.1652354729713</v>
      </c>
      <c r="M572" s="19">
        <v>0.85074276889886735</v>
      </c>
      <c r="N572" s="2">
        <v>25.9</v>
      </c>
    </row>
    <row r="573" spans="1:14" x14ac:dyDescent="0.25">
      <c r="A573" s="2">
        <f t="shared" si="50"/>
        <v>9038187</v>
      </c>
      <c r="C573" s="19">
        <f t="shared" si="48"/>
        <v>12.709628877777043</v>
      </c>
      <c r="H573" s="2">
        <f t="shared" si="52"/>
        <v>8440.8189999999995</v>
      </c>
      <c r="I573" s="2" t="str">
        <f t="shared" si="51"/>
        <v>02:20</v>
      </c>
      <c r="J573" s="3">
        <f t="shared" si="53"/>
        <v>0.94267421764441039</v>
      </c>
      <c r="K573" s="19">
        <v>33.577097353642039</v>
      </c>
      <c r="L573" s="21">
        <f t="shared" si="49"/>
        <v>4954.6956879390209</v>
      </c>
      <c r="M573" s="19">
        <v>0.84730859185180285</v>
      </c>
      <c r="N573" s="2">
        <v>25.9</v>
      </c>
    </row>
    <row r="574" spans="1:14" x14ac:dyDescent="0.25">
      <c r="A574" s="2">
        <f t="shared" si="50"/>
        <v>9053187</v>
      </c>
      <c r="C574" s="19">
        <f t="shared" si="48"/>
        <v>12.380061663536278</v>
      </c>
      <c r="H574" s="2">
        <f t="shared" si="52"/>
        <v>8455.8189999999995</v>
      </c>
      <c r="I574" s="2" t="str">
        <f t="shared" si="51"/>
        <v>02:20</v>
      </c>
      <c r="J574" s="3">
        <f t="shared" si="53"/>
        <v>0.94332849961123855</v>
      </c>
      <c r="K574" s="19">
        <v>33.602531347189618</v>
      </c>
      <c r="L574" s="21">
        <f t="shared" si="49"/>
        <v>4958.13459395667</v>
      </c>
      <c r="M574" s="19">
        <v>0.82533744423575184</v>
      </c>
      <c r="N574" s="2">
        <v>26</v>
      </c>
    </row>
    <row r="575" spans="1:14" x14ac:dyDescent="0.25">
      <c r="A575" s="2">
        <f t="shared" si="50"/>
        <v>9068187</v>
      </c>
      <c r="C575" s="19">
        <f t="shared" si="48"/>
        <v>12.108515859556871</v>
      </c>
      <c r="H575" s="2">
        <f t="shared" si="52"/>
        <v>8470.8189999999995</v>
      </c>
      <c r="I575" s="2" t="str">
        <f t="shared" si="51"/>
        <v>02:21</v>
      </c>
      <c r="J575" s="3">
        <f t="shared" si="53"/>
        <v>0.94396843047646961</v>
      </c>
      <c r="K575" s="19">
        <v>33.571892737431618</v>
      </c>
      <c r="L575" s="21">
        <f t="shared" si="49"/>
        <v>4961.4980705843245</v>
      </c>
      <c r="M575" s="19">
        <v>0.80723439063712465</v>
      </c>
      <c r="N575" s="2">
        <v>26.1</v>
      </c>
    </row>
    <row r="576" spans="1:14" x14ac:dyDescent="0.25">
      <c r="A576" s="2">
        <f t="shared" si="50"/>
        <v>9083187</v>
      </c>
      <c r="C576" s="19">
        <f t="shared" si="48"/>
        <v>11.998210553420007</v>
      </c>
      <c r="H576" s="2">
        <f t="shared" si="52"/>
        <v>8485.8189999999995</v>
      </c>
      <c r="I576" s="2" t="str">
        <f t="shared" si="51"/>
        <v>02:21</v>
      </c>
      <c r="J576" s="3">
        <f t="shared" si="53"/>
        <v>0.94460253174451358</v>
      </c>
      <c r="K576" s="19">
        <v>33.604433410958691</v>
      </c>
      <c r="L576" s="21">
        <f t="shared" si="49"/>
        <v>4964.8309068491635</v>
      </c>
      <c r="M576" s="19">
        <v>0.79988070356133378</v>
      </c>
      <c r="N576" s="2">
        <v>26</v>
      </c>
    </row>
    <row r="577" spans="1:14" x14ac:dyDescent="0.25">
      <c r="A577" s="2">
        <f t="shared" si="50"/>
        <v>9098187</v>
      </c>
      <c r="C577" s="19">
        <f t="shared" si="48"/>
        <v>11.982066157414792</v>
      </c>
      <c r="H577" s="2">
        <f t="shared" si="52"/>
        <v>8500.8189999999995</v>
      </c>
      <c r="I577" s="2" t="str">
        <f t="shared" si="51"/>
        <v>02:21</v>
      </c>
      <c r="J577" s="3">
        <f t="shared" si="53"/>
        <v>0.94523577978682582</v>
      </c>
      <c r="K577" s="19">
        <v>33.566453177604842</v>
      </c>
      <c r="L577" s="21">
        <f t="shared" si="49"/>
        <v>4968.1592585595563</v>
      </c>
      <c r="M577" s="19">
        <v>0.79880441049431949</v>
      </c>
      <c r="N577" s="2">
        <v>25.9</v>
      </c>
    </row>
    <row r="578" spans="1:14" x14ac:dyDescent="0.25">
      <c r="A578" s="2">
        <f t="shared" si="50"/>
        <v>9113187</v>
      </c>
      <c r="C578" s="19">
        <f t="shared" si="48"/>
        <v>11.705323751314111</v>
      </c>
      <c r="H578" s="2">
        <f t="shared" si="52"/>
        <v>8515.8189999999995</v>
      </c>
      <c r="I578" s="2" t="str">
        <f t="shared" si="51"/>
        <v>02:21</v>
      </c>
      <c r="J578" s="3">
        <f t="shared" si="53"/>
        <v>0.94585440208892047</v>
      </c>
      <c r="K578" s="19">
        <v>33.60263380015806</v>
      </c>
      <c r="L578" s="21">
        <f t="shared" si="49"/>
        <v>4971.4107373793659</v>
      </c>
      <c r="M578" s="19">
        <v>0.78035491675427404</v>
      </c>
      <c r="N578" s="2">
        <v>25.9</v>
      </c>
    </row>
    <row r="579" spans="1:14" x14ac:dyDescent="0.25">
      <c r="A579" s="2">
        <f t="shared" si="50"/>
        <v>9128187</v>
      </c>
      <c r="C579" s="19">
        <f t="shared" si="48"/>
        <v>11.387203874470954</v>
      </c>
      <c r="H579" s="2">
        <f t="shared" si="52"/>
        <v>8530.8189999999995</v>
      </c>
      <c r="I579" s="2" t="str">
        <f t="shared" si="51"/>
        <v>02:22</v>
      </c>
      <c r="J579" s="3">
        <f t="shared" si="53"/>
        <v>0.94645621186581419</v>
      </c>
      <c r="K579" s="19">
        <v>33.591564218733239</v>
      </c>
      <c r="L579" s="21">
        <f t="shared" si="49"/>
        <v>4974.5738495667192</v>
      </c>
      <c r="M579" s="19">
        <v>0.75914692496473024</v>
      </c>
      <c r="N579" s="2">
        <v>26</v>
      </c>
    </row>
    <row r="580" spans="1:14" x14ac:dyDescent="0.25">
      <c r="A580" s="2">
        <f t="shared" si="50"/>
        <v>9143187</v>
      </c>
      <c r="C580" s="19">
        <f t="shared" si="48"/>
        <v>11.377828952056186</v>
      </c>
      <c r="H580" s="2">
        <f t="shared" si="52"/>
        <v>8545.8189999999995</v>
      </c>
      <c r="I580" s="2" t="str">
        <f t="shared" si="51"/>
        <v>02:22</v>
      </c>
      <c r="J580" s="3">
        <f t="shared" si="53"/>
        <v>0.94705752618130845</v>
      </c>
      <c r="K580" s="19">
        <v>33.581859309041263</v>
      </c>
      <c r="L580" s="21">
        <f t="shared" si="49"/>
        <v>4977.734357608957</v>
      </c>
      <c r="M580" s="19">
        <v>0.75852193013707903</v>
      </c>
      <c r="N580" s="2">
        <v>25.9</v>
      </c>
    </row>
    <row r="581" spans="1:14" x14ac:dyDescent="0.25">
      <c r="A581" s="2">
        <f t="shared" si="50"/>
        <v>9158187</v>
      </c>
      <c r="C581" s="19">
        <f t="shared" si="48"/>
        <v>10.981626374441444</v>
      </c>
      <c r="H581" s="2">
        <f t="shared" si="52"/>
        <v>8560.8189999999995</v>
      </c>
      <c r="I581" s="2" t="str">
        <f t="shared" si="51"/>
        <v>02:22</v>
      </c>
      <c r="J581" s="3">
        <f t="shared" si="53"/>
        <v>0.94763790132793679</v>
      </c>
      <c r="K581" s="19">
        <v>33.617925661185481</v>
      </c>
      <c r="L581" s="21">
        <f t="shared" si="49"/>
        <v>4980.7848093796356</v>
      </c>
      <c r="M581" s="19">
        <v>0.73210842496276285</v>
      </c>
      <c r="N581" s="2">
        <v>25.9</v>
      </c>
    </row>
    <row r="582" spans="1:14" x14ac:dyDescent="0.25">
      <c r="A582" s="2">
        <f t="shared" si="50"/>
        <v>9173187</v>
      </c>
      <c r="C582" s="19">
        <f t="shared" si="48"/>
        <v>10.997235292629016</v>
      </c>
      <c r="H582" s="2">
        <f t="shared" si="52"/>
        <v>8575.8189999999995</v>
      </c>
      <c r="I582" s="2" t="str">
        <f t="shared" si="51"/>
        <v>02:22</v>
      </c>
      <c r="J582" s="3">
        <f t="shared" si="53"/>
        <v>0.94821910140047982</v>
      </c>
      <c r="K582" s="19">
        <v>33.603767667468219</v>
      </c>
      <c r="L582" s="21">
        <f t="shared" si="49"/>
        <v>4983.8395969609219</v>
      </c>
      <c r="M582" s="19">
        <v>0.73314901950860112</v>
      </c>
      <c r="N582" s="2">
        <v>25.9</v>
      </c>
    </row>
    <row r="583" spans="1:14" x14ac:dyDescent="0.25">
      <c r="A583" s="2">
        <f t="shared" si="50"/>
        <v>9188187</v>
      </c>
      <c r="C583" s="19">
        <f t="shared" si="48"/>
        <v>10.721438734823922</v>
      </c>
      <c r="H583" s="2">
        <f t="shared" si="52"/>
        <v>8590.8189999999995</v>
      </c>
      <c r="I583" s="2" t="str">
        <f t="shared" si="51"/>
        <v>02:23</v>
      </c>
      <c r="J583" s="3">
        <f t="shared" si="53"/>
        <v>0.94878572572055975</v>
      </c>
      <c r="K583" s="19">
        <v>33.578817476901051</v>
      </c>
      <c r="L583" s="21">
        <f t="shared" si="49"/>
        <v>4986.817774387262</v>
      </c>
      <c r="M583" s="19">
        <v>0.71476258232159473</v>
      </c>
      <c r="N583" s="2">
        <v>25.8</v>
      </c>
    </row>
    <row r="584" spans="1:14" x14ac:dyDescent="0.25">
      <c r="A584" s="2">
        <f t="shared" si="50"/>
        <v>9203187</v>
      </c>
      <c r="C584" s="19">
        <f t="shared" si="48"/>
        <v>10.713762967766288</v>
      </c>
      <c r="H584" s="2">
        <f t="shared" si="52"/>
        <v>8605.8189999999995</v>
      </c>
      <c r="I584" s="2" t="str">
        <f t="shared" si="51"/>
        <v>02:23</v>
      </c>
      <c r="J584" s="3">
        <f t="shared" si="53"/>
        <v>0.94935194437901183</v>
      </c>
      <c r="K584" s="19">
        <v>33.561456518783899</v>
      </c>
      <c r="L584" s="21">
        <f t="shared" si="49"/>
        <v>4989.7938196560863</v>
      </c>
      <c r="M584" s="19">
        <v>0.71425086451775255</v>
      </c>
      <c r="N584" s="2">
        <v>25.8</v>
      </c>
    </row>
    <row r="585" spans="1:14" x14ac:dyDescent="0.25">
      <c r="A585" s="2">
        <f t="shared" si="50"/>
        <v>9218187</v>
      </c>
      <c r="C585" s="19">
        <f t="shared" si="48"/>
        <v>10.465686082332198</v>
      </c>
      <c r="H585" s="2">
        <f t="shared" si="52"/>
        <v>8620.8189999999995</v>
      </c>
      <c r="I585" s="2" t="str">
        <f t="shared" si="51"/>
        <v>02:23</v>
      </c>
      <c r="J585" s="3">
        <f t="shared" si="53"/>
        <v>0.94990505226007538</v>
      </c>
      <c r="K585" s="19">
        <v>33.605390429505967</v>
      </c>
      <c r="L585" s="21">
        <f t="shared" si="49"/>
        <v>4992.7009546789559</v>
      </c>
      <c r="M585" s="19">
        <v>0.69771240548881319</v>
      </c>
      <c r="N585" s="2">
        <v>25.8</v>
      </c>
    </row>
    <row r="586" spans="1:14" x14ac:dyDescent="0.25">
      <c r="A586" s="2">
        <f t="shared" si="50"/>
        <v>9233187</v>
      </c>
      <c r="C586" s="19">
        <f t="shared" si="48"/>
        <v>10.438717094086215</v>
      </c>
      <c r="H586" s="2">
        <f t="shared" si="52"/>
        <v>8635.8189999999995</v>
      </c>
      <c r="I586" s="2" t="str">
        <f t="shared" si="51"/>
        <v>02:23</v>
      </c>
      <c r="J586" s="3">
        <f t="shared" si="53"/>
        <v>0.95045673483946014</v>
      </c>
      <c r="K586" s="19">
        <v>33.550474834485293</v>
      </c>
      <c r="L586" s="21">
        <f t="shared" si="49"/>
        <v>4995.6005983162022</v>
      </c>
      <c r="M586" s="19">
        <v>0.69591447293908104</v>
      </c>
      <c r="N586" s="2">
        <v>25.8</v>
      </c>
    </row>
    <row r="587" spans="1:14" x14ac:dyDescent="0.25">
      <c r="A587" s="2">
        <f t="shared" si="50"/>
        <v>9248187</v>
      </c>
      <c r="C587" s="19">
        <f t="shared" si="48"/>
        <v>10.069118480752353</v>
      </c>
      <c r="H587" s="2">
        <f t="shared" si="52"/>
        <v>8650.8189999999995</v>
      </c>
      <c r="I587" s="2" t="str">
        <f t="shared" si="51"/>
        <v>02:24</v>
      </c>
      <c r="J587" s="3">
        <f t="shared" si="53"/>
        <v>0.95098888426026762</v>
      </c>
      <c r="K587" s="19">
        <v>33.565606948802539</v>
      </c>
      <c r="L587" s="21">
        <f t="shared" si="49"/>
        <v>4998.3975756719665</v>
      </c>
      <c r="M587" s="19">
        <v>0.67127456538349017</v>
      </c>
      <c r="N587" s="2">
        <v>25.6</v>
      </c>
    </row>
    <row r="588" spans="1:14" x14ac:dyDescent="0.25">
      <c r="A588" s="2">
        <f t="shared" si="50"/>
        <v>9263187</v>
      </c>
      <c r="C588" s="19">
        <f t="shared" si="48"/>
        <v>9.9151499508237109</v>
      </c>
      <c r="H588" s="2">
        <f t="shared" si="52"/>
        <v>8665.8189999999995</v>
      </c>
      <c r="I588" s="2" t="str">
        <f t="shared" si="51"/>
        <v>02:24</v>
      </c>
      <c r="J588" s="3">
        <f t="shared" si="53"/>
        <v>0.95151289649764836</v>
      </c>
      <c r="K588" s="19">
        <v>33.576469433918447</v>
      </c>
      <c r="L588" s="21">
        <f t="shared" si="49"/>
        <v>5001.1517839916396</v>
      </c>
      <c r="M588" s="19">
        <v>0.66100999672158067</v>
      </c>
      <c r="N588" s="2">
        <v>25.8</v>
      </c>
    </row>
    <row r="589" spans="1:14" x14ac:dyDescent="0.25">
      <c r="A589" s="2">
        <f t="shared" si="50"/>
        <v>9278187</v>
      </c>
      <c r="C589" s="19">
        <f t="shared" ref="C589:C615" si="54">M589*(H589-H588)</f>
        <v>9.995081562449645</v>
      </c>
      <c r="H589" s="2">
        <f t="shared" si="52"/>
        <v>8680.8189999999995</v>
      </c>
      <c r="I589" s="2" t="str">
        <f t="shared" si="51"/>
        <v>02:24</v>
      </c>
      <c r="J589" s="3">
        <f t="shared" si="53"/>
        <v>0.95204113309299165</v>
      </c>
      <c r="K589" s="19">
        <v>33.607299491866733</v>
      </c>
      <c r="L589" s="21">
        <f t="shared" ref="L589:L605" si="55">C589*1000/(60*60) + L588</f>
        <v>5003.9281955367642</v>
      </c>
      <c r="M589" s="19">
        <v>0.66633877082997639</v>
      </c>
      <c r="N589" s="2">
        <v>25.8</v>
      </c>
    </row>
    <row r="590" spans="1:14" x14ac:dyDescent="0.25">
      <c r="A590" s="2">
        <f t="shared" ref="A590:A653" si="56">A589+15000</f>
        <v>9293187</v>
      </c>
      <c r="C590" s="19">
        <f t="shared" si="54"/>
        <v>9.6482404304152212</v>
      </c>
      <c r="H590" s="2">
        <f t="shared" si="52"/>
        <v>8695.8189999999995</v>
      </c>
      <c r="I590" s="2" t="str">
        <f t="shared" ref="I590:I608" si="57">TEXT(H590/86400,"hh:mm")</f>
        <v>02:24</v>
      </c>
      <c r="J590" s="3">
        <f t="shared" si="53"/>
        <v>0.95255103925475459</v>
      </c>
      <c r="K590" s="19">
        <v>33.63317179380369</v>
      </c>
      <c r="L590" s="21">
        <f t="shared" si="55"/>
        <v>5006.6082623229904</v>
      </c>
      <c r="M590" s="19">
        <v>0.64321602869434802</v>
      </c>
      <c r="N590" s="2">
        <v>25.6</v>
      </c>
    </row>
    <row r="591" spans="1:14" x14ac:dyDescent="0.25">
      <c r="A591" s="2">
        <f t="shared" si="56"/>
        <v>9308187</v>
      </c>
      <c r="C591" s="19">
        <f t="shared" si="54"/>
        <v>9.6897590317559725</v>
      </c>
      <c r="H591" s="2">
        <f t="shared" ref="H591:H608" si="58">(A591/1000-612.368)+15</f>
        <v>8710.8189999999995</v>
      </c>
      <c r="I591" s="2" t="str">
        <f t="shared" si="57"/>
        <v>02:25</v>
      </c>
      <c r="J591" s="3">
        <f t="shared" ref="J591:J615" si="59">L591/5256</f>
        <v>0.95306313966020428</v>
      </c>
      <c r="K591" s="19">
        <v>33.639976034026922</v>
      </c>
      <c r="L591" s="21">
        <f t="shared" si="55"/>
        <v>5009.2998620540338</v>
      </c>
      <c r="M591" s="19">
        <v>0.64598393545039812</v>
      </c>
      <c r="N591" s="2">
        <v>25.8</v>
      </c>
    </row>
    <row r="592" spans="1:14" x14ac:dyDescent="0.25">
      <c r="A592" s="2">
        <f t="shared" si="56"/>
        <v>9323187</v>
      </c>
      <c r="C592" s="19">
        <f t="shared" si="54"/>
        <v>9.5015356089014116</v>
      </c>
      <c r="H592" s="2">
        <f t="shared" si="58"/>
        <v>8725.8189999999995</v>
      </c>
      <c r="I592" s="2" t="str">
        <f t="shared" si="57"/>
        <v>02:25</v>
      </c>
      <c r="J592" s="3">
        <f t="shared" si="59"/>
        <v>0.95356529252301192</v>
      </c>
      <c r="K592" s="19">
        <v>33.628012404526586</v>
      </c>
      <c r="L592" s="21">
        <f t="shared" si="55"/>
        <v>5011.9391775009508</v>
      </c>
      <c r="M592" s="19">
        <v>0.63343570726009413</v>
      </c>
      <c r="N592" s="2">
        <v>25.7</v>
      </c>
    </row>
    <row r="593" spans="1:14" x14ac:dyDescent="0.25">
      <c r="A593" s="2">
        <f t="shared" si="56"/>
        <v>9338187</v>
      </c>
      <c r="C593" s="19">
        <f t="shared" si="54"/>
        <v>9.1942499866128493</v>
      </c>
      <c r="H593" s="2">
        <f t="shared" si="58"/>
        <v>8740.8189999999995</v>
      </c>
      <c r="I593" s="2" t="str">
        <f t="shared" si="57"/>
        <v>02:25</v>
      </c>
      <c r="J593" s="3">
        <f t="shared" si="59"/>
        <v>0.95405120544721567</v>
      </c>
      <c r="K593" s="19">
        <v>33.648062526938169</v>
      </c>
      <c r="L593" s="21">
        <f t="shared" si="55"/>
        <v>5014.4931358305657</v>
      </c>
      <c r="M593" s="19">
        <v>0.61294999910752335</v>
      </c>
      <c r="N593" s="2">
        <v>25.8</v>
      </c>
    </row>
    <row r="594" spans="1:14" x14ac:dyDescent="0.25">
      <c r="A594" s="2">
        <f t="shared" si="56"/>
        <v>9353187</v>
      </c>
      <c r="C594" s="19">
        <f t="shared" si="54"/>
        <v>9.2682182765363166</v>
      </c>
      <c r="H594" s="2">
        <f t="shared" si="58"/>
        <v>8755.8189999999995</v>
      </c>
      <c r="I594" s="2" t="str">
        <f t="shared" si="57"/>
        <v>02:25</v>
      </c>
      <c r="J594" s="3">
        <f t="shared" si="59"/>
        <v>0.95454102756989745</v>
      </c>
      <c r="K594" s="19">
        <v>33.559132993841132</v>
      </c>
      <c r="L594" s="21">
        <f t="shared" si="55"/>
        <v>5017.0676409073812</v>
      </c>
      <c r="M594" s="19">
        <v>0.6178812184357545</v>
      </c>
      <c r="N594" s="2">
        <v>25.6</v>
      </c>
    </row>
    <row r="595" spans="1:14" x14ac:dyDescent="0.25">
      <c r="A595" s="2">
        <f t="shared" si="56"/>
        <v>9368187</v>
      </c>
      <c r="C595" s="19">
        <f t="shared" si="54"/>
        <v>9.075725665515078</v>
      </c>
      <c r="H595" s="2">
        <f t="shared" si="58"/>
        <v>8770.8189999999995</v>
      </c>
      <c r="I595" s="2" t="str">
        <f t="shared" si="57"/>
        <v>02:26</v>
      </c>
      <c r="J595" s="3">
        <f t="shared" si="59"/>
        <v>0.95502067652482281</v>
      </c>
      <c r="K595" s="19">
        <v>33.619924068259422</v>
      </c>
      <c r="L595" s="21">
        <f t="shared" si="55"/>
        <v>5019.5886758144688</v>
      </c>
      <c r="M595" s="19">
        <v>0.60504837770100517</v>
      </c>
      <c r="N595" s="2">
        <v>25.8</v>
      </c>
    </row>
    <row r="596" spans="1:14" x14ac:dyDescent="0.25">
      <c r="A596" s="2">
        <f t="shared" si="56"/>
        <v>9383187</v>
      </c>
      <c r="C596" s="19">
        <f t="shared" si="54"/>
        <v>8.88537166764619</v>
      </c>
      <c r="H596" s="2">
        <f t="shared" si="58"/>
        <v>8785.8189999999995</v>
      </c>
      <c r="I596" s="2" t="str">
        <f t="shared" si="57"/>
        <v>02:26</v>
      </c>
      <c r="J596" s="3">
        <f t="shared" si="59"/>
        <v>0.95549026533695536</v>
      </c>
      <c r="K596" s="19">
        <v>33.638577248609913</v>
      </c>
      <c r="L596" s="21">
        <f t="shared" si="55"/>
        <v>5022.0568346110376</v>
      </c>
      <c r="M596" s="19">
        <v>0.59235811117641268</v>
      </c>
      <c r="N596" s="2">
        <v>25.8</v>
      </c>
    </row>
    <row r="597" spans="1:14" x14ac:dyDescent="0.25">
      <c r="A597" s="2">
        <f t="shared" si="56"/>
        <v>9398187</v>
      </c>
      <c r="C597" s="19">
        <f t="shared" si="54"/>
        <v>8.603318934207822</v>
      </c>
      <c r="H597" s="2">
        <f t="shared" si="58"/>
        <v>8800.8189999999995</v>
      </c>
      <c r="I597" s="2" t="str">
        <f t="shared" si="57"/>
        <v>02:26</v>
      </c>
      <c r="J597" s="3">
        <f t="shared" si="59"/>
        <v>0.95594494775991168</v>
      </c>
      <c r="K597" s="19">
        <v>33.577776876937861</v>
      </c>
      <c r="L597" s="21">
        <f t="shared" si="55"/>
        <v>5024.4466454260955</v>
      </c>
      <c r="M597" s="19">
        <v>0.5735545956138548</v>
      </c>
      <c r="N597" s="2">
        <v>25.6</v>
      </c>
    </row>
    <row r="598" spans="1:14" x14ac:dyDescent="0.25">
      <c r="A598" s="2">
        <f t="shared" si="56"/>
        <v>9413187</v>
      </c>
      <c r="C598" s="19">
        <f t="shared" si="54"/>
        <v>8.6551797185211026</v>
      </c>
      <c r="H598" s="2">
        <f t="shared" si="58"/>
        <v>8815.8189999999995</v>
      </c>
      <c r="I598" s="2" t="str">
        <f t="shared" si="57"/>
        <v>02:26</v>
      </c>
      <c r="J598" s="3">
        <f t="shared" si="59"/>
        <v>0.95640237100733905</v>
      </c>
      <c r="K598" s="19">
        <v>33.637097049650677</v>
      </c>
      <c r="L598" s="21">
        <f t="shared" si="55"/>
        <v>5026.850862014574</v>
      </c>
      <c r="M598" s="19">
        <v>0.57701198123474018</v>
      </c>
      <c r="N598" s="2">
        <v>25.8</v>
      </c>
    </row>
    <row r="599" spans="1:14" x14ac:dyDescent="0.25">
      <c r="A599" s="2">
        <f t="shared" si="56"/>
        <v>9428187</v>
      </c>
      <c r="C599" s="19">
        <f t="shared" si="54"/>
        <v>8.6152359160944627</v>
      </c>
      <c r="H599" s="2">
        <f t="shared" si="58"/>
        <v>8830.8189999999995</v>
      </c>
      <c r="I599" s="2" t="str">
        <f t="shared" si="57"/>
        <v>02:27</v>
      </c>
      <c r="J599" s="3">
        <f t="shared" si="59"/>
        <v>0.95685768323865628</v>
      </c>
      <c r="K599" s="19">
        <v>33.612839333344517</v>
      </c>
      <c r="L599" s="21">
        <f t="shared" si="55"/>
        <v>5029.2439831023776</v>
      </c>
      <c r="M599" s="19">
        <v>0.57434906107296424</v>
      </c>
      <c r="N599" s="2">
        <v>25.7</v>
      </c>
    </row>
    <row r="600" spans="1:14" x14ac:dyDescent="0.25">
      <c r="A600" s="2">
        <f t="shared" si="56"/>
        <v>9443187</v>
      </c>
      <c r="C600" s="19">
        <f t="shared" si="54"/>
        <v>8.4565237891954776</v>
      </c>
      <c r="H600" s="2">
        <f t="shared" si="58"/>
        <v>8845.8189999999995</v>
      </c>
      <c r="I600" s="2" t="str">
        <f t="shared" si="57"/>
        <v>02:27</v>
      </c>
      <c r="J600" s="3">
        <f t="shared" si="59"/>
        <v>0.95730460758909153</v>
      </c>
      <c r="K600" s="19">
        <v>33.552283326698799</v>
      </c>
      <c r="L600" s="21">
        <f t="shared" si="55"/>
        <v>5031.5930174882651</v>
      </c>
      <c r="M600" s="19">
        <v>0.56376825261303187</v>
      </c>
      <c r="N600" s="2">
        <v>25.7</v>
      </c>
    </row>
    <row r="601" spans="1:14" x14ac:dyDescent="0.25">
      <c r="A601" s="2">
        <f t="shared" si="56"/>
        <v>9458187</v>
      </c>
      <c r="C601" s="19">
        <f t="shared" si="54"/>
        <v>8.1387921142580506</v>
      </c>
      <c r="H601" s="2">
        <f t="shared" si="58"/>
        <v>8860.8189999999995</v>
      </c>
      <c r="I601" s="2" t="str">
        <f t="shared" si="57"/>
        <v>02:27</v>
      </c>
      <c r="J601" s="3">
        <f t="shared" si="59"/>
        <v>0.95773473993066194</v>
      </c>
      <c r="K601" s="19">
        <v>33.588312296057588</v>
      </c>
      <c r="L601" s="21">
        <f t="shared" si="55"/>
        <v>5033.8537930755592</v>
      </c>
      <c r="M601" s="19">
        <v>0.5425861409505367</v>
      </c>
      <c r="N601" s="2">
        <v>25.7</v>
      </c>
    </row>
    <row r="602" spans="1:14" x14ac:dyDescent="0.25">
      <c r="A602" s="2">
        <f t="shared" si="56"/>
        <v>9473187</v>
      </c>
      <c r="C602" s="19">
        <f t="shared" si="54"/>
        <v>8.2118745615126176</v>
      </c>
      <c r="H602" s="2">
        <f t="shared" si="58"/>
        <v>8875.8189999999995</v>
      </c>
      <c r="I602" s="2" t="str">
        <f t="shared" si="57"/>
        <v>02:27</v>
      </c>
      <c r="J602" s="3">
        <f t="shared" si="59"/>
        <v>0.95816873465423258</v>
      </c>
      <c r="K602" s="19">
        <v>33.564828881899302</v>
      </c>
      <c r="L602" s="21">
        <f t="shared" si="55"/>
        <v>5036.1348693426462</v>
      </c>
      <c r="M602" s="19">
        <v>0.54745830410084118</v>
      </c>
      <c r="N602" s="2">
        <v>25.6</v>
      </c>
    </row>
    <row r="603" spans="1:14" x14ac:dyDescent="0.25">
      <c r="A603" s="2">
        <f t="shared" si="56"/>
        <v>9488187</v>
      </c>
      <c r="C603" s="19">
        <f t="shared" si="54"/>
        <v>8.0065357190203095</v>
      </c>
      <c r="H603" s="2">
        <f t="shared" si="58"/>
        <v>8890.8189999999995</v>
      </c>
      <c r="I603" s="2" t="str">
        <f t="shared" si="57"/>
        <v>02:28</v>
      </c>
      <c r="J603" s="3">
        <f t="shared" si="59"/>
        <v>0.95859187729116702</v>
      </c>
      <c r="K603" s="19">
        <v>33.627341332417757</v>
      </c>
      <c r="L603" s="21">
        <f t="shared" si="55"/>
        <v>5038.3589070423741</v>
      </c>
      <c r="M603" s="19">
        <v>0.53376904793468727</v>
      </c>
      <c r="N603" s="2">
        <v>25.7</v>
      </c>
    </row>
    <row r="604" spans="1:14" x14ac:dyDescent="0.25">
      <c r="A604" s="2">
        <f t="shared" si="56"/>
        <v>9503187</v>
      </c>
      <c r="C604" s="19">
        <f t="shared" si="54"/>
        <v>7.7165579414087224</v>
      </c>
      <c r="H604" s="2">
        <f t="shared" si="58"/>
        <v>8905.8189999999995</v>
      </c>
      <c r="I604" s="2" t="str">
        <f t="shared" si="57"/>
        <v>02:28</v>
      </c>
      <c r="J604" s="3">
        <f t="shared" si="59"/>
        <v>0.95899969470308821</v>
      </c>
      <c r="K604" s="19">
        <v>33.566974663121833</v>
      </c>
      <c r="L604" s="21">
        <f t="shared" si="55"/>
        <v>5040.5023953594318</v>
      </c>
      <c r="M604" s="19">
        <v>0.51443719609391481</v>
      </c>
      <c r="N604" s="2">
        <v>25.6</v>
      </c>
    </row>
    <row r="605" spans="1:14" x14ac:dyDescent="0.25">
      <c r="A605" s="2">
        <f t="shared" si="56"/>
        <v>9518187</v>
      </c>
      <c r="C605" s="19">
        <f t="shared" si="54"/>
        <v>7.5895896817379747</v>
      </c>
      <c r="H605" s="2">
        <f t="shared" si="58"/>
        <v>8920.8189999999995</v>
      </c>
      <c r="I605" s="2" t="str">
        <f t="shared" si="57"/>
        <v>02:28</v>
      </c>
      <c r="J605" s="3">
        <f t="shared" si="59"/>
        <v>0.95940080188650501</v>
      </c>
      <c r="K605" s="19">
        <v>33.55056711508945</v>
      </c>
      <c r="L605" s="21">
        <f t="shared" si="55"/>
        <v>5042.6106147154705</v>
      </c>
      <c r="M605" s="19">
        <v>0.50597264544919829</v>
      </c>
      <c r="N605" s="2">
        <v>25.6</v>
      </c>
    </row>
    <row r="606" spans="1:14" x14ac:dyDescent="0.25">
      <c r="A606" s="2">
        <f t="shared" si="56"/>
        <v>9533187</v>
      </c>
      <c r="C606" s="19">
        <f t="shared" si="54"/>
        <v>7.6235862140307491</v>
      </c>
      <c r="H606" s="2">
        <f t="shared" si="58"/>
        <v>8935.8189999999995</v>
      </c>
      <c r="I606" s="2" t="str">
        <f t="shared" si="57"/>
        <v>02:28</v>
      </c>
      <c r="J606" s="3">
        <f t="shared" si="59"/>
        <v>0.95980370577486696</v>
      </c>
      <c r="K606" s="19">
        <v>33.620359921776199</v>
      </c>
      <c r="L606" s="21">
        <f>C606*1000/(60*60) + L605</f>
        <v>5044.728277552701</v>
      </c>
      <c r="M606" s="19">
        <v>0.50823908093538328</v>
      </c>
      <c r="N606" s="2">
        <v>25.6</v>
      </c>
    </row>
    <row r="607" spans="1:14" x14ac:dyDescent="0.25">
      <c r="A607" s="2">
        <f t="shared" si="56"/>
        <v>9548187</v>
      </c>
      <c r="C607" s="19">
        <f t="shared" si="54"/>
        <v>7.3724670414981146</v>
      </c>
      <c r="H607" s="2">
        <f t="shared" si="58"/>
        <v>8950.8189999999995</v>
      </c>
      <c r="I607" s="2" t="str">
        <f t="shared" si="57"/>
        <v>02:29</v>
      </c>
      <c r="J607" s="3">
        <f t="shared" si="59"/>
        <v>0.96019333810202212</v>
      </c>
      <c r="K607" s="19">
        <v>33.648062526938169</v>
      </c>
      <c r="L607" s="21">
        <f t="shared" ref="L607:L615" si="60">C607*1000/(60*60) + L606</f>
        <v>5046.7761850642282</v>
      </c>
      <c r="M607" s="19">
        <v>0.49149780276654098</v>
      </c>
    </row>
    <row r="608" spans="1:14" x14ac:dyDescent="0.25">
      <c r="A608" s="2">
        <f t="shared" si="56"/>
        <v>9563187</v>
      </c>
      <c r="C608" s="19">
        <f t="shared" si="54"/>
        <v>7.5898161295394662</v>
      </c>
      <c r="H608" s="2">
        <f t="shared" si="58"/>
        <v>8965.8189999999995</v>
      </c>
      <c r="I608" s="2" t="str">
        <f t="shared" si="57"/>
        <v>02:29</v>
      </c>
      <c r="J608" s="3">
        <f t="shared" si="59"/>
        <v>0.96059445725312664</v>
      </c>
      <c r="K608" s="19">
        <v>33.559132993841132</v>
      </c>
      <c r="L608" s="21">
        <f t="shared" si="60"/>
        <v>5048.8844673224339</v>
      </c>
      <c r="M608" s="19">
        <v>0.50598774196929774</v>
      </c>
    </row>
    <row r="609" spans="1:13" x14ac:dyDescent="0.25">
      <c r="A609" s="2">
        <f t="shared" si="56"/>
        <v>9578187</v>
      </c>
      <c r="C609" s="19">
        <f t="shared" si="54"/>
        <v>7.3960781054755289</v>
      </c>
      <c r="H609" s="2">
        <f>(A609/1000-612.368)+15</f>
        <v>8980.8189999999995</v>
      </c>
      <c r="I609" s="2" t="str">
        <f>TEXT(H609/86400,"hh:mm")</f>
        <v>02:29</v>
      </c>
      <c r="J609" s="3">
        <f t="shared" si="59"/>
        <v>0.96098533741682723</v>
      </c>
      <c r="K609" s="19">
        <v>33.619924068259422</v>
      </c>
      <c r="L609" s="21">
        <f t="shared" si="60"/>
        <v>5050.938933462844</v>
      </c>
      <c r="M609" s="19">
        <v>0.49307187369836858</v>
      </c>
    </row>
    <row r="610" spans="1:13" x14ac:dyDescent="0.25">
      <c r="A610" s="2">
        <f t="shared" si="56"/>
        <v>9593187</v>
      </c>
      <c r="C610" s="19">
        <f t="shared" si="54"/>
        <v>7.2475884895087592</v>
      </c>
      <c r="H610" s="2">
        <f>(A610/1000-612.368)+15</f>
        <v>8995.8189999999995</v>
      </c>
      <c r="I610" s="2" t="str">
        <f>TEXT(H610/86400,"hh:mm")</f>
        <v>02:29</v>
      </c>
      <c r="J610" s="3">
        <f t="shared" si="59"/>
        <v>0.96136836995580432</v>
      </c>
      <c r="K610" s="19">
        <v>33.638577248609913</v>
      </c>
      <c r="L610" s="21">
        <f t="shared" si="60"/>
        <v>5052.9521524877073</v>
      </c>
      <c r="M610" s="19">
        <v>0.48317256596725061</v>
      </c>
    </row>
    <row r="611" spans="1:13" x14ac:dyDescent="0.25">
      <c r="A611" s="2">
        <f t="shared" si="56"/>
        <v>9608187</v>
      </c>
      <c r="C611" s="19">
        <f t="shared" si="54"/>
        <v>7.4561893534403296</v>
      </c>
      <c r="H611" s="2">
        <f>(A611/1000-612.368)+15</f>
        <v>9010.8189999999995</v>
      </c>
      <c r="I611" s="2" t="str">
        <f>TEXT(H611/86400,"hh:mm")</f>
        <v>02:30</v>
      </c>
      <c r="J611" s="3">
        <f t="shared" si="59"/>
        <v>0.96176242697811953</v>
      </c>
      <c r="K611" s="19">
        <v>33.577776876937861</v>
      </c>
      <c r="L611" s="21">
        <f t="shared" si="60"/>
        <v>5055.0233161969963</v>
      </c>
      <c r="M611" s="19">
        <v>0.49707929022935532</v>
      </c>
    </row>
    <row r="612" spans="1:13" x14ac:dyDescent="0.25">
      <c r="A612" s="2">
        <f t="shared" si="56"/>
        <v>9623187</v>
      </c>
      <c r="C612" s="19">
        <f t="shared" si="54"/>
        <v>7.1498775712261473</v>
      </c>
      <c r="H612" s="2">
        <f>(A612/1000-612.368)+15</f>
        <v>9025.8189999999995</v>
      </c>
      <c r="I612" s="2" t="str">
        <f>TEXT(H612/86400,"hh:mm")</f>
        <v>02:30</v>
      </c>
      <c r="J612" s="3">
        <f t="shared" si="59"/>
        <v>0.96214029552894109</v>
      </c>
      <c r="K612" s="19">
        <v>33.637097049650677</v>
      </c>
      <c r="L612" s="21">
        <f t="shared" si="60"/>
        <v>5057.0093933001144</v>
      </c>
      <c r="M612" s="19">
        <v>0.47665850474840982</v>
      </c>
    </row>
    <row r="613" spans="1:13" x14ac:dyDescent="0.25">
      <c r="A613" s="2">
        <f t="shared" si="56"/>
        <v>9638187</v>
      </c>
      <c r="C613" s="19">
        <f t="shared" si="54"/>
        <v>7.0603629817107212</v>
      </c>
      <c r="H613" s="2">
        <f t="shared" ref="H613:H615" si="61">(A613/1000-612.368)+15</f>
        <v>9040.8189999999995</v>
      </c>
      <c r="I613" s="2" t="str">
        <f t="shared" ref="I613:I615" si="62">TEXT(H613/86400,"hh:mm")</f>
        <v>02:30</v>
      </c>
      <c r="J613" s="3">
        <f t="shared" si="59"/>
        <v>0.96251343326474093</v>
      </c>
      <c r="K613" s="19">
        <v>33.612839333344517</v>
      </c>
      <c r="L613" s="21">
        <f t="shared" si="60"/>
        <v>5058.9706052394786</v>
      </c>
      <c r="M613" s="19">
        <v>0.47069086544738142</v>
      </c>
    </row>
    <row r="614" spans="1:13" x14ac:dyDescent="0.25">
      <c r="A614" s="2">
        <f t="shared" si="56"/>
        <v>9653187</v>
      </c>
      <c r="C614" s="19">
        <f t="shared" si="54"/>
        <v>7.0456070506142412</v>
      </c>
      <c r="H614" s="2">
        <f t="shared" si="61"/>
        <v>9055.8189999999995</v>
      </c>
      <c r="I614" s="2" t="str">
        <f t="shared" si="62"/>
        <v>02:30</v>
      </c>
      <c r="J614" s="3">
        <f t="shared" si="59"/>
        <v>0.96288579115469819</v>
      </c>
      <c r="K614" s="19">
        <v>33.627341332417757</v>
      </c>
      <c r="L614" s="21">
        <f t="shared" si="60"/>
        <v>5060.9277183090935</v>
      </c>
      <c r="M614" s="19">
        <v>0.4697071367076161</v>
      </c>
    </row>
    <row r="615" spans="1:13" x14ac:dyDescent="0.25">
      <c r="A615" s="2">
        <f t="shared" si="56"/>
        <v>9668187</v>
      </c>
      <c r="C615" s="19">
        <f t="shared" si="54"/>
        <v>7.0838647921274989</v>
      </c>
      <c r="H615" s="2">
        <f t="shared" si="61"/>
        <v>9070.8189999999995</v>
      </c>
      <c r="I615" s="2" t="str">
        <f t="shared" si="62"/>
        <v>02:31</v>
      </c>
      <c r="J615" s="3">
        <f t="shared" si="59"/>
        <v>0.96326017095303051</v>
      </c>
      <c r="K615" s="19">
        <v>33.566974663121833</v>
      </c>
      <c r="L615" s="21">
        <f t="shared" si="60"/>
        <v>5062.8954585291285</v>
      </c>
      <c r="M615" s="19">
        <v>0.47225765280849991</v>
      </c>
    </row>
    <row r="616" spans="1:13" x14ac:dyDescent="0.25">
      <c r="A616" s="2">
        <f t="shared" si="56"/>
        <v>9683187</v>
      </c>
      <c r="M616" s="2"/>
    </row>
    <row r="617" spans="1:13" x14ac:dyDescent="0.25">
      <c r="A617" s="2">
        <f t="shared" si="56"/>
        <v>9698187</v>
      </c>
      <c r="M617" s="2"/>
    </row>
    <row r="618" spans="1:13" x14ac:dyDescent="0.25">
      <c r="A618" s="2">
        <f t="shared" si="56"/>
        <v>9713187</v>
      </c>
      <c r="M618" s="2"/>
    </row>
    <row r="619" spans="1:13" x14ac:dyDescent="0.25">
      <c r="A619" s="2">
        <f t="shared" si="56"/>
        <v>9728187</v>
      </c>
      <c r="M619" s="2"/>
    </row>
    <row r="620" spans="1:13" x14ac:dyDescent="0.25">
      <c r="A620" s="2">
        <f t="shared" si="56"/>
        <v>9743187</v>
      </c>
      <c r="M620" s="2"/>
    </row>
    <row r="621" spans="1:13" x14ac:dyDescent="0.25">
      <c r="A621" s="2">
        <f t="shared" si="56"/>
        <v>9758187</v>
      </c>
      <c r="M621" s="2"/>
    </row>
    <row r="622" spans="1:13" x14ac:dyDescent="0.25">
      <c r="A622" s="2">
        <f t="shared" si="56"/>
        <v>9773187</v>
      </c>
      <c r="M622" s="2"/>
    </row>
    <row r="623" spans="1:13" x14ac:dyDescent="0.25">
      <c r="A623" s="2">
        <f t="shared" si="56"/>
        <v>9788187</v>
      </c>
      <c r="M623" s="2"/>
    </row>
    <row r="624" spans="1:13" x14ac:dyDescent="0.25">
      <c r="A624" s="2">
        <f t="shared" si="56"/>
        <v>9803187</v>
      </c>
      <c r="M624" s="2"/>
    </row>
    <row r="625" spans="1:12" s="2" customFormat="1" x14ac:dyDescent="0.25">
      <c r="A625" s="2">
        <f t="shared" si="56"/>
        <v>9818187</v>
      </c>
      <c r="C625" s="19"/>
      <c r="J625" s="3"/>
      <c r="K625" s="19"/>
      <c r="L625" s="21"/>
    </row>
    <row r="626" spans="1:12" s="2" customFormat="1" x14ac:dyDescent="0.25">
      <c r="A626" s="2">
        <f t="shared" si="56"/>
        <v>9833187</v>
      </c>
      <c r="C626" s="19"/>
      <c r="J626" s="3"/>
      <c r="K626" s="19"/>
      <c r="L626" s="21"/>
    </row>
    <row r="627" spans="1:12" s="2" customFormat="1" x14ac:dyDescent="0.25">
      <c r="A627" s="2">
        <f t="shared" si="56"/>
        <v>9848187</v>
      </c>
      <c r="C627" s="19"/>
      <c r="J627" s="3"/>
      <c r="K627" s="19"/>
      <c r="L627" s="21"/>
    </row>
    <row r="628" spans="1:12" s="2" customFormat="1" x14ac:dyDescent="0.25">
      <c r="A628" s="2">
        <f t="shared" si="56"/>
        <v>9863187</v>
      </c>
      <c r="C628" s="19"/>
      <c r="J628" s="3"/>
      <c r="K628" s="19"/>
      <c r="L628" s="21"/>
    </row>
    <row r="629" spans="1:12" s="2" customFormat="1" x14ac:dyDescent="0.25">
      <c r="A629" s="2">
        <f t="shared" si="56"/>
        <v>9878187</v>
      </c>
      <c r="C629" s="19"/>
      <c r="J629" s="3"/>
      <c r="K629" s="19"/>
      <c r="L629" s="21"/>
    </row>
    <row r="630" spans="1:12" s="2" customFormat="1" x14ac:dyDescent="0.25">
      <c r="A630" s="2">
        <f t="shared" si="56"/>
        <v>9893187</v>
      </c>
      <c r="C630" s="19"/>
      <c r="J630" s="3"/>
      <c r="K630" s="19"/>
      <c r="L630" s="21"/>
    </row>
    <row r="631" spans="1:12" s="2" customFormat="1" x14ac:dyDescent="0.25">
      <c r="A631" s="2">
        <f t="shared" si="56"/>
        <v>9908187</v>
      </c>
      <c r="C631" s="19"/>
      <c r="J631" s="3"/>
      <c r="K631" s="19"/>
      <c r="L631" s="21"/>
    </row>
    <row r="632" spans="1:12" s="2" customFormat="1" x14ac:dyDescent="0.25">
      <c r="A632" s="2">
        <f t="shared" si="56"/>
        <v>9923187</v>
      </c>
      <c r="C632" s="19"/>
      <c r="J632" s="3"/>
      <c r="K632" s="19"/>
      <c r="L632" s="21"/>
    </row>
    <row r="633" spans="1:12" s="2" customFormat="1" x14ac:dyDescent="0.25">
      <c r="A633" s="2">
        <f t="shared" si="56"/>
        <v>9938187</v>
      </c>
      <c r="C633" s="19"/>
      <c r="J633" s="3"/>
      <c r="K633" s="19"/>
      <c r="L633" s="21"/>
    </row>
    <row r="634" spans="1:12" s="2" customFormat="1" x14ac:dyDescent="0.25">
      <c r="A634" s="2">
        <f t="shared" si="56"/>
        <v>9953187</v>
      </c>
      <c r="C634" s="19"/>
      <c r="J634" s="3"/>
      <c r="K634" s="19"/>
      <c r="L634" s="21"/>
    </row>
    <row r="635" spans="1:12" s="2" customFormat="1" x14ac:dyDescent="0.25">
      <c r="A635" s="2">
        <f t="shared" si="56"/>
        <v>9968187</v>
      </c>
      <c r="C635" s="19"/>
      <c r="J635" s="3"/>
      <c r="K635" s="19"/>
      <c r="L635" s="21"/>
    </row>
    <row r="636" spans="1:12" s="2" customFormat="1" x14ac:dyDescent="0.25">
      <c r="A636" s="2">
        <f t="shared" si="56"/>
        <v>9983187</v>
      </c>
      <c r="C636" s="19"/>
      <c r="J636" s="3"/>
      <c r="K636" s="19"/>
      <c r="L636" s="21"/>
    </row>
    <row r="637" spans="1:12" s="2" customFormat="1" x14ac:dyDescent="0.25">
      <c r="A637" s="2">
        <f t="shared" si="56"/>
        <v>9998187</v>
      </c>
      <c r="C637" s="19"/>
      <c r="J637" s="3"/>
      <c r="K637" s="19"/>
      <c r="L637" s="21"/>
    </row>
    <row r="638" spans="1:12" s="2" customFormat="1" x14ac:dyDescent="0.25">
      <c r="A638" s="2">
        <f t="shared" si="56"/>
        <v>10013187</v>
      </c>
      <c r="C638" s="19"/>
      <c r="J638" s="3"/>
      <c r="K638" s="19"/>
      <c r="L638" s="21"/>
    </row>
    <row r="639" spans="1:12" s="2" customFormat="1" x14ac:dyDescent="0.25">
      <c r="A639" s="2">
        <f t="shared" si="56"/>
        <v>10028187</v>
      </c>
      <c r="C639" s="19"/>
      <c r="J639" s="3"/>
      <c r="K639" s="19"/>
      <c r="L639" s="21"/>
    </row>
    <row r="640" spans="1:12" s="2" customFormat="1" x14ac:dyDescent="0.25">
      <c r="A640" s="2">
        <f t="shared" si="56"/>
        <v>10043187</v>
      </c>
      <c r="C640" s="19"/>
      <c r="J640" s="3"/>
      <c r="K640" s="19"/>
      <c r="L640" s="21"/>
    </row>
    <row r="641" spans="1:12" s="2" customFormat="1" x14ac:dyDescent="0.25">
      <c r="A641" s="2">
        <f t="shared" si="56"/>
        <v>10058187</v>
      </c>
      <c r="C641" s="19"/>
      <c r="J641" s="3"/>
      <c r="K641" s="19"/>
      <c r="L641" s="21"/>
    </row>
    <row r="642" spans="1:12" s="2" customFormat="1" x14ac:dyDescent="0.25">
      <c r="A642" s="2">
        <f t="shared" si="56"/>
        <v>10073187</v>
      </c>
      <c r="C642" s="19"/>
      <c r="J642" s="3"/>
      <c r="K642" s="19"/>
      <c r="L642" s="21"/>
    </row>
    <row r="643" spans="1:12" s="2" customFormat="1" x14ac:dyDescent="0.25">
      <c r="A643" s="2">
        <f t="shared" si="56"/>
        <v>10088187</v>
      </c>
      <c r="C643" s="19"/>
      <c r="J643" s="3"/>
      <c r="K643" s="19"/>
      <c r="L643" s="21"/>
    </row>
    <row r="644" spans="1:12" s="2" customFormat="1" x14ac:dyDescent="0.25">
      <c r="A644" s="2">
        <f t="shared" si="56"/>
        <v>10103187</v>
      </c>
      <c r="C644" s="19"/>
      <c r="J644" s="3"/>
      <c r="K644" s="19"/>
      <c r="L644" s="21"/>
    </row>
    <row r="645" spans="1:12" s="2" customFormat="1" x14ac:dyDescent="0.25">
      <c r="A645" s="2">
        <f t="shared" si="56"/>
        <v>10118187</v>
      </c>
      <c r="C645" s="19"/>
      <c r="J645" s="3"/>
      <c r="K645" s="19"/>
      <c r="L645" s="21"/>
    </row>
    <row r="646" spans="1:12" s="2" customFormat="1" x14ac:dyDescent="0.25">
      <c r="A646" s="2">
        <f t="shared" si="56"/>
        <v>10133187</v>
      </c>
      <c r="C646" s="19"/>
      <c r="J646" s="3"/>
      <c r="K646" s="19"/>
      <c r="L646" s="21"/>
    </row>
    <row r="647" spans="1:12" s="2" customFormat="1" x14ac:dyDescent="0.25">
      <c r="A647" s="2">
        <f t="shared" si="56"/>
        <v>10148187</v>
      </c>
      <c r="C647" s="19"/>
      <c r="J647" s="3"/>
      <c r="K647" s="19"/>
      <c r="L647" s="21"/>
    </row>
    <row r="648" spans="1:12" s="2" customFormat="1" x14ac:dyDescent="0.25">
      <c r="A648" s="2">
        <f t="shared" si="56"/>
        <v>10163187</v>
      </c>
      <c r="C648" s="19"/>
      <c r="J648" s="3"/>
      <c r="K648" s="19"/>
      <c r="L648" s="21"/>
    </row>
    <row r="649" spans="1:12" s="2" customFormat="1" x14ac:dyDescent="0.25">
      <c r="A649" s="2">
        <f t="shared" si="56"/>
        <v>10178187</v>
      </c>
      <c r="C649" s="19"/>
      <c r="J649" s="3"/>
      <c r="K649" s="19"/>
      <c r="L649" s="21"/>
    </row>
    <row r="650" spans="1:12" s="2" customFormat="1" x14ac:dyDescent="0.25">
      <c r="A650" s="2">
        <f t="shared" si="56"/>
        <v>10193187</v>
      </c>
      <c r="C650" s="19"/>
      <c r="J650" s="3"/>
      <c r="K650" s="19"/>
      <c r="L650" s="21"/>
    </row>
    <row r="651" spans="1:12" s="2" customFormat="1" x14ac:dyDescent="0.25">
      <c r="A651" s="2">
        <f t="shared" si="56"/>
        <v>10208187</v>
      </c>
      <c r="C651" s="19"/>
      <c r="J651" s="3"/>
      <c r="K651" s="19"/>
      <c r="L651" s="21"/>
    </row>
    <row r="652" spans="1:12" s="2" customFormat="1" x14ac:dyDescent="0.25">
      <c r="A652" s="2">
        <f t="shared" si="56"/>
        <v>10223187</v>
      </c>
      <c r="C652" s="19"/>
      <c r="J652" s="3"/>
      <c r="K652" s="19"/>
      <c r="L652" s="21"/>
    </row>
    <row r="653" spans="1:12" s="2" customFormat="1" x14ac:dyDescent="0.25">
      <c r="A653" s="2">
        <f t="shared" si="56"/>
        <v>10238187</v>
      </c>
      <c r="C653" s="19"/>
      <c r="J653" s="3"/>
      <c r="K653" s="19"/>
      <c r="L653" s="21"/>
    </row>
    <row r="654" spans="1:12" s="2" customFormat="1" x14ac:dyDescent="0.25">
      <c r="A654" s="2">
        <f t="shared" ref="A654:A717" si="63">A653+15000</f>
        <v>10253187</v>
      </c>
      <c r="C654" s="19"/>
      <c r="J654" s="3"/>
      <c r="K654" s="19"/>
      <c r="L654" s="21"/>
    </row>
    <row r="655" spans="1:12" s="2" customFormat="1" x14ac:dyDescent="0.25">
      <c r="A655" s="2">
        <f t="shared" si="63"/>
        <v>10268187</v>
      </c>
      <c r="C655" s="19"/>
      <c r="J655" s="3"/>
      <c r="K655" s="19"/>
      <c r="L655" s="21"/>
    </row>
    <row r="656" spans="1:12" s="2" customFormat="1" x14ac:dyDescent="0.25">
      <c r="A656" s="2">
        <f t="shared" si="63"/>
        <v>10283187</v>
      </c>
      <c r="C656" s="19"/>
      <c r="J656" s="3"/>
      <c r="K656" s="19"/>
      <c r="L656" s="21"/>
    </row>
    <row r="657" spans="1:12" s="2" customFormat="1" x14ac:dyDescent="0.25">
      <c r="A657" s="2">
        <f t="shared" si="63"/>
        <v>10298187</v>
      </c>
      <c r="C657" s="19"/>
      <c r="J657" s="3"/>
      <c r="K657" s="19"/>
      <c r="L657" s="21"/>
    </row>
    <row r="658" spans="1:12" s="2" customFormat="1" x14ac:dyDescent="0.25">
      <c r="A658" s="2">
        <f t="shared" si="63"/>
        <v>10313187</v>
      </c>
      <c r="C658" s="19"/>
      <c r="J658" s="3"/>
      <c r="K658" s="19"/>
      <c r="L658" s="21"/>
    </row>
    <row r="659" spans="1:12" s="2" customFormat="1" x14ac:dyDescent="0.25">
      <c r="A659" s="2">
        <f t="shared" si="63"/>
        <v>10328187</v>
      </c>
      <c r="C659" s="19"/>
      <c r="J659" s="3"/>
      <c r="K659" s="19"/>
      <c r="L659" s="21"/>
    </row>
    <row r="660" spans="1:12" s="2" customFormat="1" x14ac:dyDescent="0.25">
      <c r="A660" s="2">
        <f t="shared" si="63"/>
        <v>10343187</v>
      </c>
      <c r="C660" s="19"/>
      <c r="J660" s="3"/>
      <c r="K660" s="19"/>
      <c r="L660" s="21"/>
    </row>
    <row r="661" spans="1:12" s="2" customFormat="1" x14ac:dyDescent="0.25">
      <c r="A661" s="2">
        <f t="shared" si="63"/>
        <v>10358187</v>
      </c>
      <c r="C661" s="19"/>
      <c r="J661" s="3"/>
      <c r="K661" s="19"/>
      <c r="L661" s="21"/>
    </row>
    <row r="662" spans="1:12" s="2" customFormat="1" x14ac:dyDescent="0.25">
      <c r="A662" s="2">
        <f t="shared" si="63"/>
        <v>10373187</v>
      </c>
      <c r="C662" s="19"/>
      <c r="J662" s="3"/>
      <c r="K662" s="19"/>
      <c r="L662" s="21"/>
    </row>
    <row r="663" spans="1:12" s="2" customFormat="1" x14ac:dyDescent="0.25">
      <c r="A663" s="2">
        <f t="shared" si="63"/>
        <v>10388187</v>
      </c>
      <c r="C663" s="19"/>
      <c r="J663" s="3"/>
      <c r="K663" s="19"/>
      <c r="L663" s="21"/>
    </row>
    <row r="664" spans="1:12" s="2" customFormat="1" x14ac:dyDescent="0.25">
      <c r="A664" s="2">
        <f t="shared" si="63"/>
        <v>10403187</v>
      </c>
      <c r="C664" s="19"/>
      <c r="J664" s="3"/>
      <c r="K664" s="19"/>
      <c r="L664" s="21"/>
    </row>
    <row r="665" spans="1:12" s="2" customFormat="1" x14ac:dyDescent="0.25">
      <c r="A665" s="2">
        <f t="shared" si="63"/>
        <v>10418187</v>
      </c>
      <c r="C665" s="19"/>
      <c r="J665" s="3"/>
      <c r="K665" s="19"/>
      <c r="L665" s="21"/>
    </row>
    <row r="666" spans="1:12" s="2" customFormat="1" x14ac:dyDescent="0.25">
      <c r="A666" s="2">
        <f t="shared" si="63"/>
        <v>10433187</v>
      </c>
      <c r="C666" s="19"/>
      <c r="J666" s="3"/>
      <c r="K666" s="19"/>
      <c r="L666" s="21"/>
    </row>
    <row r="667" spans="1:12" s="2" customFormat="1" x14ac:dyDescent="0.25">
      <c r="A667" s="2">
        <f t="shared" si="63"/>
        <v>10448187</v>
      </c>
      <c r="C667" s="19"/>
      <c r="J667" s="3"/>
      <c r="K667" s="19"/>
      <c r="L667" s="21"/>
    </row>
    <row r="668" spans="1:12" s="2" customFormat="1" x14ac:dyDescent="0.25">
      <c r="A668" s="2">
        <f t="shared" si="63"/>
        <v>10463187</v>
      </c>
      <c r="C668" s="19"/>
      <c r="J668" s="3"/>
      <c r="K668" s="19"/>
      <c r="L668" s="21"/>
    </row>
    <row r="669" spans="1:12" s="2" customFormat="1" x14ac:dyDescent="0.25">
      <c r="A669" s="2">
        <f t="shared" si="63"/>
        <v>10478187</v>
      </c>
      <c r="C669" s="19"/>
      <c r="J669" s="3"/>
      <c r="K669" s="19"/>
      <c r="L669" s="21"/>
    </row>
    <row r="670" spans="1:12" s="2" customFormat="1" x14ac:dyDescent="0.25">
      <c r="A670" s="2">
        <f t="shared" si="63"/>
        <v>10493187</v>
      </c>
      <c r="C670" s="19"/>
      <c r="J670" s="3"/>
      <c r="K670" s="19"/>
      <c r="L670" s="21"/>
    </row>
    <row r="671" spans="1:12" s="2" customFormat="1" x14ac:dyDescent="0.25">
      <c r="A671" s="2">
        <f t="shared" si="63"/>
        <v>10508187</v>
      </c>
      <c r="C671" s="19"/>
      <c r="J671" s="3"/>
      <c r="K671" s="19"/>
      <c r="L671" s="21"/>
    </row>
    <row r="672" spans="1:12" s="2" customFormat="1" x14ac:dyDescent="0.25">
      <c r="A672" s="2">
        <f t="shared" si="63"/>
        <v>10523187</v>
      </c>
      <c r="C672" s="19"/>
      <c r="J672" s="3"/>
      <c r="K672" s="19"/>
      <c r="L672" s="21"/>
    </row>
    <row r="673" spans="1:12" s="2" customFormat="1" x14ac:dyDescent="0.25">
      <c r="A673" s="2">
        <f t="shared" si="63"/>
        <v>10538187</v>
      </c>
      <c r="C673" s="19"/>
      <c r="J673" s="3"/>
      <c r="K673" s="19"/>
      <c r="L673" s="21"/>
    </row>
    <row r="674" spans="1:12" s="2" customFormat="1" x14ac:dyDescent="0.25">
      <c r="A674" s="2">
        <f t="shared" si="63"/>
        <v>10553187</v>
      </c>
      <c r="C674" s="19"/>
      <c r="J674" s="3"/>
      <c r="K674" s="19"/>
      <c r="L674" s="21"/>
    </row>
    <row r="675" spans="1:12" s="2" customFormat="1" x14ac:dyDescent="0.25">
      <c r="A675" s="2">
        <f t="shared" si="63"/>
        <v>10568187</v>
      </c>
      <c r="C675" s="19"/>
      <c r="J675" s="3"/>
      <c r="K675" s="19"/>
      <c r="L675" s="21"/>
    </row>
    <row r="676" spans="1:12" s="2" customFormat="1" x14ac:dyDescent="0.25">
      <c r="A676" s="2">
        <f t="shared" si="63"/>
        <v>10583187</v>
      </c>
      <c r="C676" s="19"/>
      <c r="J676" s="3"/>
      <c r="K676" s="19"/>
      <c r="L676" s="21"/>
    </row>
    <row r="677" spans="1:12" s="2" customFormat="1" x14ac:dyDescent="0.25">
      <c r="A677" s="2">
        <f t="shared" si="63"/>
        <v>10598187</v>
      </c>
      <c r="C677" s="19"/>
      <c r="J677" s="3"/>
      <c r="K677" s="19"/>
      <c r="L677" s="21"/>
    </row>
    <row r="678" spans="1:12" s="2" customFormat="1" x14ac:dyDescent="0.25">
      <c r="A678" s="2">
        <f t="shared" si="63"/>
        <v>10613187</v>
      </c>
      <c r="C678" s="19"/>
      <c r="J678" s="3"/>
      <c r="K678" s="19"/>
      <c r="L678" s="21"/>
    </row>
    <row r="679" spans="1:12" s="2" customFormat="1" x14ac:dyDescent="0.25">
      <c r="A679" s="2">
        <f t="shared" si="63"/>
        <v>10628187</v>
      </c>
      <c r="C679" s="19"/>
      <c r="J679" s="3"/>
      <c r="K679" s="19"/>
      <c r="L679" s="21"/>
    </row>
    <row r="680" spans="1:12" s="2" customFormat="1" x14ac:dyDescent="0.25">
      <c r="A680" s="2">
        <f t="shared" si="63"/>
        <v>10643187</v>
      </c>
      <c r="C680" s="19"/>
      <c r="J680" s="3"/>
      <c r="K680" s="19"/>
      <c r="L680" s="21"/>
    </row>
    <row r="681" spans="1:12" s="2" customFormat="1" x14ac:dyDescent="0.25">
      <c r="A681" s="2">
        <f t="shared" si="63"/>
        <v>10658187</v>
      </c>
      <c r="C681" s="19"/>
      <c r="J681" s="3"/>
      <c r="K681" s="19"/>
      <c r="L681" s="21"/>
    </row>
    <row r="682" spans="1:12" s="2" customFormat="1" x14ac:dyDescent="0.25">
      <c r="A682" s="2">
        <f t="shared" si="63"/>
        <v>10673187</v>
      </c>
      <c r="C682" s="19"/>
      <c r="J682" s="3"/>
      <c r="K682" s="19"/>
      <c r="L682" s="21"/>
    </row>
    <row r="683" spans="1:12" s="2" customFormat="1" x14ac:dyDescent="0.25">
      <c r="A683" s="2">
        <f t="shared" si="63"/>
        <v>10688187</v>
      </c>
      <c r="C683" s="19"/>
      <c r="J683" s="3"/>
      <c r="K683" s="19"/>
      <c r="L683" s="21"/>
    </row>
    <row r="684" spans="1:12" s="2" customFormat="1" x14ac:dyDescent="0.25">
      <c r="A684" s="2">
        <f t="shared" si="63"/>
        <v>10703187</v>
      </c>
      <c r="C684" s="19"/>
      <c r="J684" s="3"/>
      <c r="K684" s="19"/>
      <c r="L684" s="21"/>
    </row>
    <row r="685" spans="1:12" s="2" customFormat="1" x14ac:dyDescent="0.25">
      <c r="A685" s="2">
        <f t="shared" si="63"/>
        <v>10718187</v>
      </c>
      <c r="C685" s="19"/>
      <c r="J685" s="3"/>
      <c r="K685" s="19"/>
      <c r="L685" s="21"/>
    </row>
    <row r="686" spans="1:12" s="2" customFormat="1" x14ac:dyDescent="0.25">
      <c r="A686" s="2">
        <f t="shared" si="63"/>
        <v>10733187</v>
      </c>
      <c r="C686" s="19"/>
      <c r="J686" s="3"/>
      <c r="K686" s="19"/>
      <c r="L686" s="21"/>
    </row>
    <row r="687" spans="1:12" s="2" customFormat="1" x14ac:dyDescent="0.25">
      <c r="A687" s="2">
        <f t="shared" si="63"/>
        <v>10748187</v>
      </c>
      <c r="C687" s="19"/>
      <c r="J687" s="3"/>
      <c r="K687" s="19"/>
      <c r="L687" s="21"/>
    </row>
    <row r="688" spans="1:12" s="2" customFormat="1" x14ac:dyDescent="0.25">
      <c r="A688" s="2">
        <f t="shared" si="63"/>
        <v>10763187</v>
      </c>
      <c r="C688" s="19"/>
      <c r="J688" s="3"/>
      <c r="K688" s="19"/>
      <c r="L688" s="21"/>
    </row>
    <row r="689" spans="1:12" s="2" customFormat="1" x14ac:dyDescent="0.25">
      <c r="A689" s="2">
        <f t="shared" si="63"/>
        <v>10778187</v>
      </c>
      <c r="C689" s="19"/>
      <c r="J689" s="3"/>
      <c r="K689" s="19"/>
      <c r="L689" s="21"/>
    </row>
    <row r="690" spans="1:12" s="2" customFormat="1" x14ac:dyDescent="0.25">
      <c r="A690" s="2">
        <f t="shared" si="63"/>
        <v>10793187</v>
      </c>
      <c r="C690" s="19"/>
      <c r="J690" s="3"/>
      <c r="K690" s="19"/>
      <c r="L690" s="21"/>
    </row>
    <row r="691" spans="1:12" s="2" customFormat="1" x14ac:dyDescent="0.25">
      <c r="A691" s="2">
        <f t="shared" si="63"/>
        <v>10808187</v>
      </c>
      <c r="C691" s="19"/>
      <c r="J691" s="3"/>
      <c r="K691" s="19"/>
      <c r="L691" s="21"/>
    </row>
    <row r="692" spans="1:12" s="2" customFormat="1" x14ac:dyDescent="0.25">
      <c r="A692" s="2">
        <f t="shared" si="63"/>
        <v>10823187</v>
      </c>
      <c r="C692" s="19"/>
      <c r="J692" s="3"/>
      <c r="K692" s="19"/>
      <c r="L692" s="21"/>
    </row>
    <row r="693" spans="1:12" s="2" customFormat="1" x14ac:dyDescent="0.25">
      <c r="A693" s="2">
        <f t="shared" si="63"/>
        <v>10838187</v>
      </c>
      <c r="C693" s="19"/>
      <c r="J693" s="3"/>
      <c r="K693" s="19"/>
      <c r="L693" s="21"/>
    </row>
    <row r="694" spans="1:12" s="2" customFormat="1" x14ac:dyDescent="0.25">
      <c r="A694" s="2">
        <f t="shared" si="63"/>
        <v>10853187</v>
      </c>
      <c r="C694" s="19"/>
      <c r="J694" s="3"/>
      <c r="K694" s="19"/>
      <c r="L694" s="21"/>
    </row>
    <row r="695" spans="1:12" s="2" customFormat="1" x14ac:dyDescent="0.25">
      <c r="A695" s="2">
        <f t="shared" si="63"/>
        <v>10868187</v>
      </c>
      <c r="C695" s="19"/>
      <c r="J695" s="3"/>
      <c r="K695" s="19"/>
      <c r="L695" s="21"/>
    </row>
    <row r="696" spans="1:12" s="2" customFormat="1" x14ac:dyDescent="0.25">
      <c r="A696" s="2">
        <f t="shared" si="63"/>
        <v>10883187</v>
      </c>
      <c r="C696" s="19"/>
      <c r="J696" s="3"/>
      <c r="K696" s="19"/>
      <c r="L696" s="21"/>
    </row>
    <row r="697" spans="1:12" s="2" customFormat="1" x14ac:dyDescent="0.25">
      <c r="A697" s="2">
        <f t="shared" si="63"/>
        <v>10898187</v>
      </c>
      <c r="C697" s="19"/>
      <c r="J697" s="3"/>
      <c r="K697" s="19"/>
      <c r="L697" s="21"/>
    </row>
    <row r="698" spans="1:12" s="2" customFormat="1" x14ac:dyDescent="0.25">
      <c r="A698" s="2">
        <f t="shared" si="63"/>
        <v>10913187</v>
      </c>
      <c r="C698" s="19"/>
      <c r="J698" s="3"/>
      <c r="K698" s="19"/>
      <c r="L698" s="21"/>
    </row>
    <row r="699" spans="1:12" s="2" customFormat="1" x14ac:dyDescent="0.25">
      <c r="A699" s="2">
        <f t="shared" si="63"/>
        <v>10928187</v>
      </c>
      <c r="C699" s="19"/>
      <c r="J699" s="3"/>
      <c r="K699" s="19"/>
      <c r="L699" s="21"/>
    </row>
    <row r="700" spans="1:12" s="2" customFormat="1" x14ac:dyDescent="0.25">
      <c r="A700" s="2">
        <f t="shared" si="63"/>
        <v>10943187</v>
      </c>
      <c r="C700" s="19"/>
      <c r="J700" s="3"/>
      <c r="K700" s="19"/>
      <c r="L700" s="21"/>
    </row>
    <row r="701" spans="1:12" s="2" customFormat="1" x14ac:dyDescent="0.25">
      <c r="A701" s="2">
        <f t="shared" si="63"/>
        <v>10958187</v>
      </c>
      <c r="C701" s="19"/>
      <c r="J701" s="3"/>
      <c r="K701" s="19"/>
      <c r="L701" s="21"/>
    </row>
    <row r="702" spans="1:12" s="2" customFormat="1" x14ac:dyDescent="0.25">
      <c r="A702" s="2">
        <f t="shared" si="63"/>
        <v>10973187</v>
      </c>
      <c r="C702" s="19"/>
      <c r="J702" s="3"/>
      <c r="K702" s="19"/>
      <c r="L702" s="21"/>
    </row>
    <row r="703" spans="1:12" s="2" customFormat="1" x14ac:dyDescent="0.25">
      <c r="A703" s="2">
        <f t="shared" si="63"/>
        <v>10988187</v>
      </c>
      <c r="C703" s="19"/>
      <c r="J703" s="3"/>
      <c r="K703" s="19"/>
      <c r="L703" s="21"/>
    </row>
    <row r="704" spans="1:12" s="2" customFormat="1" x14ac:dyDescent="0.25">
      <c r="A704" s="2">
        <f t="shared" si="63"/>
        <v>11003187</v>
      </c>
      <c r="C704" s="19"/>
      <c r="J704" s="3"/>
      <c r="K704" s="19"/>
      <c r="L704" s="21"/>
    </row>
    <row r="705" spans="1:12" s="2" customFormat="1" x14ac:dyDescent="0.25">
      <c r="A705" s="2">
        <f t="shared" si="63"/>
        <v>11018187</v>
      </c>
      <c r="C705" s="19"/>
      <c r="J705" s="3"/>
      <c r="K705" s="19"/>
      <c r="L705" s="21"/>
    </row>
    <row r="706" spans="1:12" s="2" customFormat="1" x14ac:dyDescent="0.25">
      <c r="A706" s="2">
        <f t="shared" si="63"/>
        <v>11033187</v>
      </c>
      <c r="C706" s="19"/>
      <c r="J706" s="3"/>
      <c r="K706" s="19"/>
      <c r="L706" s="21"/>
    </row>
    <row r="707" spans="1:12" s="2" customFormat="1" x14ac:dyDescent="0.25">
      <c r="A707" s="2">
        <f t="shared" si="63"/>
        <v>11048187</v>
      </c>
      <c r="C707" s="19"/>
      <c r="J707" s="3"/>
      <c r="K707" s="19"/>
      <c r="L707" s="21"/>
    </row>
    <row r="708" spans="1:12" s="2" customFormat="1" x14ac:dyDescent="0.25">
      <c r="A708" s="2">
        <f t="shared" si="63"/>
        <v>11063187</v>
      </c>
      <c r="C708" s="19"/>
      <c r="J708" s="3"/>
      <c r="K708" s="19"/>
      <c r="L708" s="21"/>
    </row>
    <row r="709" spans="1:12" s="2" customFormat="1" x14ac:dyDescent="0.25">
      <c r="A709" s="2">
        <f t="shared" si="63"/>
        <v>11078187</v>
      </c>
      <c r="C709" s="19"/>
      <c r="J709" s="3"/>
      <c r="K709" s="19"/>
      <c r="L709" s="21"/>
    </row>
    <row r="710" spans="1:12" s="2" customFormat="1" x14ac:dyDescent="0.25">
      <c r="A710" s="2">
        <f t="shared" si="63"/>
        <v>11093187</v>
      </c>
      <c r="C710" s="19"/>
      <c r="J710" s="3"/>
      <c r="K710" s="19"/>
      <c r="L710" s="21"/>
    </row>
    <row r="711" spans="1:12" s="2" customFormat="1" x14ac:dyDescent="0.25">
      <c r="A711" s="2">
        <f t="shared" si="63"/>
        <v>11108187</v>
      </c>
      <c r="C711" s="19"/>
      <c r="J711" s="3"/>
      <c r="K711" s="19"/>
      <c r="L711" s="21"/>
    </row>
    <row r="712" spans="1:12" s="2" customFormat="1" x14ac:dyDescent="0.25">
      <c r="A712" s="2">
        <f t="shared" si="63"/>
        <v>11123187</v>
      </c>
      <c r="C712" s="19"/>
      <c r="J712" s="3"/>
      <c r="K712" s="19"/>
      <c r="L712" s="21"/>
    </row>
    <row r="713" spans="1:12" s="2" customFormat="1" x14ac:dyDescent="0.25">
      <c r="A713" s="2">
        <f t="shared" si="63"/>
        <v>11138187</v>
      </c>
      <c r="C713" s="19"/>
      <c r="J713" s="3"/>
      <c r="K713" s="19"/>
      <c r="L713" s="21"/>
    </row>
    <row r="714" spans="1:12" s="2" customFormat="1" x14ac:dyDescent="0.25">
      <c r="A714" s="2">
        <f t="shared" si="63"/>
        <v>11153187</v>
      </c>
      <c r="C714" s="19"/>
      <c r="J714" s="3"/>
      <c r="K714" s="19"/>
      <c r="L714" s="21"/>
    </row>
    <row r="715" spans="1:12" s="2" customFormat="1" x14ac:dyDescent="0.25">
      <c r="A715" s="2">
        <f t="shared" si="63"/>
        <v>11168187</v>
      </c>
      <c r="C715" s="19"/>
      <c r="J715" s="3"/>
      <c r="K715" s="19"/>
      <c r="L715" s="21"/>
    </row>
    <row r="716" spans="1:12" s="2" customFormat="1" x14ac:dyDescent="0.25">
      <c r="A716" s="2">
        <f t="shared" si="63"/>
        <v>11183187</v>
      </c>
      <c r="C716" s="19"/>
      <c r="J716" s="3"/>
      <c r="K716" s="19"/>
      <c r="L716" s="21"/>
    </row>
    <row r="717" spans="1:12" s="2" customFormat="1" x14ac:dyDescent="0.25">
      <c r="A717" s="2">
        <f t="shared" si="63"/>
        <v>11198187</v>
      </c>
      <c r="C717" s="19"/>
      <c r="J717" s="3"/>
      <c r="K717" s="19"/>
      <c r="L717" s="21"/>
    </row>
    <row r="718" spans="1:12" s="2" customFormat="1" x14ac:dyDescent="0.25">
      <c r="A718" s="2">
        <f t="shared" ref="A718:A781" si="64">A717+15000</f>
        <v>11213187</v>
      </c>
      <c r="C718" s="19"/>
      <c r="J718" s="3"/>
      <c r="K718" s="19"/>
      <c r="L718" s="21"/>
    </row>
    <row r="719" spans="1:12" s="2" customFormat="1" x14ac:dyDescent="0.25">
      <c r="A719" s="2">
        <f t="shared" si="64"/>
        <v>11228187</v>
      </c>
      <c r="C719" s="19"/>
      <c r="J719" s="3"/>
      <c r="K719" s="19"/>
      <c r="L719" s="21"/>
    </row>
    <row r="720" spans="1:12" s="2" customFormat="1" x14ac:dyDescent="0.25">
      <c r="A720" s="2">
        <f t="shared" si="64"/>
        <v>11243187</v>
      </c>
      <c r="C720" s="19"/>
      <c r="J720" s="3"/>
      <c r="K720" s="19"/>
      <c r="L720" s="21"/>
    </row>
    <row r="721" spans="1:12" s="2" customFormat="1" x14ac:dyDescent="0.25">
      <c r="A721" s="2">
        <f t="shared" si="64"/>
        <v>11258187</v>
      </c>
      <c r="C721" s="19"/>
      <c r="J721" s="3"/>
      <c r="K721" s="19"/>
      <c r="L721" s="21"/>
    </row>
    <row r="722" spans="1:12" s="2" customFormat="1" x14ac:dyDescent="0.25">
      <c r="A722" s="2">
        <f t="shared" si="64"/>
        <v>11273187</v>
      </c>
      <c r="C722" s="19"/>
      <c r="J722" s="3"/>
      <c r="K722" s="19"/>
      <c r="L722" s="21"/>
    </row>
    <row r="723" spans="1:12" s="2" customFormat="1" x14ac:dyDescent="0.25">
      <c r="A723" s="2">
        <f t="shared" si="64"/>
        <v>11288187</v>
      </c>
      <c r="C723" s="19"/>
      <c r="J723" s="3"/>
      <c r="K723" s="19"/>
      <c r="L723" s="21"/>
    </row>
    <row r="724" spans="1:12" s="2" customFormat="1" x14ac:dyDescent="0.25">
      <c r="A724" s="2">
        <f t="shared" si="64"/>
        <v>11303187</v>
      </c>
      <c r="C724" s="19"/>
      <c r="J724" s="3"/>
      <c r="K724" s="19"/>
      <c r="L724" s="21"/>
    </row>
    <row r="725" spans="1:12" s="2" customFormat="1" x14ac:dyDescent="0.25">
      <c r="A725" s="2">
        <f t="shared" si="64"/>
        <v>11318187</v>
      </c>
      <c r="C725" s="19"/>
      <c r="J725" s="3"/>
      <c r="K725" s="19"/>
      <c r="L725" s="21"/>
    </row>
    <row r="726" spans="1:12" s="2" customFormat="1" x14ac:dyDescent="0.25">
      <c r="A726" s="2">
        <f t="shared" si="64"/>
        <v>11333187</v>
      </c>
      <c r="C726" s="19"/>
      <c r="J726" s="3"/>
      <c r="K726" s="19"/>
      <c r="L726" s="21"/>
    </row>
    <row r="727" spans="1:12" s="2" customFormat="1" x14ac:dyDescent="0.25">
      <c r="A727" s="2">
        <f t="shared" si="64"/>
        <v>11348187</v>
      </c>
      <c r="C727" s="19"/>
      <c r="J727" s="3"/>
      <c r="K727" s="19"/>
      <c r="L727" s="21"/>
    </row>
    <row r="728" spans="1:12" s="2" customFormat="1" x14ac:dyDescent="0.25">
      <c r="A728" s="2">
        <f t="shared" si="64"/>
        <v>11363187</v>
      </c>
      <c r="C728" s="19"/>
      <c r="J728" s="3"/>
      <c r="K728" s="19"/>
      <c r="L728" s="21"/>
    </row>
    <row r="729" spans="1:12" s="2" customFormat="1" x14ac:dyDescent="0.25">
      <c r="A729" s="2">
        <f t="shared" si="64"/>
        <v>11378187</v>
      </c>
      <c r="C729" s="19"/>
      <c r="J729" s="3"/>
      <c r="K729" s="19"/>
      <c r="L729" s="21"/>
    </row>
    <row r="730" spans="1:12" s="2" customFormat="1" x14ac:dyDescent="0.25">
      <c r="A730" s="2">
        <f t="shared" si="64"/>
        <v>11393187</v>
      </c>
      <c r="C730" s="19"/>
      <c r="J730" s="3"/>
      <c r="K730" s="19"/>
      <c r="L730" s="21"/>
    </row>
    <row r="731" spans="1:12" s="2" customFormat="1" x14ac:dyDescent="0.25">
      <c r="A731" s="2">
        <f t="shared" si="64"/>
        <v>11408187</v>
      </c>
      <c r="C731" s="19"/>
      <c r="J731" s="3"/>
      <c r="K731" s="19"/>
      <c r="L731" s="21"/>
    </row>
    <row r="732" spans="1:12" s="2" customFormat="1" x14ac:dyDescent="0.25">
      <c r="A732" s="2">
        <f t="shared" si="64"/>
        <v>11423187</v>
      </c>
      <c r="C732" s="19"/>
      <c r="J732" s="3"/>
      <c r="K732" s="19"/>
      <c r="L732" s="21"/>
    </row>
    <row r="733" spans="1:12" s="2" customFormat="1" x14ac:dyDescent="0.25">
      <c r="A733" s="2">
        <f t="shared" si="64"/>
        <v>11438187</v>
      </c>
      <c r="C733" s="19"/>
      <c r="J733" s="3"/>
      <c r="K733" s="19"/>
      <c r="L733" s="21"/>
    </row>
    <row r="734" spans="1:12" s="2" customFormat="1" x14ac:dyDescent="0.25">
      <c r="A734" s="2">
        <f t="shared" si="64"/>
        <v>11453187</v>
      </c>
      <c r="C734" s="19"/>
      <c r="J734" s="3"/>
      <c r="K734" s="19"/>
      <c r="L734" s="21"/>
    </row>
    <row r="735" spans="1:12" s="2" customFormat="1" x14ac:dyDescent="0.25">
      <c r="A735" s="2">
        <f t="shared" si="64"/>
        <v>11468187</v>
      </c>
      <c r="C735" s="19"/>
      <c r="J735" s="3"/>
      <c r="K735" s="19"/>
      <c r="L735" s="21"/>
    </row>
    <row r="736" spans="1:12" s="2" customFormat="1" x14ac:dyDescent="0.25">
      <c r="A736" s="2">
        <f t="shared" si="64"/>
        <v>11483187</v>
      </c>
      <c r="C736" s="19"/>
      <c r="J736" s="3"/>
      <c r="K736" s="19"/>
      <c r="L736" s="21"/>
    </row>
    <row r="737" spans="1:12" s="2" customFormat="1" x14ac:dyDescent="0.25">
      <c r="A737" s="2">
        <f t="shared" si="64"/>
        <v>11498187</v>
      </c>
      <c r="C737" s="19"/>
      <c r="J737" s="3"/>
      <c r="K737" s="19"/>
      <c r="L737" s="21"/>
    </row>
    <row r="738" spans="1:12" s="2" customFormat="1" x14ac:dyDescent="0.25">
      <c r="A738" s="2">
        <f t="shared" si="64"/>
        <v>11513187</v>
      </c>
      <c r="C738" s="19"/>
      <c r="J738" s="3"/>
      <c r="K738" s="19"/>
      <c r="L738" s="21"/>
    </row>
    <row r="739" spans="1:12" s="2" customFormat="1" x14ac:dyDescent="0.25">
      <c r="A739" s="2">
        <f t="shared" si="64"/>
        <v>11528187</v>
      </c>
      <c r="C739" s="19"/>
      <c r="J739" s="3"/>
      <c r="K739" s="19"/>
      <c r="L739" s="21"/>
    </row>
    <row r="740" spans="1:12" s="2" customFormat="1" x14ac:dyDescent="0.25">
      <c r="A740" s="2">
        <f t="shared" si="64"/>
        <v>11543187</v>
      </c>
      <c r="C740" s="19"/>
      <c r="J740" s="3"/>
      <c r="K740" s="19"/>
      <c r="L740" s="21"/>
    </row>
    <row r="741" spans="1:12" s="2" customFormat="1" x14ac:dyDescent="0.25">
      <c r="A741" s="2">
        <f t="shared" si="64"/>
        <v>11558187</v>
      </c>
      <c r="C741" s="19"/>
      <c r="J741" s="3"/>
      <c r="K741" s="19"/>
      <c r="L741" s="21"/>
    </row>
    <row r="742" spans="1:12" s="2" customFormat="1" x14ac:dyDescent="0.25">
      <c r="A742" s="2">
        <f t="shared" si="64"/>
        <v>11573187</v>
      </c>
      <c r="C742" s="19"/>
      <c r="J742" s="3"/>
      <c r="K742" s="19"/>
      <c r="L742" s="21"/>
    </row>
    <row r="743" spans="1:12" s="2" customFormat="1" x14ac:dyDescent="0.25">
      <c r="A743" s="2">
        <f t="shared" si="64"/>
        <v>11588187</v>
      </c>
      <c r="C743" s="19"/>
      <c r="J743" s="3"/>
      <c r="K743" s="19"/>
      <c r="L743" s="21"/>
    </row>
    <row r="744" spans="1:12" s="2" customFormat="1" x14ac:dyDescent="0.25">
      <c r="A744" s="2">
        <f t="shared" si="64"/>
        <v>11603187</v>
      </c>
      <c r="C744" s="19"/>
      <c r="J744" s="3"/>
      <c r="K744" s="19"/>
      <c r="L744" s="21"/>
    </row>
    <row r="745" spans="1:12" s="2" customFormat="1" x14ac:dyDescent="0.25">
      <c r="A745" s="2">
        <f t="shared" si="64"/>
        <v>11618187</v>
      </c>
      <c r="C745" s="19"/>
      <c r="J745" s="3"/>
      <c r="K745" s="19"/>
      <c r="L745" s="21"/>
    </row>
    <row r="746" spans="1:12" s="2" customFormat="1" x14ac:dyDescent="0.25">
      <c r="A746" s="2">
        <f t="shared" si="64"/>
        <v>11633187</v>
      </c>
      <c r="C746" s="19"/>
      <c r="J746" s="3"/>
      <c r="K746" s="19"/>
      <c r="L746" s="21"/>
    </row>
    <row r="747" spans="1:12" s="2" customFormat="1" x14ac:dyDescent="0.25">
      <c r="A747" s="2">
        <f t="shared" si="64"/>
        <v>11648187</v>
      </c>
      <c r="C747" s="19"/>
      <c r="J747" s="3"/>
      <c r="K747" s="19"/>
      <c r="L747" s="21"/>
    </row>
    <row r="748" spans="1:12" s="2" customFormat="1" x14ac:dyDescent="0.25">
      <c r="A748" s="2">
        <f t="shared" si="64"/>
        <v>11663187</v>
      </c>
      <c r="C748" s="19"/>
      <c r="J748" s="3"/>
      <c r="K748" s="19"/>
      <c r="L748" s="21"/>
    </row>
    <row r="749" spans="1:12" s="2" customFormat="1" x14ac:dyDescent="0.25">
      <c r="A749" s="2">
        <f t="shared" si="64"/>
        <v>11678187</v>
      </c>
      <c r="C749" s="19"/>
      <c r="J749" s="3"/>
      <c r="K749" s="19"/>
      <c r="L749" s="21"/>
    </row>
    <row r="750" spans="1:12" s="2" customFormat="1" x14ac:dyDescent="0.25">
      <c r="A750" s="2">
        <f t="shared" si="64"/>
        <v>11693187</v>
      </c>
      <c r="C750" s="19"/>
      <c r="J750" s="3"/>
      <c r="K750" s="19"/>
      <c r="L750" s="21"/>
    </row>
    <row r="751" spans="1:12" s="2" customFormat="1" x14ac:dyDescent="0.25">
      <c r="A751" s="2">
        <f t="shared" si="64"/>
        <v>11708187</v>
      </c>
      <c r="C751" s="19"/>
      <c r="J751" s="3"/>
      <c r="K751" s="19"/>
      <c r="L751" s="21"/>
    </row>
    <row r="752" spans="1:12" s="2" customFormat="1" x14ac:dyDescent="0.25">
      <c r="A752" s="2">
        <f t="shared" si="64"/>
        <v>11723187</v>
      </c>
      <c r="C752" s="19"/>
      <c r="J752" s="3"/>
      <c r="K752" s="19"/>
      <c r="L752" s="21"/>
    </row>
    <row r="753" spans="1:12" s="2" customFormat="1" x14ac:dyDescent="0.25">
      <c r="A753" s="2">
        <f t="shared" si="64"/>
        <v>11738187</v>
      </c>
      <c r="C753" s="19"/>
      <c r="J753" s="3"/>
      <c r="K753" s="19"/>
      <c r="L753" s="21"/>
    </row>
    <row r="754" spans="1:12" s="2" customFormat="1" x14ac:dyDescent="0.25">
      <c r="A754" s="2">
        <f t="shared" si="64"/>
        <v>11753187</v>
      </c>
      <c r="C754" s="19"/>
      <c r="J754" s="3"/>
      <c r="K754" s="19"/>
      <c r="L754" s="21"/>
    </row>
    <row r="755" spans="1:12" s="2" customFormat="1" x14ac:dyDescent="0.25">
      <c r="A755" s="2">
        <f t="shared" si="64"/>
        <v>11768187</v>
      </c>
      <c r="C755" s="19"/>
      <c r="J755" s="3"/>
      <c r="K755" s="19"/>
      <c r="L755" s="21"/>
    </row>
    <row r="756" spans="1:12" s="2" customFormat="1" x14ac:dyDescent="0.25">
      <c r="A756" s="2">
        <f t="shared" si="64"/>
        <v>11783187</v>
      </c>
      <c r="C756" s="19"/>
      <c r="J756" s="3"/>
      <c r="K756" s="19"/>
      <c r="L756" s="21"/>
    </row>
    <row r="757" spans="1:12" s="2" customFormat="1" x14ac:dyDescent="0.25">
      <c r="A757" s="2">
        <f t="shared" si="64"/>
        <v>11798187</v>
      </c>
      <c r="C757" s="19"/>
      <c r="J757" s="3"/>
      <c r="K757" s="19"/>
      <c r="L757" s="21"/>
    </row>
    <row r="758" spans="1:12" s="2" customFormat="1" x14ac:dyDescent="0.25">
      <c r="A758" s="2">
        <f t="shared" si="64"/>
        <v>11813187</v>
      </c>
      <c r="C758" s="19"/>
      <c r="J758" s="3"/>
      <c r="K758" s="19"/>
      <c r="L758" s="21"/>
    </row>
    <row r="759" spans="1:12" s="2" customFormat="1" x14ac:dyDescent="0.25">
      <c r="A759" s="2">
        <f t="shared" si="64"/>
        <v>11828187</v>
      </c>
      <c r="C759" s="19"/>
      <c r="J759" s="3"/>
      <c r="K759" s="19"/>
      <c r="L759" s="21"/>
    </row>
    <row r="760" spans="1:12" s="2" customFormat="1" x14ac:dyDescent="0.25">
      <c r="A760" s="2">
        <f t="shared" si="64"/>
        <v>11843187</v>
      </c>
      <c r="C760" s="19"/>
      <c r="J760" s="3"/>
      <c r="K760" s="19"/>
      <c r="L760" s="21"/>
    </row>
    <row r="761" spans="1:12" s="2" customFormat="1" x14ac:dyDescent="0.25">
      <c r="A761" s="2">
        <f t="shared" si="64"/>
        <v>11858187</v>
      </c>
      <c r="C761" s="19"/>
      <c r="J761" s="3"/>
      <c r="K761" s="19"/>
      <c r="L761" s="21"/>
    </row>
    <row r="762" spans="1:12" s="2" customFormat="1" x14ac:dyDescent="0.25">
      <c r="A762" s="2">
        <f t="shared" si="64"/>
        <v>11873187</v>
      </c>
      <c r="C762" s="19"/>
      <c r="J762" s="3"/>
      <c r="K762" s="19"/>
      <c r="L762" s="21"/>
    </row>
    <row r="763" spans="1:12" s="2" customFormat="1" x14ac:dyDescent="0.25">
      <c r="A763" s="2">
        <f t="shared" si="64"/>
        <v>11888187</v>
      </c>
      <c r="C763" s="19"/>
      <c r="J763" s="3"/>
      <c r="K763" s="19"/>
      <c r="L763" s="21"/>
    </row>
    <row r="764" spans="1:12" s="2" customFormat="1" x14ac:dyDescent="0.25">
      <c r="A764" s="2">
        <f t="shared" si="64"/>
        <v>11903187</v>
      </c>
      <c r="C764" s="19"/>
      <c r="J764" s="3"/>
      <c r="K764" s="19"/>
      <c r="L764" s="21"/>
    </row>
    <row r="765" spans="1:12" s="2" customFormat="1" x14ac:dyDescent="0.25">
      <c r="A765" s="2">
        <f t="shared" si="64"/>
        <v>11918187</v>
      </c>
      <c r="C765" s="19"/>
      <c r="J765" s="3"/>
      <c r="K765" s="19"/>
      <c r="L765" s="21"/>
    </row>
    <row r="766" spans="1:12" s="2" customFormat="1" x14ac:dyDescent="0.25">
      <c r="A766" s="2">
        <f t="shared" si="64"/>
        <v>11933187</v>
      </c>
      <c r="C766" s="19"/>
      <c r="J766" s="3"/>
      <c r="K766" s="19"/>
      <c r="L766" s="21"/>
    </row>
    <row r="767" spans="1:12" s="2" customFormat="1" x14ac:dyDescent="0.25">
      <c r="A767" s="2">
        <f t="shared" si="64"/>
        <v>11948187</v>
      </c>
      <c r="C767" s="19"/>
      <c r="J767" s="3"/>
      <c r="K767" s="19"/>
      <c r="L767" s="21"/>
    </row>
    <row r="768" spans="1:12" s="2" customFormat="1" x14ac:dyDescent="0.25">
      <c r="A768" s="2">
        <f t="shared" si="64"/>
        <v>11963187</v>
      </c>
      <c r="C768" s="19"/>
      <c r="J768" s="3"/>
      <c r="K768" s="19"/>
      <c r="L768" s="21"/>
    </row>
    <row r="769" spans="1:13" x14ac:dyDescent="0.25">
      <c r="A769" s="2">
        <f t="shared" si="64"/>
        <v>11978187</v>
      </c>
      <c r="M769" s="2"/>
    </row>
    <row r="770" spans="1:13" x14ac:dyDescent="0.25">
      <c r="A770" s="2">
        <f t="shared" si="64"/>
        <v>11993187</v>
      </c>
    </row>
    <row r="771" spans="1:13" x14ac:dyDescent="0.25">
      <c r="A771" s="2">
        <f t="shared" si="64"/>
        <v>12008187</v>
      </c>
    </row>
    <row r="772" spans="1:13" x14ac:dyDescent="0.25">
      <c r="A772" s="2">
        <f t="shared" si="64"/>
        <v>12023187</v>
      </c>
    </row>
    <row r="773" spans="1:13" x14ac:dyDescent="0.25">
      <c r="A773" s="2">
        <f t="shared" si="64"/>
        <v>12038187</v>
      </c>
    </row>
    <row r="774" spans="1:13" x14ac:dyDescent="0.25">
      <c r="A774" s="2">
        <f t="shared" si="64"/>
        <v>12053187</v>
      </c>
    </row>
    <row r="775" spans="1:13" x14ac:dyDescent="0.25">
      <c r="A775" s="2">
        <f t="shared" si="64"/>
        <v>12068187</v>
      </c>
    </row>
    <row r="776" spans="1:13" x14ac:dyDescent="0.25">
      <c r="A776" s="2">
        <f t="shared" si="64"/>
        <v>12083187</v>
      </c>
    </row>
    <row r="777" spans="1:13" x14ac:dyDescent="0.25">
      <c r="A777" s="2">
        <f t="shared" si="64"/>
        <v>12098187</v>
      </c>
    </row>
    <row r="778" spans="1:13" x14ac:dyDescent="0.25">
      <c r="A778" s="2">
        <f t="shared" si="64"/>
        <v>12113187</v>
      </c>
    </row>
    <row r="779" spans="1:13" x14ac:dyDescent="0.25">
      <c r="A779" s="2">
        <f t="shared" si="64"/>
        <v>12128187</v>
      </c>
    </row>
    <row r="780" spans="1:13" x14ac:dyDescent="0.25">
      <c r="A780" s="2">
        <f t="shared" si="64"/>
        <v>12143187</v>
      </c>
    </row>
    <row r="781" spans="1:13" x14ac:dyDescent="0.25">
      <c r="A781" s="2">
        <f t="shared" si="64"/>
        <v>12158187</v>
      </c>
    </row>
    <row r="782" spans="1:13" x14ac:dyDescent="0.25">
      <c r="A782" s="2">
        <f t="shared" ref="A782:A845" si="65">A781+15000</f>
        <v>12173187</v>
      </c>
    </row>
    <row r="783" spans="1:13" x14ac:dyDescent="0.25">
      <c r="A783" s="2">
        <f t="shared" si="65"/>
        <v>12188187</v>
      </c>
    </row>
    <row r="784" spans="1:13" x14ac:dyDescent="0.25">
      <c r="A784" s="2">
        <f t="shared" si="65"/>
        <v>12203187</v>
      </c>
    </row>
    <row r="785" spans="1:1" x14ac:dyDescent="0.25">
      <c r="A785" s="2">
        <f t="shared" si="65"/>
        <v>12218187</v>
      </c>
    </row>
    <row r="786" spans="1:1" x14ac:dyDescent="0.25">
      <c r="A786" s="2">
        <f t="shared" si="65"/>
        <v>12233187</v>
      </c>
    </row>
    <row r="787" spans="1:1" x14ac:dyDescent="0.25">
      <c r="A787" s="2">
        <f t="shared" si="65"/>
        <v>12248187</v>
      </c>
    </row>
    <row r="788" spans="1:1" x14ac:dyDescent="0.25">
      <c r="A788" s="2">
        <f t="shared" si="65"/>
        <v>12263187</v>
      </c>
    </row>
    <row r="789" spans="1:1" x14ac:dyDescent="0.25">
      <c r="A789" s="2">
        <f t="shared" si="65"/>
        <v>12278187</v>
      </c>
    </row>
    <row r="790" spans="1:1" x14ac:dyDescent="0.25">
      <c r="A790" s="2">
        <f t="shared" si="65"/>
        <v>12293187</v>
      </c>
    </row>
    <row r="791" spans="1:1" x14ac:dyDescent="0.25">
      <c r="A791" s="2">
        <f t="shared" si="65"/>
        <v>12308187</v>
      </c>
    </row>
    <row r="792" spans="1:1" x14ac:dyDescent="0.25">
      <c r="A792" s="2">
        <f t="shared" si="65"/>
        <v>12323187</v>
      </c>
    </row>
    <row r="793" spans="1:1" x14ac:dyDescent="0.25">
      <c r="A793" s="2">
        <f t="shared" si="65"/>
        <v>12338187</v>
      </c>
    </row>
    <row r="794" spans="1:1" x14ac:dyDescent="0.25">
      <c r="A794" s="2">
        <f t="shared" si="65"/>
        <v>12353187</v>
      </c>
    </row>
    <row r="795" spans="1:1" x14ac:dyDescent="0.25">
      <c r="A795" s="2">
        <f t="shared" si="65"/>
        <v>12368187</v>
      </c>
    </row>
    <row r="796" spans="1:1" x14ac:dyDescent="0.25">
      <c r="A796" s="2">
        <f t="shared" si="65"/>
        <v>12383187</v>
      </c>
    </row>
    <row r="797" spans="1:1" x14ac:dyDescent="0.25">
      <c r="A797" s="2">
        <f t="shared" si="65"/>
        <v>12398187</v>
      </c>
    </row>
    <row r="798" spans="1:1" x14ac:dyDescent="0.25">
      <c r="A798" s="2">
        <f t="shared" si="65"/>
        <v>12413187</v>
      </c>
    </row>
    <row r="799" spans="1:1" x14ac:dyDescent="0.25">
      <c r="A799" s="2">
        <f t="shared" si="65"/>
        <v>12428187</v>
      </c>
    </row>
    <row r="800" spans="1:1" x14ac:dyDescent="0.25">
      <c r="A800" s="2">
        <f t="shared" si="65"/>
        <v>12443187</v>
      </c>
    </row>
    <row r="801" spans="1:1" x14ac:dyDescent="0.25">
      <c r="A801" s="2">
        <f t="shared" si="65"/>
        <v>12458187</v>
      </c>
    </row>
    <row r="802" spans="1:1" x14ac:dyDescent="0.25">
      <c r="A802" s="2">
        <f t="shared" si="65"/>
        <v>12473187</v>
      </c>
    </row>
    <row r="803" spans="1:1" x14ac:dyDescent="0.25">
      <c r="A803" s="2">
        <f t="shared" si="65"/>
        <v>12488187</v>
      </c>
    </row>
    <row r="804" spans="1:1" x14ac:dyDescent="0.25">
      <c r="A804" s="2">
        <f t="shared" si="65"/>
        <v>12503187</v>
      </c>
    </row>
    <row r="805" spans="1:1" x14ac:dyDescent="0.25">
      <c r="A805" s="2">
        <f t="shared" si="65"/>
        <v>12518187</v>
      </c>
    </row>
    <row r="806" spans="1:1" x14ac:dyDescent="0.25">
      <c r="A806" s="2">
        <f t="shared" si="65"/>
        <v>12533187</v>
      </c>
    </row>
    <row r="807" spans="1:1" x14ac:dyDescent="0.25">
      <c r="A807" s="2">
        <f t="shared" si="65"/>
        <v>12548187</v>
      </c>
    </row>
    <row r="808" spans="1:1" x14ac:dyDescent="0.25">
      <c r="A808" s="2">
        <f t="shared" si="65"/>
        <v>12563187</v>
      </c>
    </row>
    <row r="809" spans="1:1" x14ac:dyDescent="0.25">
      <c r="A809" s="2">
        <f t="shared" si="65"/>
        <v>12578187</v>
      </c>
    </row>
    <row r="810" spans="1:1" x14ac:dyDescent="0.25">
      <c r="A810" s="2">
        <f t="shared" si="65"/>
        <v>12593187</v>
      </c>
    </row>
    <row r="811" spans="1:1" x14ac:dyDescent="0.25">
      <c r="A811" s="2">
        <f t="shared" si="65"/>
        <v>12608187</v>
      </c>
    </row>
    <row r="812" spans="1:1" x14ac:dyDescent="0.25">
      <c r="A812" s="2">
        <f t="shared" si="65"/>
        <v>12623187</v>
      </c>
    </row>
    <row r="813" spans="1:1" x14ac:dyDescent="0.25">
      <c r="A813" s="2">
        <f t="shared" si="65"/>
        <v>12638187</v>
      </c>
    </row>
    <row r="814" spans="1:1" x14ac:dyDescent="0.25">
      <c r="A814" s="2">
        <f t="shared" si="65"/>
        <v>12653187</v>
      </c>
    </row>
    <row r="815" spans="1:1" x14ac:dyDescent="0.25">
      <c r="A815" s="2">
        <f t="shared" si="65"/>
        <v>12668187</v>
      </c>
    </row>
    <row r="816" spans="1:1" x14ac:dyDescent="0.25">
      <c r="A816" s="2">
        <f t="shared" si="65"/>
        <v>12683187</v>
      </c>
    </row>
    <row r="817" spans="1:1" x14ac:dyDescent="0.25">
      <c r="A817" s="2">
        <f t="shared" si="65"/>
        <v>12698187</v>
      </c>
    </row>
    <row r="818" spans="1:1" x14ac:dyDescent="0.25">
      <c r="A818" s="2">
        <f t="shared" si="65"/>
        <v>12713187</v>
      </c>
    </row>
    <row r="819" spans="1:1" x14ac:dyDescent="0.25">
      <c r="A819" s="2">
        <f t="shared" si="65"/>
        <v>12728187</v>
      </c>
    </row>
    <row r="820" spans="1:1" x14ac:dyDescent="0.25">
      <c r="A820" s="2">
        <f t="shared" si="65"/>
        <v>12743187</v>
      </c>
    </row>
    <row r="821" spans="1:1" x14ac:dyDescent="0.25">
      <c r="A821" s="2">
        <f t="shared" si="65"/>
        <v>12758187</v>
      </c>
    </row>
    <row r="822" spans="1:1" x14ac:dyDescent="0.25">
      <c r="A822" s="2">
        <f t="shared" si="65"/>
        <v>12773187</v>
      </c>
    </row>
    <row r="823" spans="1:1" x14ac:dyDescent="0.25">
      <c r="A823" s="2">
        <f t="shared" si="65"/>
        <v>12788187</v>
      </c>
    </row>
    <row r="824" spans="1:1" x14ac:dyDescent="0.25">
      <c r="A824" s="2">
        <f t="shared" si="65"/>
        <v>12803187</v>
      </c>
    </row>
    <row r="825" spans="1:1" x14ac:dyDescent="0.25">
      <c r="A825" s="2">
        <f t="shared" si="65"/>
        <v>12818187</v>
      </c>
    </row>
    <row r="826" spans="1:1" x14ac:dyDescent="0.25">
      <c r="A826" s="2">
        <f t="shared" si="65"/>
        <v>12833187</v>
      </c>
    </row>
    <row r="827" spans="1:1" x14ac:dyDescent="0.25">
      <c r="A827" s="2">
        <f t="shared" si="65"/>
        <v>12848187</v>
      </c>
    </row>
    <row r="828" spans="1:1" x14ac:dyDescent="0.25">
      <c r="A828" s="2">
        <f t="shared" si="65"/>
        <v>12863187</v>
      </c>
    </row>
    <row r="829" spans="1:1" x14ac:dyDescent="0.25">
      <c r="A829" s="2">
        <f t="shared" si="65"/>
        <v>12878187</v>
      </c>
    </row>
    <row r="830" spans="1:1" x14ac:dyDescent="0.25">
      <c r="A830" s="2">
        <f t="shared" si="65"/>
        <v>12893187</v>
      </c>
    </row>
    <row r="831" spans="1:1" x14ac:dyDescent="0.25">
      <c r="A831" s="2">
        <f t="shared" si="65"/>
        <v>12908187</v>
      </c>
    </row>
    <row r="832" spans="1:1" x14ac:dyDescent="0.25">
      <c r="A832" s="2">
        <f t="shared" si="65"/>
        <v>12923187</v>
      </c>
    </row>
    <row r="833" spans="1:1" x14ac:dyDescent="0.25">
      <c r="A833" s="2">
        <f t="shared" si="65"/>
        <v>12938187</v>
      </c>
    </row>
    <row r="834" spans="1:1" x14ac:dyDescent="0.25">
      <c r="A834" s="2">
        <f t="shared" si="65"/>
        <v>12953187</v>
      </c>
    </row>
    <row r="835" spans="1:1" x14ac:dyDescent="0.25">
      <c r="A835" s="2">
        <f t="shared" si="65"/>
        <v>12968187</v>
      </c>
    </row>
    <row r="836" spans="1:1" x14ac:dyDescent="0.25">
      <c r="A836" s="2">
        <f t="shared" si="65"/>
        <v>12983187</v>
      </c>
    </row>
    <row r="837" spans="1:1" x14ac:dyDescent="0.25">
      <c r="A837" s="2">
        <f t="shared" si="65"/>
        <v>12998187</v>
      </c>
    </row>
    <row r="838" spans="1:1" x14ac:dyDescent="0.25">
      <c r="A838" s="2">
        <f t="shared" si="65"/>
        <v>13013187</v>
      </c>
    </row>
    <row r="839" spans="1:1" x14ac:dyDescent="0.25">
      <c r="A839" s="2">
        <f t="shared" si="65"/>
        <v>13028187</v>
      </c>
    </row>
    <row r="840" spans="1:1" x14ac:dyDescent="0.25">
      <c r="A840" s="2">
        <f t="shared" si="65"/>
        <v>13043187</v>
      </c>
    </row>
    <row r="841" spans="1:1" x14ac:dyDescent="0.25">
      <c r="A841" s="2">
        <f t="shared" si="65"/>
        <v>13058187</v>
      </c>
    </row>
    <row r="842" spans="1:1" x14ac:dyDescent="0.25">
      <c r="A842" s="2">
        <f t="shared" si="65"/>
        <v>13073187</v>
      </c>
    </row>
    <row r="843" spans="1:1" x14ac:dyDescent="0.25">
      <c r="A843" s="2">
        <f t="shared" si="65"/>
        <v>13088187</v>
      </c>
    </row>
    <row r="844" spans="1:1" x14ac:dyDescent="0.25">
      <c r="A844" s="2">
        <f t="shared" si="65"/>
        <v>13103187</v>
      </c>
    </row>
    <row r="845" spans="1:1" x14ac:dyDescent="0.25">
      <c r="A845" s="2">
        <f t="shared" si="65"/>
        <v>13118187</v>
      </c>
    </row>
    <row r="846" spans="1:1" x14ac:dyDescent="0.25">
      <c r="A846" s="2">
        <f t="shared" ref="A846:A909" si="66">A845+15000</f>
        <v>13133187</v>
      </c>
    </row>
    <row r="847" spans="1:1" x14ac:dyDescent="0.25">
      <c r="A847" s="2">
        <f t="shared" si="66"/>
        <v>13148187</v>
      </c>
    </row>
    <row r="848" spans="1:1" x14ac:dyDescent="0.25">
      <c r="A848" s="2">
        <f t="shared" si="66"/>
        <v>13163187</v>
      </c>
    </row>
    <row r="849" spans="1:1" x14ac:dyDescent="0.25">
      <c r="A849" s="2">
        <f t="shared" si="66"/>
        <v>13178187</v>
      </c>
    </row>
    <row r="850" spans="1:1" x14ac:dyDescent="0.25">
      <c r="A850" s="2">
        <f t="shared" si="66"/>
        <v>13193187</v>
      </c>
    </row>
    <row r="851" spans="1:1" x14ac:dyDescent="0.25">
      <c r="A851" s="2">
        <f t="shared" si="66"/>
        <v>13208187</v>
      </c>
    </row>
    <row r="852" spans="1:1" x14ac:dyDescent="0.25">
      <c r="A852" s="2">
        <f t="shared" si="66"/>
        <v>13223187</v>
      </c>
    </row>
    <row r="853" spans="1:1" x14ac:dyDescent="0.25">
      <c r="A853" s="2">
        <f t="shared" si="66"/>
        <v>13238187</v>
      </c>
    </row>
    <row r="854" spans="1:1" x14ac:dyDescent="0.25">
      <c r="A854" s="2">
        <f t="shared" si="66"/>
        <v>13253187</v>
      </c>
    </row>
    <row r="855" spans="1:1" x14ac:dyDescent="0.25">
      <c r="A855" s="2">
        <f t="shared" si="66"/>
        <v>13268187</v>
      </c>
    </row>
    <row r="856" spans="1:1" x14ac:dyDescent="0.25">
      <c r="A856" s="2">
        <f t="shared" si="66"/>
        <v>13283187</v>
      </c>
    </row>
    <row r="857" spans="1:1" x14ac:dyDescent="0.25">
      <c r="A857" s="2">
        <f t="shared" si="66"/>
        <v>13298187</v>
      </c>
    </row>
    <row r="858" spans="1:1" x14ac:dyDescent="0.25">
      <c r="A858" s="2">
        <f t="shared" si="66"/>
        <v>13313187</v>
      </c>
    </row>
    <row r="859" spans="1:1" x14ac:dyDescent="0.25">
      <c r="A859" s="2">
        <f t="shared" si="66"/>
        <v>13328187</v>
      </c>
    </row>
    <row r="860" spans="1:1" x14ac:dyDescent="0.25">
      <c r="A860" s="2">
        <f t="shared" si="66"/>
        <v>13343187</v>
      </c>
    </row>
    <row r="861" spans="1:1" x14ac:dyDescent="0.25">
      <c r="A861" s="2">
        <f t="shared" si="66"/>
        <v>13358187</v>
      </c>
    </row>
    <row r="862" spans="1:1" x14ac:dyDescent="0.25">
      <c r="A862" s="2">
        <f t="shared" si="66"/>
        <v>13373187</v>
      </c>
    </row>
    <row r="863" spans="1:1" x14ac:dyDescent="0.25">
      <c r="A863" s="2">
        <f t="shared" si="66"/>
        <v>13388187</v>
      </c>
    </row>
    <row r="864" spans="1:1" x14ac:dyDescent="0.25">
      <c r="A864" s="2">
        <f t="shared" si="66"/>
        <v>13403187</v>
      </c>
    </row>
    <row r="865" spans="1:1" x14ac:dyDescent="0.25">
      <c r="A865" s="2">
        <f t="shared" si="66"/>
        <v>13418187</v>
      </c>
    </row>
    <row r="866" spans="1:1" x14ac:dyDescent="0.25">
      <c r="A866" s="2">
        <f t="shared" si="66"/>
        <v>13433187</v>
      </c>
    </row>
    <row r="867" spans="1:1" x14ac:dyDescent="0.25">
      <c r="A867" s="2">
        <f t="shared" si="66"/>
        <v>13448187</v>
      </c>
    </row>
    <row r="868" spans="1:1" x14ac:dyDescent="0.25">
      <c r="A868" s="2">
        <f t="shared" si="66"/>
        <v>13463187</v>
      </c>
    </row>
    <row r="869" spans="1:1" x14ac:dyDescent="0.25">
      <c r="A869" s="2">
        <f t="shared" si="66"/>
        <v>13478187</v>
      </c>
    </row>
    <row r="870" spans="1:1" x14ac:dyDescent="0.25">
      <c r="A870" s="2">
        <f t="shared" si="66"/>
        <v>13493187</v>
      </c>
    </row>
    <row r="871" spans="1:1" x14ac:dyDescent="0.25">
      <c r="A871" s="2">
        <f t="shared" si="66"/>
        <v>13508187</v>
      </c>
    </row>
    <row r="872" spans="1:1" x14ac:dyDescent="0.25">
      <c r="A872" s="2">
        <f t="shared" si="66"/>
        <v>13523187</v>
      </c>
    </row>
    <row r="873" spans="1:1" x14ac:dyDescent="0.25">
      <c r="A873" s="2">
        <f t="shared" si="66"/>
        <v>13538187</v>
      </c>
    </row>
    <row r="874" spans="1:1" x14ac:dyDescent="0.25">
      <c r="A874" s="2">
        <f t="shared" si="66"/>
        <v>13553187</v>
      </c>
    </row>
    <row r="875" spans="1:1" x14ac:dyDescent="0.25">
      <c r="A875" s="2">
        <f t="shared" si="66"/>
        <v>13568187</v>
      </c>
    </row>
    <row r="876" spans="1:1" x14ac:dyDescent="0.25">
      <c r="A876" s="2">
        <f t="shared" si="66"/>
        <v>13583187</v>
      </c>
    </row>
    <row r="877" spans="1:1" x14ac:dyDescent="0.25">
      <c r="A877" s="2">
        <f t="shared" si="66"/>
        <v>13598187</v>
      </c>
    </row>
    <row r="878" spans="1:1" x14ac:dyDescent="0.25">
      <c r="A878" s="2">
        <f t="shared" si="66"/>
        <v>13613187</v>
      </c>
    </row>
    <row r="879" spans="1:1" x14ac:dyDescent="0.25">
      <c r="A879" s="2">
        <f t="shared" si="66"/>
        <v>13628187</v>
      </c>
    </row>
    <row r="880" spans="1:1" x14ac:dyDescent="0.25">
      <c r="A880" s="2">
        <f t="shared" si="66"/>
        <v>13643187</v>
      </c>
    </row>
    <row r="881" spans="1:1" x14ac:dyDescent="0.25">
      <c r="A881" s="2">
        <f t="shared" si="66"/>
        <v>13658187</v>
      </c>
    </row>
    <row r="882" spans="1:1" x14ac:dyDescent="0.25">
      <c r="A882" s="2">
        <f t="shared" si="66"/>
        <v>13673187</v>
      </c>
    </row>
    <row r="883" spans="1:1" x14ac:dyDescent="0.25">
      <c r="A883" s="2">
        <f t="shared" si="66"/>
        <v>13688187</v>
      </c>
    </row>
    <row r="884" spans="1:1" x14ac:dyDescent="0.25">
      <c r="A884" s="2">
        <f t="shared" si="66"/>
        <v>13703187</v>
      </c>
    </row>
    <row r="885" spans="1:1" x14ac:dyDescent="0.25">
      <c r="A885" s="2">
        <f t="shared" si="66"/>
        <v>13718187</v>
      </c>
    </row>
    <row r="886" spans="1:1" x14ac:dyDescent="0.25">
      <c r="A886" s="2">
        <f t="shared" si="66"/>
        <v>13733187</v>
      </c>
    </row>
    <row r="887" spans="1:1" x14ac:dyDescent="0.25">
      <c r="A887" s="2">
        <f t="shared" si="66"/>
        <v>13748187</v>
      </c>
    </row>
    <row r="888" spans="1:1" x14ac:dyDescent="0.25">
      <c r="A888" s="2">
        <f t="shared" si="66"/>
        <v>13763187</v>
      </c>
    </row>
    <row r="889" spans="1:1" x14ac:dyDescent="0.25">
      <c r="A889" s="2">
        <f t="shared" si="66"/>
        <v>13778187</v>
      </c>
    </row>
    <row r="890" spans="1:1" x14ac:dyDescent="0.25">
      <c r="A890" s="2">
        <f t="shared" si="66"/>
        <v>13793187</v>
      </c>
    </row>
    <row r="891" spans="1:1" x14ac:dyDescent="0.25">
      <c r="A891" s="2">
        <f t="shared" si="66"/>
        <v>13808187</v>
      </c>
    </row>
    <row r="892" spans="1:1" x14ac:dyDescent="0.25">
      <c r="A892" s="2">
        <f t="shared" si="66"/>
        <v>13823187</v>
      </c>
    </row>
    <row r="893" spans="1:1" x14ac:dyDescent="0.25">
      <c r="A893" s="2">
        <f t="shared" si="66"/>
        <v>13838187</v>
      </c>
    </row>
    <row r="894" spans="1:1" x14ac:dyDescent="0.25">
      <c r="A894" s="2">
        <f t="shared" si="66"/>
        <v>13853187</v>
      </c>
    </row>
    <row r="895" spans="1:1" x14ac:dyDescent="0.25">
      <c r="A895" s="2">
        <f t="shared" si="66"/>
        <v>13868187</v>
      </c>
    </row>
    <row r="896" spans="1:1" x14ac:dyDescent="0.25">
      <c r="A896" s="2">
        <f t="shared" si="66"/>
        <v>13883187</v>
      </c>
    </row>
    <row r="897" spans="1:1" x14ac:dyDescent="0.25">
      <c r="A897" s="2">
        <f t="shared" si="66"/>
        <v>13898187</v>
      </c>
    </row>
    <row r="898" spans="1:1" x14ac:dyDescent="0.25">
      <c r="A898" s="2">
        <f t="shared" si="66"/>
        <v>13913187</v>
      </c>
    </row>
    <row r="899" spans="1:1" x14ac:dyDescent="0.25">
      <c r="A899" s="2">
        <f t="shared" si="66"/>
        <v>13928187</v>
      </c>
    </row>
    <row r="900" spans="1:1" x14ac:dyDescent="0.25">
      <c r="A900" s="2">
        <f t="shared" si="66"/>
        <v>13943187</v>
      </c>
    </row>
    <row r="901" spans="1:1" x14ac:dyDescent="0.25">
      <c r="A901" s="2">
        <f t="shared" si="66"/>
        <v>13958187</v>
      </c>
    </row>
    <row r="902" spans="1:1" x14ac:dyDescent="0.25">
      <c r="A902" s="2">
        <f t="shared" si="66"/>
        <v>13973187</v>
      </c>
    </row>
    <row r="903" spans="1:1" x14ac:dyDescent="0.25">
      <c r="A903" s="2">
        <f t="shared" si="66"/>
        <v>13988187</v>
      </c>
    </row>
    <row r="904" spans="1:1" x14ac:dyDescent="0.25">
      <c r="A904" s="2">
        <f t="shared" si="66"/>
        <v>14003187</v>
      </c>
    </row>
    <row r="905" spans="1:1" x14ac:dyDescent="0.25">
      <c r="A905" s="2">
        <f t="shared" si="66"/>
        <v>14018187</v>
      </c>
    </row>
    <row r="906" spans="1:1" x14ac:dyDescent="0.25">
      <c r="A906" s="2">
        <f t="shared" si="66"/>
        <v>14033187</v>
      </c>
    </row>
    <row r="907" spans="1:1" x14ac:dyDescent="0.25">
      <c r="A907" s="2">
        <f t="shared" si="66"/>
        <v>14048187</v>
      </c>
    </row>
    <row r="908" spans="1:1" x14ac:dyDescent="0.25">
      <c r="A908" s="2">
        <f t="shared" si="66"/>
        <v>14063187</v>
      </c>
    </row>
    <row r="909" spans="1:1" x14ac:dyDescent="0.25">
      <c r="A909" s="2">
        <f t="shared" si="66"/>
        <v>14078187</v>
      </c>
    </row>
    <row r="910" spans="1:1" x14ac:dyDescent="0.25">
      <c r="A910" s="2">
        <f t="shared" ref="A910:A973" si="67">A909+15000</f>
        <v>14093187</v>
      </c>
    </row>
    <row r="911" spans="1:1" x14ac:dyDescent="0.25">
      <c r="A911" s="2">
        <f t="shared" si="67"/>
        <v>14108187</v>
      </c>
    </row>
    <row r="912" spans="1:1" x14ac:dyDescent="0.25">
      <c r="A912" s="2">
        <f t="shared" si="67"/>
        <v>14123187</v>
      </c>
    </row>
    <row r="913" spans="1:1" x14ac:dyDescent="0.25">
      <c r="A913" s="2">
        <f t="shared" si="67"/>
        <v>14138187</v>
      </c>
    </row>
    <row r="914" spans="1:1" x14ac:dyDescent="0.25">
      <c r="A914" s="2">
        <f t="shared" si="67"/>
        <v>14153187</v>
      </c>
    </row>
    <row r="915" spans="1:1" x14ac:dyDescent="0.25">
      <c r="A915" s="2">
        <f t="shared" si="67"/>
        <v>14168187</v>
      </c>
    </row>
    <row r="916" spans="1:1" x14ac:dyDescent="0.25">
      <c r="A916" s="2">
        <f t="shared" si="67"/>
        <v>14183187</v>
      </c>
    </row>
    <row r="917" spans="1:1" x14ac:dyDescent="0.25">
      <c r="A917" s="2">
        <f t="shared" si="67"/>
        <v>14198187</v>
      </c>
    </row>
    <row r="918" spans="1:1" x14ac:dyDescent="0.25">
      <c r="A918" s="2">
        <f t="shared" si="67"/>
        <v>14213187</v>
      </c>
    </row>
    <row r="919" spans="1:1" x14ac:dyDescent="0.25">
      <c r="A919" s="2">
        <f t="shared" si="67"/>
        <v>14228187</v>
      </c>
    </row>
    <row r="920" spans="1:1" x14ac:dyDescent="0.25">
      <c r="A920" s="2">
        <f t="shared" si="67"/>
        <v>14243187</v>
      </c>
    </row>
    <row r="921" spans="1:1" x14ac:dyDescent="0.25">
      <c r="A921" s="2">
        <f t="shared" si="67"/>
        <v>14258187</v>
      </c>
    </row>
    <row r="922" spans="1:1" x14ac:dyDescent="0.25">
      <c r="A922" s="2">
        <f t="shared" si="67"/>
        <v>14273187</v>
      </c>
    </row>
    <row r="923" spans="1:1" x14ac:dyDescent="0.25">
      <c r="A923" s="2">
        <f t="shared" si="67"/>
        <v>14288187</v>
      </c>
    </row>
    <row r="924" spans="1:1" x14ac:dyDescent="0.25">
      <c r="A924" s="2">
        <f t="shared" si="67"/>
        <v>14303187</v>
      </c>
    </row>
    <row r="925" spans="1:1" x14ac:dyDescent="0.25">
      <c r="A925" s="2">
        <f t="shared" si="67"/>
        <v>14318187</v>
      </c>
    </row>
    <row r="926" spans="1:1" x14ac:dyDescent="0.25">
      <c r="A926" s="2">
        <f t="shared" si="67"/>
        <v>14333187</v>
      </c>
    </row>
    <row r="927" spans="1:1" x14ac:dyDescent="0.25">
      <c r="A927" s="2">
        <f t="shared" si="67"/>
        <v>14348187</v>
      </c>
    </row>
    <row r="928" spans="1:1" x14ac:dyDescent="0.25">
      <c r="A928" s="2">
        <f t="shared" si="67"/>
        <v>14363187</v>
      </c>
    </row>
    <row r="929" spans="1:1" x14ac:dyDescent="0.25">
      <c r="A929" s="2">
        <f t="shared" si="67"/>
        <v>14378187</v>
      </c>
    </row>
    <row r="930" spans="1:1" x14ac:dyDescent="0.25">
      <c r="A930" s="2">
        <f t="shared" si="67"/>
        <v>14393187</v>
      </c>
    </row>
    <row r="931" spans="1:1" x14ac:dyDescent="0.25">
      <c r="A931" s="2">
        <f t="shared" si="67"/>
        <v>14408187</v>
      </c>
    </row>
    <row r="932" spans="1:1" x14ac:dyDescent="0.25">
      <c r="A932" s="2">
        <f t="shared" si="67"/>
        <v>14423187</v>
      </c>
    </row>
    <row r="933" spans="1:1" x14ac:dyDescent="0.25">
      <c r="A933" s="2">
        <f t="shared" si="67"/>
        <v>14438187</v>
      </c>
    </row>
    <row r="934" spans="1:1" x14ac:dyDescent="0.25">
      <c r="A934" s="2">
        <f t="shared" si="67"/>
        <v>14453187</v>
      </c>
    </row>
    <row r="935" spans="1:1" x14ac:dyDescent="0.25">
      <c r="A935" s="2">
        <f t="shared" si="67"/>
        <v>14468187</v>
      </c>
    </row>
    <row r="936" spans="1:1" x14ac:dyDescent="0.25">
      <c r="A936" s="2">
        <f t="shared" si="67"/>
        <v>14483187</v>
      </c>
    </row>
    <row r="937" spans="1:1" x14ac:dyDescent="0.25">
      <c r="A937" s="2">
        <f t="shared" si="67"/>
        <v>14498187</v>
      </c>
    </row>
    <row r="938" spans="1:1" x14ac:dyDescent="0.25">
      <c r="A938" s="2">
        <f t="shared" si="67"/>
        <v>14513187</v>
      </c>
    </row>
    <row r="939" spans="1:1" x14ac:dyDescent="0.25">
      <c r="A939" s="2">
        <f t="shared" si="67"/>
        <v>14528187</v>
      </c>
    </row>
    <row r="940" spans="1:1" x14ac:dyDescent="0.25">
      <c r="A940" s="2">
        <f t="shared" si="67"/>
        <v>14543187</v>
      </c>
    </row>
    <row r="941" spans="1:1" x14ac:dyDescent="0.25">
      <c r="A941" s="2">
        <f t="shared" si="67"/>
        <v>14558187</v>
      </c>
    </row>
    <row r="942" spans="1:1" x14ac:dyDescent="0.25">
      <c r="A942" s="2">
        <f t="shared" si="67"/>
        <v>14573187</v>
      </c>
    </row>
    <row r="943" spans="1:1" x14ac:dyDescent="0.25">
      <c r="A943" s="2">
        <f t="shared" si="67"/>
        <v>14588187</v>
      </c>
    </row>
    <row r="944" spans="1:1" x14ac:dyDescent="0.25">
      <c r="A944" s="2">
        <f t="shared" si="67"/>
        <v>14603187</v>
      </c>
    </row>
    <row r="945" spans="1:1" x14ac:dyDescent="0.25">
      <c r="A945" s="2">
        <f t="shared" si="67"/>
        <v>14618187</v>
      </c>
    </row>
    <row r="946" spans="1:1" x14ac:dyDescent="0.25">
      <c r="A946" s="2">
        <f t="shared" si="67"/>
        <v>14633187</v>
      </c>
    </row>
    <row r="947" spans="1:1" x14ac:dyDescent="0.25">
      <c r="A947" s="2">
        <f t="shared" si="67"/>
        <v>14648187</v>
      </c>
    </row>
    <row r="948" spans="1:1" x14ac:dyDescent="0.25">
      <c r="A948" s="2">
        <f t="shared" si="67"/>
        <v>14663187</v>
      </c>
    </row>
    <row r="949" spans="1:1" x14ac:dyDescent="0.25">
      <c r="A949" s="2">
        <f t="shared" si="67"/>
        <v>14678187</v>
      </c>
    </row>
    <row r="950" spans="1:1" x14ac:dyDescent="0.25">
      <c r="A950" s="2">
        <f t="shared" si="67"/>
        <v>14693187</v>
      </c>
    </row>
    <row r="951" spans="1:1" x14ac:dyDescent="0.25">
      <c r="A951" s="2">
        <f t="shared" si="67"/>
        <v>14708187</v>
      </c>
    </row>
    <row r="952" spans="1:1" x14ac:dyDescent="0.25">
      <c r="A952" s="2">
        <f t="shared" si="67"/>
        <v>14723187</v>
      </c>
    </row>
    <row r="953" spans="1:1" x14ac:dyDescent="0.25">
      <c r="A953" s="2">
        <f t="shared" si="67"/>
        <v>14738187</v>
      </c>
    </row>
    <row r="954" spans="1:1" x14ac:dyDescent="0.25">
      <c r="A954" s="2">
        <f t="shared" si="67"/>
        <v>14753187</v>
      </c>
    </row>
    <row r="955" spans="1:1" x14ac:dyDescent="0.25">
      <c r="A955" s="2">
        <f t="shared" si="67"/>
        <v>14768187</v>
      </c>
    </row>
    <row r="956" spans="1:1" x14ac:dyDescent="0.25">
      <c r="A956" s="2">
        <f t="shared" si="67"/>
        <v>14783187</v>
      </c>
    </row>
    <row r="957" spans="1:1" x14ac:dyDescent="0.25">
      <c r="A957" s="2">
        <f t="shared" si="67"/>
        <v>14798187</v>
      </c>
    </row>
    <row r="958" spans="1:1" x14ac:dyDescent="0.25">
      <c r="A958" s="2">
        <f t="shared" si="67"/>
        <v>14813187</v>
      </c>
    </row>
    <row r="959" spans="1:1" x14ac:dyDescent="0.25">
      <c r="A959" s="2">
        <f t="shared" si="67"/>
        <v>14828187</v>
      </c>
    </row>
    <row r="960" spans="1:1" x14ac:dyDescent="0.25">
      <c r="A960" s="2">
        <f t="shared" si="67"/>
        <v>14843187</v>
      </c>
    </row>
    <row r="961" spans="1:1" x14ac:dyDescent="0.25">
      <c r="A961" s="2">
        <f t="shared" si="67"/>
        <v>14858187</v>
      </c>
    </row>
    <row r="962" spans="1:1" x14ac:dyDescent="0.25">
      <c r="A962" s="2">
        <f t="shared" si="67"/>
        <v>14873187</v>
      </c>
    </row>
    <row r="963" spans="1:1" x14ac:dyDescent="0.25">
      <c r="A963" s="2">
        <f t="shared" si="67"/>
        <v>14888187</v>
      </c>
    </row>
    <row r="964" spans="1:1" x14ac:dyDescent="0.25">
      <c r="A964" s="2">
        <f t="shared" si="67"/>
        <v>14903187</v>
      </c>
    </row>
    <row r="965" spans="1:1" x14ac:dyDescent="0.25">
      <c r="A965" s="2">
        <f t="shared" si="67"/>
        <v>14918187</v>
      </c>
    </row>
    <row r="966" spans="1:1" x14ac:dyDescent="0.25">
      <c r="A966" s="2">
        <f t="shared" si="67"/>
        <v>14933187</v>
      </c>
    </row>
    <row r="967" spans="1:1" x14ac:dyDescent="0.25">
      <c r="A967" s="2">
        <f t="shared" si="67"/>
        <v>14948187</v>
      </c>
    </row>
    <row r="968" spans="1:1" x14ac:dyDescent="0.25">
      <c r="A968" s="2">
        <f t="shared" si="67"/>
        <v>14963187</v>
      </c>
    </row>
    <row r="969" spans="1:1" x14ac:dyDescent="0.25">
      <c r="A969" s="2">
        <f t="shared" si="67"/>
        <v>14978187</v>
      </c>
    </row>
    <row r="970" spans="1:1" x14ac:dyDescent="0.25">
      <c r="A970" s="2">
        <f t="shared" si="67"/>
        <v>14993187</v>
      </c>
    </row>
    <row r="971" spans="1:1" x14ac:dyDescent="0.25">
      <c r="A971" s="2">
        <f t="shared" si="67"/>
        <v>15008187</v>
      </c>
    </row>
    <row r="972" spans="1:1" x14ac:dyDescent="0.25">
      <c r="A972" s="2">
        <f t="shared" si="67"/>
        <v>15023187</v>
      </c>
    </row>
    <row r="973" spans="1:1" x14ac:dyDescent="0.25">
      <c r="A973" s="2">
        <f t="shared" si="67"/>
        <v>15038187</v>
      </c>
    </row>
    <row r="974" spans="1:1" x14ac:dyDescent="0.25">
      <c r="A974" s="2">
        <f t="shared" ref="A974:A1037" si="68">A973+15000</f>
        <v>15053187</v>
      </c>
    </row>
    <row r="975" spans="1:1" x14ac:dyDescent="0.25">
      <c r="A975" s="2">
        <f t="shared" si="68"/>
        <v>15068187</v>
      </c>
    </row>
    <row r="976" spans="1:1" x14ac:dyDescent="0.25">
      <c r="A976" s="2">
        <f t="shared" si="68"/>
        <v>15083187</v>
      </c>
    </row>
    <row r="977" spans="1:1" x14ac:dyDescent="0.25">
      <c r="A977" s="2">
        <f t="shared" si="68"/>
        <v>15098187</v>
      </c>
    </row>
    <row r="978" spans="1:1" x14ac:dyDescent="0.25">
      <c r="A978" s="2">
        <f t="shared" si="68"/>
        <v>15113187</v>
      </c>
    </row>
    <row r="979" spans="1:1" x14ac:dyDescent="0.25">
      <c r="A979" s="2">
        <f t="shared" si="68"/>
        <v>15128187</v>
      </c>
    </row>
    <row r="980" spans="1:1" x14ac:dyDescent="0.25">
      <c r="A980" s="2">
        <f t="shared" si="68"/>
        <v>15143187</v>
      </c>
    </row>
    <row r="981" spans="1:1" x14ac:dyDescent="0.25">
      <c r="A981" s="2">
        <f t="shared" si="68"/>
        <v>15158187</v>
      </c>
    </row>
    <row r="982" spans="1:1" x14ac:dyDescent="0.25">
      <c r="A982" s="2">
        <f t="shared" si="68"/>
        <v>15173187</v>
      </c>
    </row>
    <row r="983" spans="1:1" x14ac:dyDescent="0.25">
      <c r="A983" s="2">
        <f t="shared" si="68"/>
        <v>15188187</v>
      </c>
    </row>
    <row r="984" spans="1:1" x14ac:dyDescent="0.25">
      <c r="A984" s="2">
        <f t="shared" si="68"/>
        <v>15203187</v>
      </c>
    </row>
    <row r="985" spans="1:1" x14ac:dyDescent="0.25">
      <c r="A985" s="2">
        <f t="shared" si="68"/>
        <v>15218187</v>
      </c>
    </row>
    <row r="986" spans="1:1" x14ac:dyDescent="0.25">
      <c r="A986" s="2">
        <f t="shared" si="68"/>
        <v>15233187</v>
      </c>
    </row>
    <row r="987" spans="1:1" x14ac:dyDescent="0.25">
      <c r="A987" s="2">
        <f t="shared" si="68"/>
        <v>15248187</v>
      </c>
    </row>
    <row r="988" spans="1:1" x14ac:dyDescent="0.25">
      <c r="A988" s="2">
        <f t="shared" si="68"/>
        <v>15263187</v>
      </c>
    </row>
    <row r="989" spans="1:1" x14ac:dyDescent="0.25">
      <c r="A989" s="2">
        <f t="shared" si="68"/>
        <v>15278187</v>
      </c>
    </row>
    <row r="990" spans="1:1" x14ac:dyDescent="0.25">
      <c r="A990" s="2">
        <f t="shared" si="68"/>
        <v>15293187</v>
      </c>
    </row>
    <row r="991" spans="1:1" x14ac:dyDescent="0.25">
      <c r="A991" s="2">
        <f t="shared" si="68"/>
        <v>15308187</v>
      </c>
    </row>
    <row r="992" spans="1:1" x14ac:dyDescent="0.25">
      <c r="A992" s="2">
        <f t="shared" si="68"/>
        <v>15323187</v>
      </c>
    </row>
    <row r="993" spans="1:1" x14ac:dyDescent="0.25">
      <c r="A993" s="2">
        <f t="shared" si="68"/>
        <v>15338187</v>
      </c>
    </row>
    <row r="994" spans="1:1" x14ac:dyDescent="0.25">
      <c r="A994" s="2">
        <f t="shared" si="68"/>
        <v>15353187</v>
      </c>
    </row>
    <row r="995" spans="1:1" x14ac:dyDescent="0.25">
      <c r="A995" s="2">
        <f t="shared" si="68"/>
        <v>15368187</v>
      </c>
    </row>
    <row r="996" spans="1:1" x14ac:dyDescent="0.25">
      <c r="A996" s="2">
        <f t="shared" si="68"/>
        <v>15383187</v>
      </c>
    </row>
    <row r="997" spans="1:1" x14ac:dyDescent="0.25">
      <c r="A997" s="2">
        <f t="shared" si="68"/>
        <v>15398187</v>
      </c>
    </row>
    <row r="998" spans="1:1" x14ac:dyDescent="0.25">
      <c r="A998" s="2">
        <f t="shared" si="68"/>
        <v>15413187</v>
      </c>
    </row>
    <row r="999" spans="1:1" x14ac:dyDescent="0.25">
      <c r="A999" s="2">
        <f t="shared" si="68"/>
        <v>15428187</v>
      </c>
    </row>
    <row r="1000" spans="1:1" x14ac:dyDescent="0.25">
      <c r="A1000" s="2">
        <f t="shared" si="68"/>
        <v>15443187</v>
      </c>
    </row>
    <row r="1001" spans="1:1" x14ac:dyDescent="0.25">
      <c r="A1001" s="2">
        <f t="shared" si="68"/>
        <v>15458187</v>
      </c>
    </row>
    <row r="1002" spans="1:1" x14ac:dyDescent="0.25">
      <c r="A1002" s="2">
        <f t="shared" si="68"/>
        <v>15473187</v>
      </c>
    </row>
    <row r="1003" spans="1:1" x14ac:dyDescent="0.25">
      <c r="A1003" s="2">
        <f t="shared" si="68"/>
        <v>15488187</v>
      </c>
    </row>
    <row r="1004" spans="1:1" x14ac:dyDescent="0.25">
      <c r="A1004" s="2">
        <f t="shared" si="68"/>
        <v>15503187</v>
      </c>
    </row>
    <row r="1005" spans="1:1" x14ac:dyDescent="0.25">
      <c r="A1005" s="2">
        <f t="shared" si="68"/>
        <v>15518187</v>
      </c>
    </row>
    <row r="1006" spans="1:1" x14ac:dyDescent="0.25">
      <c r="A1006" s="2">
        <f t="shared" si="68"/>
        <v>15533187</v>
      </c>
    </row>
    <row r="1007" spans="1:1" x14ac:dyDescent="0.25">
      <c r="A1007" s="2">
        <f t="shared" si="68"/>
        <v>15548187</v>
      </c>
    </row>
    <row r="1008" spans="1:1" x14ac:dyDescent="0.25">
      <c r="A1008" s="2">
        <f t="shared" si="68"/>
        <v>15563187</v>
      </c>
    </row>
    <row r="1009" spans="1:1" x14ac:dyDescent="0.25">
      <c r="A1009" s="2">
        <f t="shared" si="68"/>
        <v>15578187</v>
      </c>
    </row>
    <row r="1010" spans="1:1" x14ac:dyDescent="0.25">
      <c r="A1010" s="2">
        <f t="shared" si="68"/>
        <v>15593187</v>
      </c>
    </row>
    <row r="1011" spans="1:1" x14ac:dyDescent="0.25">
      <c r="A1011" s="2">
        <f t="shared" si="68"/>
        <v>15608187</v>
      </c>
    </row>
    <row r="1012" spans="1:1" x14ac:dyDescent="0.25">
      <c r="A1012" s="2">
        <f t="shared" si="68"/>
        <v>15623187</v>
      </c>
    </row>
    <row r="1013" spans="1:1" x14ac:dyDescent="0.25">
      <c r="A1013" s="2">
        <f t="shared" si="68"/>
        <v>15638187</v>
      </c>
    </row>
    <row r="1014" spans="1:1" x14ac:dyDescent="0.25">
      <c r="A1014" s="2">
        <f t="shared" si="68"/>
        <v>15653187</v>
      </c>
    </row>
    <row r="1015" spans="1:1" x14ac:dyDescent="0.25">
      <c r="A1015" s="2">
        <f t="shared" si="68"/>
        <v>15668187</v>
      </c>
    </row>
    <row r="1016" spans="1:1" x14ac:dyDescent="0.25">
      <c r="A1016" s="2">
        <f t="shared" si="68"/>
        <v>15683187</v>
      </c>
    </row>
    <row r="1017" spans="1:1" x14ac:dyDescent="0.25">
      <c r="A1017" s="2">
        <f t="shared" si="68"/>
        <v>15698187</v>
      </c>
    </row>
    <row r="1018" spans="1:1" x14ac:dyDescent="0.25">
      <c r="A1018" s="2">
        <f t="shared" si="68"/>
        <v>15713187</v>
      </c>
    </row>
    <row r="1019" spans="1:1" x14ac:dyDescent="0.25">
      <c r="A1019" s="2">
        <f t="shared" si="68"/>
        <v>15728187</v>
      </c>
    </row>
    <row r="1020" spans="1:1" x14ac:dyDescent="0.25">
      <c r="A1020" s="2">
        <f t="shared" si="68"/>
        <v>15743187</v>
      </c>
    </row>
    <row r="1021" spans="1:1" x14ac:dyDescent="0.25">
      <c r="A1021" s="2">
        <f t="shared" si="68"/>
        <v>15758187</v>
      </c>
    </row>
    <row r="1022" spans="1:1" x14ac:dyDescent="0.25">
      <c r="A1022" s="2">
        <f t="shared" si="68"/>
        <v>15773187</v>
      </c>
    </row>
    <row r="1023" spans="1:1" x14ac:dyDescent="0.25">
      <c r="A1023" s="2">
        <f t="shared" si="68"/>
        <v>15788187</v>
      </c>
    </row>
    <row r="1024" spans="1:1" x14ac:dyDescent="0.25">
      <c r="A1024" s="2">
        <f t="shared" si="68"/>
        <v>15803187</v>
      </c>
    </row>
    <row r="1025" spans="1:1" x14ac:dyDescent="0.25">
      <c r="A1025" s="2">
        <f t="shared" si="68"/>
        <v>15818187</v>
      </c>
    </row>
    <row r="1026" spans="1:1" x14ac:dyDescent="0.25">
      <c r="A1026" s="2">
        <f t="shared" si="68"/>
        <v>15833187</v>
      </c>
    </row>
    <row r="1027" spans="1:1" x14ac:dyDescent="0.25">
      <c r="A1027" s="2">
        <f t="shared" si="68"/>
        <v>15848187</v>
      </c>
    </row>
    <row r="1028" spans="1:1" x14ac:dyDescent="0.25">
      <c r="A1028" s="2">
        <f t="shared" si="68"/>
        <v>15863187</v>
      </c>
    </row>
    <row r="1029" spans="1:1" x14ac:dyDescent="0.25">
      <c r="A1029" s="2">
        <f t="shared" si="68"/>
        <v>15878187</v>
      </c>
    </row>
    <row r="1030" spans="1:1" x14ac:dyDescent="0.25">
      <c r="A1030" s="2">
        <f t="shared" si="68"/>
        <v>15893187</v>
      </c>
    </row>
    <row r="1031" spans="1:1" x14ac:dyDescent="0.25">
      <c r="A1031" s="2">
        <f t="shared" si="68"/>
        <v>15908187</v>
      </c>
    </row>
    <row r="1032" spans="1:1" x14ac:dyDescent="0.25">
      <c r="A1032" s="2">
        <f t="shared" si="68"/>
        <v>15923187</v>
      </c>
    </row>
    <row r="1033" spans="1:1" x14ac:dyDescent="0.25">
      <c r="A1033" s="2">
        <f t="shared" si="68"/>
        <v>15938187</v>
      </c>
    </row>
    <row r="1034" spans="1:1" x14ac:dyDescent="0.25">
      <c r="A1034" s="2">
        <f t="shared" si="68"/>
        <v>15953187</v>
      </c>
    </row>
    <row r="1035" spans="1:1" x14ac:dyDescent="0.25">
      <c r="A1035" s="2">
        <f t="shared" si="68"/>
        <v>15968187</v>
      </c>
    </row>
    <row r="1036" spans="1:1" x14ac:dyDescent="0.25">
      <c r="A1036" s="2">
        <f t="shared" si="68"/>
        <v>15983187</v>
      </c>
    </row>
    <row r="1037" spans="1:1" x14ac:dyDescent="0.25">
      <c r="A1037" s="2">
        <f t="shared" si="68"/>
        <v>15998187</v>
      </c>
    </row>
    <row r="1038" spans="1:1" x14ac:dyDescent="0.25">
      <c r="A1038" s="2">
        <f t="shared" ref="A1038:A1101" si="69">A1037+15000</f>
        <v>16013187</v>
      </c>
    </row>
    <row r="1039" spans="1:1" x14ac:dyDescent="0.25">
      <c r="A1039" s="2">
        <f t="shared" si="69"/>
        <v>16028187</v>
      </c>
    </row>
    <row r="1040" spans="1:1" x14ac:dyDescent="0.25">
      <c r="A1040" s="2">
        <f t="shared" si="69"/>
        <v>16043187</v>
      </c>
    </row>
    <row r="1041" spans="1:1" x14ac:dyDescent="0.25">
      <c r="A1041" s="2">
        <f t="shared" si="69"/>
        <v>16058187</v>
      </c>
    </row>
    <row r="1042" spans="1:1" x14ac:dyDescent="0.25">
      <c r="A1042" s="2">
        <f t="shared" si="69"/>
        <v>16073187</v>
      </c>
    </row>
    <row r="1043" spans="1:1" x14ac:dyDescent="0.25">
      <c r="A1043" s="2">
        <f t="shared" si="69"/>
        <v>16088187</v>
      </c>
    </row>
    <row r="1044" spans="1:1" x14ac:dyDescent="0.25">
      <c r="A1044" s="2">
        <f t="shared" si="69"/>
        <v>16103187</v>
      </c>
    </row>
    <row r="1045" spans="1:1" x14ac:dyDescent="0.25">
      <c r="A1045" s="2">
        <f t="shared" si="69"/>
        <v>16118187</v>
      </c>
    </row>
    <row r="1046" spans="1:1" x14ac:dyDescent="0.25">
      <c r="A1046" s="2">
        <f t="shared" si="69"/>
        <v>16133187</v>
      </c>
    </row>
    <row r="1047" spans="1:1" x14ac:dyDescent="0.25">
      <c r="A1047" s="2">
        <f t="shared" si="69"/>
        <v>16148187</v>
      </c>
    </row>
    <row r="1048" spans="1:1" x14ac:dyDescent="0.25">
      <c r="A1048" s="2">
        <f t="shared" si="69"/>
        <v>16163187</v>
      </c>
    </row>
    <row r="1049" spans="1:1" x14ac:dyDescent="0.25">
      <c r="A1049" s="2">
        <f t="shared" si="69"/>
        <v>16178187</v>
      </c>
    </row>
    <row r="1050" spans="1:1" x14ac:dyDescent="0.25">
      <c r="A1050" s="2">
        <f t="shared" si="69"/>
        <v>16193187</v>
      </c>
    </row>
    <row r="1051" spans="1:1" x14ac:dyDescent="0.25">
      <c r="A1051" s="2">
        <f t="shared" si="69"/>
        <v>16208187</v>
      </c>
    </row>
    <row r="1052" spans="1:1" x14ac:dyDescent="0.25">
      <c r="A1052" s="2">
        <f t="shared" si="69"/>
        <v>16223187</v>
      </c>
    </row>
    <row r="1053" spans="1:1" x14ac:dyDescent="0.25">
      <c r="A1053" s="2">
        <f t="shared" si="69"/>
        <v>16238187</v>
      </c>
    </row>
    <row r="1054" spans="1:1" x14ac:dyDescent="0.25">
      <c r="A1054" s="2">
        <f t="shared" si="69"/>
        <v>16253187</v>
      </c>
    </row>
    <row r="1055" spans="1:1" x14ac:dyDescent="0.25">
      <c r="A1055" s="2">
        <f t="shared" si="69"/>
        <v>16268187</v>
      </c>
    </row>
    <row r="1056" spans="1:1" x14ac:dyDescent="0.25">
      <c r="A1056" s="2">
        <f t="shared" si="69"/>
        <v>16283187</v>
      </c>
    </row>
    <row r="1057" spans="1:1" x14ac:dyDescent="0.25">
      <c r="A1057" s="2">
        <f t="shared" si="69"/>
        <v>16298187</v>
      </c>
    </row>
    <row r="1058" spans="1:1" x14ac:dyDescent="0.25">
      <c r="A1058" s="2">
        <f t="shared" si="69"/>
        <v>16313187</v>
      </c>
    </row>
    <row r="1059" spans="1:1" x14ac:dyDescent="0.25">
      <c r="A1059" s="2">
        <f t="shared" si="69"/>
        <v>16328187</v>
      </c>
    </row>
    <row r="1060" spans="1:1" x14ac:dyDescent="0.25">
      <c r="A1060" s="2">
        <f t="shared" si="69"/>
        <v>16343187</v>
      </c>
    </row>
    <row r="1061" spans="1:1" x14ac:dyDescent="0.25">
      <c r="A1061" s="2">
        <f t="shared" si="69"/>
        <v>16358187</v>
      </c>
    </row>
    <row r="1062" spans="1:1" x14ac:dyDescent="0.25">
      <c r="A1062" s="2">
        <f t="shared" si="69"/>
        <v>16373187</v>
      </c>
    </row>
    <row r="1063" spans="1:1" x14ac:dyDescent="0.25">
      <c r="A1063" s="2">
        <f t="shared" si="69"/>
        <v>16388187</v>
      </c>
    </row>
    <row r="1064" spans="1:1" x14ac:dyDescent="0.25">
      <c r="A1064" s="2">
        <f t="shared" si="69"/>
        <v>16403187</v>
      </c>
    </row>
    <row r="1065" spans="1:1" x14ac:dyDescent="0.25">
      <c r="A1065" s="2">
        <f t="shared" si="69"/>
        <v>16418187</v>
      </c>
    </row>
    <row r="1066" spans="1:1" x14ac:dyDescent="0.25">
      <c r="A1066" s="2">
        <f t="shared" si="69"/>
        <v>16433187</v>
      </c>
    </row>
    <row r="1067" spans="1:1" x14ac:dyDescent="0.25">
      <c r="A1067" s="2">
        <f t="shared" si="69"/>
        <v>16448187</v>
      </c>
    </row>
    <row r="1068" spans="1:1" x14ac:dyDescent="0.25">
      <c r="A1068" s="2">
        <f t="shared" si="69"/>
        <v>16463187</v>
      </c>
    </row>
    <row r="1069" spans="1:1" x14ac:dyDescent="0.25">
      <c r="A1069" s="2">
        <f t="shared" si="69"/>
        <v>16478187</v>
      </c>
    </row>
    <row r="1070" spans="1:1" x14ac:dyDescent="0.25">
      <c r="A1070" s="2">
        <f t="shared" si="69"/>
        <v>16493187</v>
      </c>
    </row>
    <row r="1071" spans="1:1" x14ac:dyDescent="0.25">
      <c r="A1071" s="2">
        <f t="shared" si="69"/>
        <v>16508187</v>
      </c>
    </row>
    <row r="1072" spans="1:1" x14ac:dyDescent="0.25">
      <c r="A1072" s="2">
        <f t="shared" si="69"/>
        <v>16523187</v>
      </c>
    </row>
    <row r="1073" spans="1:1" x14ac:dyDescent="0.25">
      <c r="A1073" s="2">
        <f t="shared" si="69"/>
        <v>16538187</v>
      </c>
    </row>
    <row r="1074" spans="1:1" x14ac:dyDescent="0.25">
      <c r="A1074" s="2">
        <f t="shared" si="69"/>
        <v>16553187</v>
      </c>
    </row>
    <row r="1075" spans="1:1" x14ac:dyDescent="0.25">
      <c r="A1075" s="2">
        <f t="shared" si="69"/>
        <v>16568187</v>
      </c>
    </row>
    <row r="1076" spans="1:1" x14ac:dyDescent="0.25">
      <c r="A1076" s="2">
        <f t="shared" si="69"/>
        <v>16583187</v>
      </c>
    </row>
    <row r="1077" spans="1:1" x14ac:dyDescent="0.25">
      <c r="A1077" s="2">
        <f t="shared" si="69"/>
        <v>16598187</v>
      </c>
    </row>
    <row r="1078" spans="1:1" x14ac:dyDescent="0.25">
      <c r="A1078" s="2">
        <f t="shared" si="69"/>
        <v>16613187</v>
      </c>
    </row>
    <row r="1079" spans="1:1" x14ac:dyDescent="0.25">
      <c r="A1079" s="2">
        <f t="shared" si="69"/>
        <v>16628187</v>
      </c>
    </row>
    <row r="1080" spans="1:1" x14ac:dyDescent="0.25">
      <c r="A1080" s="2">
        <f t="shared" si="69"/>
        <v>16643187</v>
      </c>
    </row>
    <row r="1081" spans="1:1" x14ac:dyDescent="0.25">
      <c r="A1081" s="2">
        <f t="shared" si="69"/>
        <v>16658187</v>
      </c>
    </row>
    <row r="1082" spans="1:1" x14ac:dyDescent="0.25">
      <c r="A1082" s="2">
        <f t="shared" si="69"/>
        <v>16673187</v>
      </c>
    </row>
    <row r="1083" spans="1:1" x14ac:dyDescent="0.25">
      <c r="A1083" s="2">
        <f t="shared" si="69"/>
        <v>16688187</v>
      </c>
    </row>
    <row r="1084" spans="1:1" x14ac:dyDescent="0.25">
      <c r="A1084" s="2">
        <f t="shared" si="69"/>
        <v>16703187</v>
      </c>
    </row>
    <row r="1085" spans="1:1" x14ac:dyDescent="0.25">
      <c r="A1085" s="2">
        <f t="shared" si="69"/>
        <v>16718187</v>
      </c>
    </row>
    <row r="1086" spans="1:1" x14ac:dyDescent="0.25">
      <c r="A1086" s="2">
        <f t="shared" si="69"/>
        <v>16733187</v>
      </c>
    </row>
    <row r="1087" spans="1:1" x14ac:dyDescent="0.25">
      <c r="A1087" s="2">
        <f t="shared" si="69"/>
        <v>16748187</v>
      </c>
    </row>
    <row r="1088" spans="1:1" x14ac:dyDescent="0.25">
      <c r="A1088" s="2">
        <f t="shared" si="69"/>
        <v>16763187</v>
      </c>
    </row>
    <row r="1089" spans="1:1" x14ac:dyDescent="0.25">
      <c r="A1089" s="2">
        <f t="shared" si="69"/>
        <v>16778187</v>
      </c>
    </row>
    <row r="1090" spans="1:1" x14ac:dyDescent="0.25">
      <c r="A1090" s="2">
        <f t="shared" si="69"/>
        <v>16793187</v>
      </c>
    </row>
    <row r="1091" spans="1:1" x14ac:dyDescent="0.25">
      <c r="A1091" s="2">
        <f t="shared" si="69"/>
        <v>16808187</v>
      </c>
    </row>
    <row r="1092" spans="1:1" x14ac:dyDescent="0.25">
      <c r="A1092" s="2">
        <f t="shared" si="69"/>
        <v>16823187</v>
      </c>
    </row>
    <row r="1093" spans="1:1" x14ac:dyDescent="0.25">
      <c r="A1093" s="2">
        <f t="shared" si="69"/>
        <v>16838187</v>
      </c>
    </row>
    <row r="1094" spans="1:1" x14ac:dyDescent="0.25">
      <c r="A1094" s="2">
        <f t="shared" si="69"/>
        <v>16853187</v>
      </c>
    </row>
    <row r="1095" spans="1:1" x14ac:dyDescent="0.25">
      <c r="A1095" s="2">
        <f t="shared" si="69"/>
        <v>16868187</v>
      </c>
    </row>
    <row r="1096" spans="1:1" x14ac:dyDescent="0.25">
      <c r="A1096" s="2">
        <f t="shared" si="69"/>
        <v>16883187</v>
      </c>
    </row>
    <row r="1097" spans="1:1" x14ac:dyDescent="0.25">
      <c r="A1097" s="2">
        <f t="shared" si="69"/>
        <v>16898187</v>
      </c>
    </row>
    <row r="1098" spans="1:1" x14ac:dyDescent="0.25">
      <c r="A1098" s="2">
        <f t="shared" si="69"/>
        <v>16913187</v>
      </c>
    </row>
    <row r="1099" spans="1:1" x14ac:dyDescent="0.25">
      <c r="A1099" s="2">
        <f t="shared" si="69"/>
        <v>16928187</v>
      </c>
    </row>
    <row r="1100" spans="1:1" x14ac:dyDescent="0.25">
      <c r="A1100" s="2">
        <f t="shared" si="69"/>
        <v>16943187</v>
      </c>
    </row>
    <row r="1101" spans="1:1" x14ac:dyDescent="0.25">
      <c r="A1101" s="2">
        <f t="shared" si="69"/>
        <v>16958187</v>
      </c>
    </row>
    <row r="1102" spans="1:1" x14ac:dyDescent="0.25">
      <c r="A1102" s="2">
        <f t="shared" ref="A1102:A1165" si="70">A1101+15000</f>
        <v>16973187</v>
      </c>
    </row>
    <row r="1103" spans="1:1" x14ac:dyDescent="0.25">
      <c r="A1103" s="2">
        <f t="shared" si="70"/>
        <v>16988187</v>
      </c>
    </row>
    <row r="1104" spans="1:1" x14ac:dyDescent="0.25">
      <c r="A1104" s="2">
        <f t="shared" si="70"/>
        <v>17003187</v>
      </c>
    </row>
    <row r="1105" spans="1:1" x14ac:dyDescent="0.25">
      <c r="A1105" s="2">
        <f t="shared" si="70"/>
        <v>17018187</v>
      </c>
    </row>
    <row r="1106" spans="1:1" x14ac:dyDescent="0.25">
      <c r="A1106" s="2">
        <f t="shared" si="70"/>
        <v>17033187</v>
      </c>
    </row>
    <row r="1107" spans="1:1" x14ac:dyDescent="0.25">
      <c r="A1107" s="2">
        <f t="shared" si="70"/>
        <v>17048187</v>
      </c>
    </row>
    <row r="1108" spans="1:1" x14ac:dyDescent="0.25">
      <c r="A1108" s="2">
        <f t="shared" si="70"/>
        <v>17063187</v>
      </c>
    </row>
    <row r="1109" spans="1:1" x14ac:dyDescent="0.25">
      <c r="A1109" s="2">
        <f t="shared" si="70"/>
        <v>17078187</v>
      </c>
    </row>
    <row r="1110" spans="1:1" x14ac:dyDescent="0.25">
      <c r="A1110" s="2">
        <f t="shared" si="70"/>
        <v>17093187</v>
      </c>
    </row>
    <row r="1111" spans="1:1" x14ac:dyDescent="0.25">
      <c r="A1111" s="2">
        <f t="shared" si="70"/>
        <v>17108187</v>
      </c>
    </row>
    <row r="1112" spans="1:1" x14ac:dyDescent="0.25">
      <c r="A1112" s="2">
        <f t="shared" si="70"/>
        <v>17123187</v>
      </c>
    </row>
    <row r="1113" spans="1:1" x14ac:dyDescent="0.25">
      <c r="A1113" s="2">
        <f t="shared" si="70"/>
        <v>17138187</v>
      </c>
    </row>
    <row r="1114" spans="1:1" x14ac:dyDescent="0.25">
      <c r="A1114" s="2">
        <f t="shared" si="70"/>
        <v>17153187</v>
      </c>
    </row>
    <row r="1115" spans="1:1" x14ac:dyDescent="0.25">
      <c r="A1115" s="2">
        <f t="shared" si="70"/>
        <v>17168187</v>
      </c>
    </row>
    <row r="1116" spans="1:1" x14ac:dyDescent="0.25">
      <c r="A1116" s="2">
        <f t="shared" si="70"/>
        <v>17183187</v>
      </c>
    </row>
    <row r="1117" spans="1:1" x14ac:dyDescent="0.25">
      <c r="A1117" s="2">
        <f t="shared" si="70"/>
        <v>17198187</v>
      </c>
    </row>
    <row r="1118" spans="1:1" x14ac:dyDescent="0.25">
      <c r="A1118" s="2">
        <f t="shared" si="70"/>
        <v>17213187</v>
      </c>
    </row>
    <row r="1119" spans="1:1" x14ac:dyDescent="0.25">
      <c r="A1119" s="2">
        <f t="shared" si="70"/>
        <v>17228187</v>
      </c>
    </row>
    <row r="1120" spans="1:1" x14ac:dyDescent="0.25">
      <c r="A1120" s="2">
        <f t="shared" si="70"/>
        <v>17243187</v>
      </c>
    </row>
    <row r="1121" spans="1:1" x14ac:dyDescent="0.25">
      <c r="A1121" s="2">
        <f t="shared" si="70"/>
        <v>17258187</v>
      </c>
    </row>
    <row r="1122" spans="1:1" x14ac:dyDescent="0.25">
      <c r="A1122" s="2">
        <f t="shared" si="70"/>
        <v>17273187</v>
      </c>
    </row>
    <row r="1123" spans="1:1" x14ac:dyDescent="0.25">
      <c r="A1123" s="2">
        <f t="shared" si="70"/>
        <v>17288187</v>
      </c>
    </row>
    <row r="1124" spans="1:1" x14ac:dyDescent="0.25">
      <c r="A1124" s="2">
        <f t="shared" si="70"/>
        <v>17303187</v>
      </c>
    </row>
    <row r="1125" spans="1:1" x14ac:dyDescent="0.25">
      <c r="A1125" s="2">
        <f t="shared" si="70"/>
        <v>17318187</v>
      </c>
    </row>
    <row r="1126" spans="1:1" x14ac:dyDescent="0.25">
      <c r="A1126" s="2">
        <f t="shared" si="70"/>
        <v>17333187</v>
      </c>
    </row>
    <row r="1127" spans="1:1" x14ac:dyDescent="0.25">
      <c r="A1127" s="2">
        <f t="shared" si="70"/>
        <v>17348187</v>
      </c>
    </row>
    <row r="1128" spans="1:1" x14ac:dyDescent="0.25">
      <c r="A1128" s="2">
        <f t="shared" si="70"/>
        <v>17363187</v>
      </c>
    </row>
    <row r="1129" spans="1:1" x14ac:dyDescent="0.25">
      <c r="A1129" s="2">
        <f t="shared" si="70"/>
        <v>17378187</v>
      </c>
    </row>
    <row r="1130" spans="1:1" x14ac:dyDescent="0.25">
      <c r="A1130" s="2">
        <f t="shared" si="70"/>
        <v>17393187</v>
      </c>
    </row>
    <row r="1131" spans="1:1" x14ac:dyDescent="0.25">
      <c r="A1131" s="2">
        <f t="shared" si="70"/>
        <v>17408187</v>
      </c>
    </row>
    <row r="1132" spans="1:1" x14ac:dyDescent="0.25">
      <c r="A1132" s="2">
        <f t="shared" si="70"/>
        <v>17423187</v>
      </c>
    </row>
    <row r="1133" spans="1:1" x14ac:dyDescent="0.25">
      <c r="A1133" s="2">
        <f t="shared" si="70"/>
        <v>17438187</v>
      </c>
    </row>
    <row r="1134" spans="1:1" x14ac:dyDescent="0.25">
      <c r="A1134" s="2">
        <f t="shared" si="70"/>
        <v>17453187</v>
      </c>
    </row>
    <row r="1135" spans="1:1" x14ac:dyDescent="0.25">
      <c r="A1135" s="2">
        <f t="shared" si="70"/>
        <v>17468187</v>
      </c>
    </row>
    <row r="1136" spans="1:1" x14ac:dyDescent="0.25">
      <c r="A1136" s="2">
        <f t="shared" si="70"/>
        <v>17483187</v>
      </c>
    </row>
    <row r="1137" spans="1:1" x14ac:dyDescent="0.25">
      <c r="A1137" s="2">
        <f t="shared" si="70"/>
        <v>17498187</v>
      </c>
    </row>
    <row r="1138" spans="1:1" x14ac:dyDescent="0.25">
      <c r="A1138" s="2">
        <f t="shared" si="70"/>
        <v>17513187</v>
      </c>
    </row>
    <row r="1139" spans="1:1" x14ac:dyDescent="0.25">
      <c r="A1139" s="2">
        <f t="shared" si="70"/>
        <v>17528187</v>
      </c>
    </row>
    <row r="1140" spans="1:1" x14ac:dyDescent="0.25">
      <c r="A1140" s="2">
        <f t="shared" si="70"/>
        <v>17543187</v>
      </c>
    </row>
    <row r="1141" spans="1:1" x14ac:dyDescent="0.25">
      <c r="A1141" s="2">
        <f t="shared" si="70"/>
        <v>17558187</v>
      </c>
    </row>
    <row r="1142" spans="1:1" x14ac:dyDescent="0.25">
      <c r="A1142" s="2">
        <f t="shared" si="70"/>
        <v>17573187</v>
      </c>
    </row>
    <row r="1143" spans="1:1" x14ac:dyDescent="0.25">
      <c r="A1143" s="2">
        <f t="shared" si="70"/>
        <v>17588187</v>
      </c>
    </row>
    <row r="1144" spans="1:1" x14ac:dyDescent="0.25">
      <c r="A1144" s="2">
        <f t="shared" si="70"/>
        <v>17603187</v>
      </c>
    </row>
    <row r="1145" spans="1:1" x14ac:dyDescent="0.25">
      <c r="A1145" s="2">
        <f t="shared" si="70"/>
        <v>17618187</v>
      </c>
    </row>
    <row r="1146" spans="1:1" x14ac:dyDescent="0.25">
      <c r="A1146" s="2">
        <f t="shared" si="70"/>
        <v>17633187</v>
      </c>
    </row>
    <row r="1147" spans="1:1" x14ac:dyDescent="0.25">
      <c r="A1147" s="2">
        <f t="shared" si="70"/>
        <v>17648187</v>
      </c>
    </row>
    <row r="1148" spans="1:1" x14ac:dyDescent="0.25">
      <c r="A1148" s="2">
        <f t="shared" si="70"/>
        <v>17663187</v>
      </c>
    </row>
    <row r="1149" spans="1:1" x14ac:dyDescent="0.25">
      <c r="A1149" s="2">
        <f t="shared" si="70"/>
        <v>17678187</v>
      </c>
    </row>
    <row r="1150" spans="1:1" x14ac:dyDescent="0.25">
      <c r="A1150" s="2">
        <f t="shared" si="70"/>
        <v>17693187</v>
      </c>
    </row>
    <row r="1151" spans="1:1" x14ac:dyDescent="0.25">
      <c r="A1151" s="2">
        <f t="shared" si="70"/>
        <v>17708187</v>
      </c>
    </row>
    <row r="1152" spans="1:1" x14ac:dyDescent="0.25">
      <c r="A1152" s="2">
        <f t="shared" si="70"/>
        <v>17723187</v>
      </c>
    </row>
    <row r="1153" spans="1:1" x14ac:dyDescent="0.25">
      <c r="A1153" s="2">
        <f t="shared" si="70"/>
        <v>17738187</v>
      </c>
    </row>
    <row r="1154" spans="1:1" x14ac:dyDescent="0.25">
      <c r="A1154" s="2">
        <f t="shared" si="70"/>
        <v>17753187</v>
      </c>
    </row>
    <row r="1155" spans="1:1" x14ac:dyDescent="0.25">
      <c r="A1155" s="2">
        <f t="shared" si="70"/>
        <v>17768187</v>
      </c>
    </row>
    <row r="1156" spans="1:1" x14ac:dyDescent="0.25">
      <c r="A1156" s="2">
        <f t="shared" si="70"/>
        <v>17783187</v>
      </c>
    </row>
    <row r="1157" spans="1:1" x14ac:dyDescent="0.25">
      <c r="A1157" s="2">
        <f t="shared" si="70"/>
        <v>17798187</v>
      </c>
    </row>
    <row r="1158" spans="1:1" x14ac:dyDescent="0.25">
      <c r="A1158" s="2">
        <f t="shared" si="70"/>
        <v>17813187</v>
      </c>
    </row>
    <row r="1159" spans="1:1" x14ac:dyDescent="0.25">
      <c r="A1159" s="2">
        <f t="shared" si="70"/>
        <v>17828187</v>
      </c>
    </row>
    <row r="1160" spans="1:1" x14ac:dyDescent="0.25">
      <c r="A1160" s="2">
        <f t="shared" si="70"/>
        <v>17843187</v>
      </c>
    </row>
    <row r="1161" spans="1:1" x14ac:dyDescent="0.25">
      <c r="A1161" s="2">
        <f t="shared" si="70"/>
        <v>17858187</v>
      </c>
    </row>
    <row r="1162" spans="1:1" x14ac:dyDescent="0.25">
      <c r="A1162" s="2">
        <f t="shared" si="70"/>
        <v>17873187</v>
      </c>
    </row>
    <row r="1163" spans="1:1" x14ac:dyDescent="0.25">
      <c r="A1163" s="2">
        <f t="shared" si="70"/>
        <v>17888187</v>
      </c>
    </row>
    <row r="1164" spans="1:1" x14ac:dyDescent="0.25">
      <c r="A1164" s="2">
        <f t="shared" si="70"/>
        <v>17903187</v>
      </c>
    </row>
    <row r="1165" spans="1:1" x14ac:dyDescent="0.25">
      <c r="A1165" s="2">
        <f t="shared" si="70"/>
        <v>17918187</v>
      </c>
    </row>
    <row r="1166" spans="1:1" x14ac:dyDescent="0.25">
      <c r="A1166" s="2">
        <f t="shared" ref="A1166:A1229" si="71">A1165+15000</f>
        <v>17933187</v>
      </c>
    </row>
    <row r="1167" spans="1:1" x14ac:dyDescent="0.25">
      <c r="A1167" s="2">
        <f t="shared" si="71"/>
        <v>17948187</v>
      </c>
    </row>
    <row r="1168" spans="1:1" x14ac:dyDescent="0.25">
      <c r="A1168" s="2">
        <f t="shared" si="71"/>
        <v>17963187</v>
      </c>
    </row>
    <row r="1169" spans="1:1" x14ac:dyDescent="0.25">
      <c r="A1169" s="2">
        <f t="shared" si="71"/>
        <v>17978187</v>
      </c>
    </row>
    <row r="1170" spans="1:1" x14ac:dyDescent="0.25">
      <c r="A1170" s="2">
        <f t="shared" si="71"/>
        <v>17993187</v>
      </c>
    </row>
    <row r="1171" spans="1:1" x14ac:dyDescent="0.25">
      <c r="A1171" s="2">
        <f t="shared" si="71"/>
        <v>18008187</v>
      </c>
    </row>
    <row r="1172" spans="1:1" x14ac:dyDescent="0.25">
      <c r="A1172" s="2">
        <f t="shared" si="71"/>
        <v>18023187</v>
      </c>
    </row>
    <row r="1173" spans="1:1" x14ac:dyDescent="0.25">
      <c r="A1173" s="2">
        <f t="shared" si="71"/>
        <v>18038187</v>
      </c>
    </row>
    <row r="1174" spans="1:1" x14ac:dyDescent="0.25">
      <c r="A1174" s="2">
        <f t="shared" si="71"/>
        <v>18053187</v>
      </c>
    </row>
    <row r="1175" spans="1:1" x14ac:dyDescent="0.25">
      <c r="A1175" s="2">
        <f t="shared" si="71"/>
        <v>18068187</v>
      </c>
    </row>
    <row r="1176" spans="1:1" x14ac:dyDescent="0.25">
      <c r="A1176" s="2">
        <f t="shared" si="71"/>
        <v>18083187</v>
      </c>
    </row>
    <row r="1177" spans="1:1" x14ac:dyDescent="0.25">
      <c r="A1177" s="2">
        <f t="shared" si="71"/>
        <v>18098187</v>
      </c>
    </row>
    <row r="1178" spans="1:1" x14ac:dyDescent="0.25">
      <c r="A1178" s="2">
        <f t="shared" si="71"/>
        <v>18113187</v>
      </c>
    </row>
    <row r="1179" spans="1:1" x14ac:dyDescent="0.25">
      <c r="A1179" s="2">
        <f t="shared" si="71"/>
        <v>18128187</v>
      </c>
    </row>
    <row r="1180" spans="1:1" x14ac:dyDescent="0.25">
      <c r="A1180" s="2">
        <f t="shared" si="71"/>
        <v>18143187</v>
      </c>
    </row>
    <row r="1181" spans="1:1" x14ac:dyDescent="0.25">
      <c r="A1181" s="2">
        <f t="shared" si="71"/>
        <v>18158187</v>
      </c>
    </row>
    <row r="1182" spans="1:1" x14ac:dyDescent="0.25">
      <c r="A1182" s="2">
        <f t="shared" si="71"/>
        <v>18173187</v>
      </c>
    </row>
    <row r="1183" spans="1:1" x14ac:dyDescent="0.25">
      <c r="A1183" s="2">
        <f t="shared" si="71"/>
        <v>18188187</v>
      </c>
    </row>
    <row r="1184" spans="1:1" x14ac:dyDescent="0.25">
      <c r="A1184" s="2">
        <f t="shared" si="71"/>
        <v>18203187</v>
      </c>
    </row>
    <row r="1185" spans="1:1" x14ac:dyDescent="0.25">
      <c r="A1185" s="2">
        <f t="shared" si="71"/>
        <v>18218187</v>
      </c>
    </row>
    <row r="1186" spans="1:1" x14ac:dyDescent="0.25">
      <c r="A1186" s="2">
        <f t="shared" si="71"/>
        <v>18233187</v>
      </c>
    </row>
    <row r="1187" spans="1:1" x14ac:dyDescent="0.25">
      <c r="A1187" s="2">
        <f t="shared" si="71"/>
        <v>18248187</v>
      </c>
    </row>
    <row r="1188" spans="1:1" x14ac:dyDescent="0.25">
      <c r="A1188" s="2">
        <f t="shared" si="71"/>
        <v>18263187</v>
      </c>
    </row>
    <row r="1189" spans="1:1" x14ac:dyDescent="0.25">
      <c r="A1189" s="2">
        <f t="shared" si="71"/>
        <v>18278187</v>
      </c>
    </row>
    <row r="1190" spans="1:1" x14ac:dyDescent="0.25">
      <c r="A1190" s="2">
        <f t="shared" si="71"/>
        <v>18293187</v>
      </c>
    </row>
    <row r="1191" spans="1:1" x14ac:dyDescent="0.25">
      <c r="A1191" s="2">
        <f t="shared" si="71"/>
        <v>18308187</v>
      </c>
    </row>
    <row r="1192" spans="1:1" x14ac:dyDescent="0.25">
      <c r="A1192" s="2">
        <f t="shared" si="71"/>
        <v>18323187</v>
      </c>
    </row>
    <row r="1193" spans="1:1" x14ac:dyDescent="0.25">
      <c r="A1193" s="2">
        <f t="shared" si="71"/>
        <v>18338187</v>
      </c>
    </row>
    <row r="1194" spans="1:1" x14ac:dyDescent="0.25">
      <c r="A1194" s="2">
        <f t="shared" si="71"/>
        <v>18353187</v>
      </c>
    </row>
    <row r="1195" spans="1:1" x14ac:dyDescent="0.25">
      <c r="A1195" s="2">
        <f t="shared" si="71"/>
        <v>18368187</v>
      </c>
    </row>
    <row r="1196" spans="1:1" x14ac:dyDescent="0.25">
      <c r="A1196" s="2">
        <f t="shared" si="71"/>
        <v>18383187</v>
      </c>
    </row>
    <row r="1197" spans="1:1" x14ac:dyDescent="0.25">
      <c r="A1197" s="2">
        <f t="shared" si="71"/>
        <v>18398187</v>
      </c>
    </row>
    <row r="1198" spans="1:1" x14ac:dyDescent="0.25">
      <c r="A1198" s="2">
        <f t="shared" si="71"/>
        <v>18413187</v>
      </c>
    </row>
    <row r="1199" spans="1:1" x14ac:dyDescent="0.25">
      <c r="A1199" s="2">
        <f t="shared" si="71"/>
        <v>18428187</v>
      </c>
    </row>
    <row r="1200" spans="1:1" x14ac:dyDescent="0.25">
      <c r="A1200" s="2">
        <f t="shared" si="71"/>
        <v>18443187</v>
      </c>
    </row>
    <row r="1201" spans="1:1" x14ac:dyDescent="0.25">
      <c r="A1201" s="2">
        <f t="shared" si="71"/>
        <v>18458187</v>
      </c>
    </row>
    <row r="1202" spans="1:1" x14ac:dyDescent="0.25">
      <c r="A1202" s="2">
        <f t="shared" si="71"/>
        <v>18473187</v>
      </c>
    </row>
    <row r="1203" spans="1:1" x14ac:dyDescent="0.25">
      <c r="A1203" s="2">
        <f t="shared" si="71"/>
        <v>18488187</v>
      </c>
    </row>
    <row r="1204" spans="1:1" x14ac:dyDescent="0.25">
      <c r="A1204" s="2">
        <f t="shared" si="71"/>
        <v>18503187</v>
      </c>
    </row>
    <row r="1205" spans="1:1" x14ac:dyDescent="0.25">
      <c r="A1205" s="2">
        <f t="shared" si="71"/>
        <v>18518187</v>
      </c>
    </row>
    <row r="1206" spans="1:1" x14ac:dyDescent="0.25">
      <c r="A1206" s="2">
        <f t="shared" si="71"/>
        <v>18533187</v>
      </c>
    </row>
    <row r="1207" spans="1:1" x14ac:dyDescent="0.25">
      <c r="A1207" s="2">
        <f t="shared" si="71"/>
        <v>18548187</v>
      </c>
    </row>
    <row r="1208" spans="1:1" x14ac:dyDescent="0.25">
      <c r="A1208" s="2">
        <f t="shared" si="71"/>
        <v>18563187</v>
      </c>
    </row>
    <row r="1209" spans="1:1" x14ac:dyDescent="0.25">
      <c r="A1209" s="2">
        <f t="shared" si="71"/>
        <v>18578187</v>
      </c>
    </row>
    <row r="1210" spans="1:1" x14ac:dyDescent="0.25">
      <c r="A1210" s="2">
        <f t="shared" si="71"/>
        <v>18593187</v>
      </c>
    </row>
    <row r="1211" spans="1:1" x14ac:dyDescent="0.25">
      <c r="A1211" s="2">
        <f t="shared" si="71"/>
        <v>18608187</v>
      </c>
    </row>
    <row r="1212" spans="1:1" x14ac:dyDescent="0.25">
      <c r="A1212" s="2">
        <f t="shared" si="71"/>
        <v>18623187</v>
      </c>
    </row>
    <row r="1213" spans="1:1" x14ac:dyDescent="0.25">
      <c r="A1213" s="2">
        <f t="shared" si="71"/>
        <v>18638187</v>
      </c>
    </row>
    <row r="1214" spans="1:1" x14ac:dyDescent="0.25">
      <c r="A1214" s="2">
        <f t="shared" si="71"/>
        <v>18653187</v>
      </c>
    </row>
    <row r="1215" spans="1:1" x14ac:dyDescent="0.25">
      <c r="A1215" s="2">
        <f t="shared" si="71"/>
        <v>18668187</v>
      </c>
    </row>
    <row r="1216" spans="1:1" x14ac:dyDescent="0.25">
      <c r="A1216" s="2">
        <f t="shared" si="71"/>
        <v>18683187</v>
      </c>
    </row>
    <row r="1217" spans="1:1" x14ac:dyDescent="0.25">
      <c r="A1217" s="2">
        <f t="shared" si="71"/>
        <v>18698187</v>
      </c>
    </row>
    <row r="1218" spans="1:1" x14ac:dyDescent="0.25">
      <c r="A1218" s="2">
        <f t="shared" si="71"/>
        <v>18713187</v>
      </c>
    </row>
    <row r="1219" spans="1:1" x14ac:dyDescent="0.25">
      <c r="A1219" s="2">
        <f t="shared" si="71"/>
        <v>18728187</v>
      </c>
    </row>
    <row r="1220" spans="1:1" x14ac:dyDescent="0.25">
      <c r="A1220" s="2">
        <f t="shared" si="71"/>
        <v>18743187</v>
      </c>
    </row>
    <row r="1221" spans="1:1" x14ac:dyDescent="0.25">
      <c r="A1221" s="2">
        <f t="shared" si="71"/>
        <v>18758187</v>
      </c>
    </row>
    <row r="1222" spans="1:1" x14ac:dyDescent="0.25">
      <c r="A1222" s="2">
        <f t="shared" si="71"/>
        <v>18773187</v>
      </c>
    </row>
    <row r="1223" spans="1:1" x14ac:dyDescent="0.25">
      <c r="A1223" s="2">
        <f t="shared" si="71"/>
        <v>18788187</v>
      </c>
    </row>
    <row r="1224" spans="1:1" x14ac:dyDescent="0.25">
      <c r="A1224" s="2">
        <f t="shared" si="71"/>
        <v>18803187</v>
      </c>
    </row>
    <row r="1225" spans="1:1" x14ac:dyDescent="0.25">
      <c r="A1225" s="2">
        <f t="shared" si="71"/>
        <v>18818187</v>
      </c>
    </row>
    <row r="1226" spans="1:1" x14ac:dyDescent="0.25">
      <c r="A1226" s="2">
        <f t="shared" si="71"/>
        <v>18833187</v>
      </c>
    </row>
    <row r="1227" spans="1:1" x14ac:dyDescent="0.25">
      <c r="A1227" s="2">
        <f t="shared" si="71"/>
        <v>18848187</v>
      </c>
    </row>
    <row r="1228" spans="1:1" x14ac:dyDescent="0.25">
      <c r="A1228" s="2">
        <f t="shared" si="71"/>
        <v>18863187</v>
      </c>
    </row>
    <row r="1229" spans="1:1" x14ac:dyDescent="0.25">
      <c r="A1229" s="2">
        <f t="shared" si="71"/>
        <v>18878187</v>
      </c>
    </row>
    <row r="1230" spans="1:1" x14ac:dyDescent="0.25">
      <c r="A1230" s="2">
        <f t="shared" ref="A1230:A1293" si="72">A1229+15000</f>
        <v>18893187</v>
      </c>
    </row>
    <row r="1231" spans="1:1" x14ac:dyDescent="0.25">
      <c r="A1231" s="2">
        <f t="shared" si="72"/>
        <v>18908187</v>
      </c>
    </row>
    <row r="1232" spans="1:1" x14ac:dyDescent="0.25">
      <c r="A1232" s="2">
        <f t="shared" si="72"/>
        <v>18923187</v>
      </c>
    </row>
    <row r="1233" spans="1:1" x14ac:dyDescent="0.25">
      <c r="A1233" s="2">
        <f t="shared" si="72"/>
        <v>18938187</v>
      </c>
    </row>
    <row r="1234" spans="1:1" x14ac:dyDescent="0.25">
      <c r="A1234" s="2">
        <f t="shared" si="72"/>
        <v>18953187</v>
      </c>
    </row>
    <row r="1235" spans="1:1" x14ac:dyDescent="0.25">
      <c r="A1235" s="2">
        <f t="shared" si="72"/>
        <v>18968187</v>
      </c>
    </row>
    <row r="1236" spans="1:1" x14ac:dyDescent="0.25">
      <c r="A1236" s="2">
        <f t="shared" si="72"/>
        <v>18983187</v>
      </c>
    </row>
    <row r="1237" spans="1:1" x14ac:dyDescent="0.25">
      <c r="A1237" s="2">
        <f t="shared" si="72"/>
        <v>18998187</v>
      </c>
    </row>
    <row r="1238" spans="1:1" x14ac:dyDescent="0.25">
      <c r="A1238" s="2">
        <f t="shared" si="72"/>
        <v>19013187</v>
      </c>
    </row>
    <row r="1239" spans="1:1" x14ac:dyDescent="0.25">
      <c r="A1239" s="2">
        <f t="shared" si="72"/>
        <v>19028187</v>
      </c>
    </row>
    <row r="1240" spans="1:1" x14ac:dyDescent="0.25">
      <c r="A1240" s="2">
        <f t="shared" si="72"/>
        <v>19043187</v>
      </c>
    </row>
    <row r="1241" spans="1:1" x14ac:dyDescent="0.25">
      <c r="A1241" s="2">
        <f t="shared" si="72"/>
        <v>19058187</v>
      </c>
    </row>
    <row r="1242" spans="1:1" x14ac:dyDescent="0.25">
      <c r="A1242" s="2">
        <f t="shared" si="72"/>
        <v>19073187</v>
      </c>
    </row>
    <row r="1243" spans="1:1" x14ac:dyDescent="0.25">
      <c r="A1243" s="2">
        <f t="shared" si="72"/>
        <v>19088187</v>
      </c>
    </row>
    <row r="1244" spans="1:1" x14ac:dyDescent="0.25">
      <c r="A1244" s="2">
        <f t="shared" si="72"/>
        <v>19103187</v>
      </c>
    </row>
    <row r="1245" spans="1:1" x14ac:dyDescent="0.25">
      <c r="A1245" s="2">
        <f t="shared" si="72"/>
        <v>19118187</v>
      </c>
    </row>
    <row r="1246" spans="1:1" x14ac:dyDescent="0.25">
      <c r="A1246" s="2">
        <f t="shared" si="72"/>
        <v>19133187</v>
      </c>
    </row>
    <row r="1247" spans="1:1" x14ac:dyDescent="0.25">
      <c r="A1247" s="2">
        <f t="shared" si="72"/>
        <v>19148187</v>
      </c>
    </row>
    <row r="1248" spans="1:1" x14ac:dyDescent="0.25">
      <c r="A1248" s="2">
        <f t="shared" si="72"/>
        <v>19163187</v>
      </c>
    </row>
    <row r="1249" spans="1:1" x14ac:dyDescent="0.25">
      <c r="A1249" s="2">
        <f t="shared" si="72"/>
        <v>19178187</v>
      </c>
    </row>
    <row r="1250" spans="1:1" x14ac:dyDescent="0.25">
      <c r="A1250" s="2">
        <f t="shared" si="72"/>
        <v>19193187</v>
      </c>
    </row>
    <row r="1251" spans="1:1" x14ac:dyDescent="0.25">
      <c r="A1251" s="2">
        <f t="shared" si="72"/>
        <v>19208187</v>
      </c>
    </row>
    <row r="1252" spans="1:1" x14ac:dyDescent="0.25">
      <c r="A1252" s="2">
        <f t="shared" si="72"/>
        <v>19223187</v>
      </c>
    </row>
    <row r="1253" spans="1:1" x14ac:dyDescent="0.25">
      <c r="A1253" s="2">
        <f t="shared" si="72"/>
        <v>19238187</v>
      </c>
    </row>
    <row r="1254" spans="1:1" x14ac:dyDescent="0.25">
      <c r="A1254" s="2">
        <f t="shared" si="72"/>
        <v>19253187</v>
      </c>
    </row>
    <row r="1255" spans="1:1" x14ac:dyDescent="0.25">
      <c r="A1255" s="2">
        <f t="shared" si="72"/>
        <v>19268187</v>
      </c>
    </row>
    <row r="1256" spans="1:1" x14ac:dyDescent="0.25">
      <c r="A1256" s="2">
        <f t="shared" si="72"/>
        <v>19283187</v>
      </c>
    </row>
    <row r="1257" spans="1:1" x14ac:dyDescent="0.25">
      <c r="A1257" s="2">
        <f t="shared" si="72"/>
        <v>19298187</v>
      </c>
    </row>
    <row r="1258" spans="1:1" x14ac:dyDescent="0.25">
      <c r="A1258" s="2">
        <f t="shared" si="72"/>
        <v>19313187</v>
      </c>
    </row>
    <row r="1259" spans="1:1" x14ac:dyDescent="0.25">
      <c r="A1259" s="2">
        <f t="shared" si="72"/>
        <v>19328187</v>
      </c>
    </row>
    <row r="1260" spans="1:1" x14ac:dyDescent="0.25">
      <c r="A1260" s="2">
        <f t="shared" si="72"/>
        <v>19343187</v>
      </c>
    </row>
    <row r="1261" spans="1:1" x14ac:dyDescent="0.25">
      <c r="A1261" s="2">
        <f t="shared" si="72"/>
        <v>19358187</v>
      </c>
    </row>
    <row r="1262" spans="1:1" x14ac:dyDescent="0.25">
      <c r="A1262" s="2">
        <f t="shared" si="72"/>
        <v>19373187</v>
      </c>
    </row>
    <row r="1263" spans="1:1" x14ac:dyDescent="0.25">
      <c r="A1263" s="2">
        <f t="shared" si="72"/>
        <v>19388187</v>
      </c>
    </row>
    <row r="1264" spans="1:1" x14ac:dyDescent="0.25">
      <c r="A1264" s="2">
        <f t="shared" si="72"/>
        <v>19403187</v>
      </c>
    </row>
    <row r="1265" spans="1:1" x14ac:dyDescent="0.25">
      <c r="A1265" s="2">
        <f t="shared" si="72"/>
        <v>19418187</v>
      </c>
    </row>
    <row r="1266" spans="1:1" x14ac:dyDescent="0.25">
      <c r="A1266" s="2">
        <f t="shared" si="72"/>
        <v>19433187</v>
      </c>
    </row>
    <row r="1267" spans="1:1" x14ac:dyDescent="0.25">
      <c r="A1267" s="2">
        <f t="shared" si="72"/>
        <v>19448187</v>
      </c>
    </row>
    <row r="1268" spans="1:1" x14ac:dyDescent="0.25">
      <c r="A1268" s="2">
        <f t="shared" si="72"/>
        <v>19463187</v>
      </c>
    </row>
    <row r="1269" spans="1:1" x14ac:dyDescent="0.25">
      <c r="A1269" s="2">
        <f t="shared" si="72"/>
        <v>19478187</v>
      </c>
    </row>
    <row r="1270" spans="1:1" x14ac:dyDescent="0.25">
      <c r="A1270" s="2">
        <f t="shared" si="72"/>
        <v>19493187</v>
      </c>
    </row>
    <row r="1271" spans="1:1" x14ac:dyDescent="0.25">
      <c r="A1271" s="2">
        <f t="shared" si="72"/>
        <v>19508187</v>
      </c>
    </row>
    <row r="1272" spans="1:1" x14ac:dyDescent="0.25">
      <c r="A1272" s="2">
        <f t="shared" si="72"/>
        <v>19523187</v>
      </c>
    </row>
    <row r="1273" spans="1:1" x14ac:dyDescent="0.25">
      <c r="A1273" s="2">
        <f t="shared" si="72"/>
        <v>19538187</v>
      </c>
    </row>
    <row r="1274" spans="1:1" x14ac:dyDescent="0.25">
      <c r="A1274" s="2">
        <f t="shared" si="72"/>
        <v>19553187</v>
      </c>
    </row>
    <row r="1275" spans="1:1" x14ac:dyDescent="0.25">
      <c r="A1275" s="2">
        <f t="shared" si="72"/>
        <v>19568187</v>
      </c>
    </row>
    <row r="1276" spans="1:1" x14ac:dyDescent="0.25">
      <c r="A1276" s="2">
        <f t="shared" si="72"/>
        <v>19583187</v>
      </c>
    </row>
    <row r="1277" spans="1:1" x14ac:dyDescent="0.25">
      <c r="A1277" s="2">
        <f t="shared" si="72"/>
        <v>19598187</v>
      </c>
    </row>
    <row r="1278" spans="1:1" x14ac:dyDescent="0.25">
      <c r="A1278" s="2">
        <f t="shared" si="72"/>
        <v>19613187</v>
      </c>
    </row>
    <row r="1279" spans="1:1" x14ac:dyDescent="0.25">
      <c r="A1279" s="2">
        <f t="shared" si="72"/>
        <v>19628187</v>
      </c>
    </row>
    <row r="1280" spans="1:1" x14ac:dyDescent="0.25">
      <c r="A1280" s="2">
        <f t="shared" si="72"/>
        <v>19643187</v>
      </c>
    </row>
    <row r="1281" spans="1:1" x14ac:dyDescent="0.25">
      <c r="A1281" s="2">
        <f t="shared" si="72"/>
        <v>19658187</v>
      </c>
    </row>
    <row r="1282" spans="1:1" x14ac:dyDescent="0.25">
      <c r="A1282" s="2">
        <f t="shared" si="72"/>
        <v>19673187</v>
      </c>
    </row>
    <row r="1283" spans="1:1" x14ac:dyDescent="0.25">
      <c r="A1283" s="2">
        <f t="shared" si="72"/>
        <v>19688187</v>
      </c>
    </row>
    <row r="1284" spans="1:1" x14ac:dyDescent="0.25">
      <c r="A1284" s="2">
        <f t="shared" si="72"/>
        <v>19703187</v>
      </c>
    </row>
    <row r="1285" spans="1:1" x14ac:dyDescent="0.25">
      <c r="A1285" s="2">
        <f t="shared" si="72"/>
        <v>19718187</v>
      </c>
    </row>
    <row r="1286" spans="1:1" x14ac:dyDescent="0.25">
      <c r="A1286" s="2">
        <f t="shared" si="72"/>
        <v>19733187</v>
      </c>
    </row>
    <row r="1287" spans="1:1" x14ac:dyDescent="0.25">
      <c r="A1287" s="2">
        <f t="shared" si="72"/>
        <v>19748187</v>
      </c>
    </row>
    <row r="1288" spans="1:1" x14ac:dyDescent="0.25">
      <c r="A1288" s="2">
        <f t="shared" si="72"/>
        <v>19763187</v>
      </c>
    </row>
    <row r="1289" spans="1:1" x14ac:dyDescent="0.25">
      <c r="A1289" s="2">
        <f t="shared" si="72"/>
        <v>19778187</v>
      </c>
    </row>
    <row r="1290" spans="1:1" x14ac:dyDescent="0.25">
      <c r="A1290" s="2">
        <f t="shared" si="72"/>
        <v>19793187</v>
      </c>
    </row>
    <row r="1291" spans="1:1" x14ac:dyDescent="0.25">
      <c r="A1291" s="2">
        <f t="shared" si="72"/>
        <v>19808187</v>
      </c>
    </row>
    <row r="1292" spans="1:1" x14ac:dyDescent="0.25">
      <c r="A1292" s="2">
        <f t="shared" si="72"/>
        <v>19823187</v>
      </c>
    </row>
    <row r="1293" spans="1:1" x14ac:dyDescent="0.25">
      <c r="A1293" s="2">
        <f t="shared" si="72"/>
        <v>19838187</v>
      </c>
    </row>
    <row r="1294" spans="1:1" x14ac:dyDescent="0.25">
      <c r="A1294" s="2">
        <f t="shared" ref="A1294:A1357" si="73">A1293+15000</f>
        <v>19853187</v>
      </c>
    </row>
    <row r="1295" spans="1:1" x14ac:dyDescent="0.25">
      <c r="A1295" s="2">
        <f t="shared" si="73"/>
        <v>19868187</v>
      </c>
    </row>
    <row r="1296" spans="1:1" x14ac:dyDescent="0.25">
      <c r="A1296" s="2">
        <f t="shared" si="73"/>
        <v>19883187</v>
      </c>
    </row>
    <row r="1297" spans="1:1" x14ac:dyDescent="0.25">
      <c r="A1297" s="2">
        <f t="shared" si="73"/>
        <v>19898187</v>
      </c>
    </row>
    <row r="1298" spans="1:1" x14ac:dyDescent="0.25">
      <c r="A1298" s="2">
        <f t="shared" si="73"/>
        <v>19913187</v>
      </c>
    </row>
    <row r="1299" spans="1:1" x14ac:dyDescent="0.25">
      <c r="A1299" s="2">
        <f t="shared" si="73"/>
        <v>19928187</v>
      </c>
    </row>
    <row r="1300" spans="1:1" x14ac:dyDescent="0.25">
      <c r="A1300" s="2">
        <f t="shared" si="73"/>
        <v>19943187</v>
      </c>
    </row>
    <row r="1301" spans="1:1" x14ac:dyDescent="0.25">
      <c r="A1301" s="2">
        <f t="shared" si="73"/>
        <v>19958187</v>
      </c>
    </row>
    <row r="1302" spans="1:1" x14ac:dyDescent="0.25">
      <c r="A1302" s="2">
        <f t="shared" si="73"/>
        <v>19973187</v>
      </c>
    </row>
    <row r="1303" spans="1:1" x14ac:dyDescent="0.25">
      <c r="A1303" s="2">
        <f t="shared" si="73"/>
        <v>19988187</v>
      </c>
    </row>
    <row r="1304" spans="1:1" x14ac:dyDescent="0.25">
      <c r="A1304" s="2">
        <f t="shared" si="73"/>
        <v>20003187</v>
      </c>
    </row>
    <row r="1305" spans="1:1" x14ac:dyDescent="0.25">
      <c r="A1305" s="2">
        <f t="shared" si="73"/>
        <v>20018187</v>
      </c>
    </row>
    <row r="1306" spans="1:1" x14ac:dyDescent="0.25">
      <c r="A1306" s="2">
        <f t="shared" si="73"/>
        <v>20033187</v>
      </c>
    </row>
    <row r="1307" spans="1:1" x14ac:dyDescent="0.25">
      <c r="A1307" s="2">
        <f t="shared" si="73"/>
        <v>20048187</v>
      </c>
    </row>
    <row r="1308" spans="1:1" x14ac:dyDescent="0.25">
      <c r="A1308" s="2">
        <f t="shared" si="73"/>
        <v>20063187</v>
      </c>
    </row>
    <row r="1309" spans="1:1" x14ac:dyDescent="0.25">
      <c r="A1309" s="2">
        <f t="shared" si="73"/>
        <v>20078187</v>
      </c>
    </row>
    <row r="1310" spans="1:1" x14ac:dyDescent="0.25">
      <c r="A1310" s="2">
        <f t="shared" si="73"/>
        <v>20093187</v>
      </c>
    </row>
    <row r="1311" spans="1:1" x14ac:dyDescent="0.25">
      <c r="A1311" s="2">
        <f t="shared" si="73"/>
        <v>20108187</v>
      </c>
    </row>
    <row r="1312" spans="1:1" x14ac:dyDescent="0.25">
      <c r="A1312" s="2">
        <f t="shared" si="73"/>
        <v>20123187</v>
      </c>
    </row>
    <row r="1313" spans="1:1" x14ac:dyDescent="0.25">
      <c r="A1313" s="2">
        <f t="shared" si="73"/>
        <v>20138187</v>
      </c>
    </row>
    <row r="1314" spans="1:1" x14ac:dyDescent="0.25">
      <c r="A1314" s="2">
        <f t="shared" si="73"/>
        <v>20153187</v>
      </c>
    </row>
    <row r="1315" spans="1:1" x14ac:dyDescent="0.25">
      <c r="A1315" s="2">
        <f t="shared" si="73"/>
        <v>20168187</v>
      </c>
    </row>
    <row r="1316" spans="1:1" x14ac:dyDescent="0.25">
      <c r="A1316" s="2">
        <f t="shared" si="73"/>
        <v>20183187</v>
      </c>
    </row>
    <row r="1317" spans="1:1" x14ac:dyDescent="0.25">
      <c r="A1317" s="2">
        <f t="shared" si="73"/>
        <v>20198187</v>
      </c>
    </row>
    <row r="1318" spans="1:1" x14ac:dyDescent="0.25">
      <c r="A1318" s="2">
        <f t="shared" si="73"/>
        <v>20213187</v>
      </c>
    </row>
    <row r="1319" spans="1:1" x14ac:dyDescent="0.25">
      <c r="A1319" s="2">
        <f t="shared" si="73"/>
        <v>20228187</v>
      </c>
    </row>
    <row r="1320" spans="1:1" x14ac:dyDescent="0.25">
      <c r="A1320" s="2">
        <f t="shared" si="73"/>
        <v>20243187</v>
      </c>
    </row>
    <row r="1321" spans="1:1" x14ac:dyDescent="0.25">
      <c r="A1321" s="2">
        <f t="shared" si="73"/>
        <v>20258187</v>
      </c>
    </row>
    <row r="1322" spans="1:1" x14ac:dyDescent="0.25">
      <c r="A1322" s="2">
        <f t="shared" si="73"/>
        <v>20273187</v>
      </c>
    </row>
    <row r="1323" spans="1:1" x14ac:dyDescent="0.25">
      <c r="A1323" s="2">
        <f t="shared" si="73"/>
        <v>20288187</v>
      </c>
    </row>
    <row r="1324" spans="1:1" x14ac:dyDescent="0.25">
      <c r="A1324" s="2">
        <f t="shared" si="73"/>
        <v>20303187</v>
      </c>
    </row>
    <row r="1325" spans="1:1" x14ac:dyDescent="0.25">
      <c r="A1325" s="2">
        <f t="shared" si="73"/>
        <v>20318187</v>
      </c>
    </row>
    <row r="1326" spans="1:1" x14ac:dyDescent="0.25">
      <c r="A1326" s="2">
        <f t="shared" si="73"/>
        <v>20333187</v>
      </c>
    </row>
    <row r="1327" spans="1:1" x14ac:dyDescent="0.25">
      <c r="A1327" s="2">
        <f t="shared" si="73"/>
        <v>20348187</v>
      </c>
    </row>
    <row r="1328" spans="1:1" x14ac:dyDescent="0.25">
      <c r="A1328" s="2">
        <f t="shared" si="73"/>
        <v>20363187</v>
      </c>
    </row>
    <row r="1329" spans="1:1" x14ac:dyDescent="0.25">
      <c r="A1329" s="2">
        <f t="shared" si="73"/>
        <v>20378187</v>
      </c>
    </row>
    <row r="1330" spans="1:1" x14ac:dyDescent="0.25">
      <c r="A1330" s="2">
        <f t="shared" si="73"/>
        <v>20393187</v>
      </c>
    </row>
    <row r="1331" spans="1:1" x14ac:dyDescent="0.25">
      <c r="A1331" s="2">
        <f t="shared" si="73"/>
        <v>20408187</v>
      </c>
    </row>
    <row r="1332" spans="1:1" x14ac:dyDescent="0.25">
      <c r="A1332" s="2">
        <f t="shared" si="73"/>
        <v>20423187</v>
      </c>
    </row>
    <row r="1333" spans="1:1" x14ac:dyDescent="0.25">
      <c r="A1333" s="2">
        <f t="shared" si="73"/>
        <v>20438187</v>
      </c>
    </row>
    <row r="1334" spans="1:1" x14ac:dyDescent="0.25">
      <c r="A1334" s="2">
        <f t="shared" si="73"/>
        <v>20453187</v>
      </c>
    </row>
    <row r="1335" spans="1:1" x14ac:dyDescent="0.25">
      <c r="A1335" s="2">
        <f t="shared" si="73"/>
        <v>20468187</v>
      </c>
    </row>
    <row r="1336" spans="1:1" x14ac:dyDescent="0.25">
      <c r="A1336" s="2">
        <f t="shared" si="73"/>
        <v>20483187</v>
      </c>
    </row>
    <row r="1337" spans="1:1" x14ac:dyDescent="0.25">
      <c r="A1337" s="2">
        <f t="shared" si="73"/>
        <v>20498187</v>
      </c>
    </row>
    <row r="1338" spans="1:1" x14ac:dyDescent="0.25">
      <c r="A1338" s="2">
        <f t="shared" si="73"/>
        <v>20513187</v>
      </c>
    </row>
    <row r="1339" spans="1:1" x14ac:dyDescent="0.25">
      <c r="A1339" s="2">
        <f t="shared" si="73"/>
        <v>20528187</v>
      </c>
    </row>
    <row r="1340" spans="1:1" x14ac:dyDescent="0.25">
      <c r="A1340" s="2">
        <f t="shared" si="73"/>
        <v>20543187</v>
      </c>
    </row>
    <row r="1341" spans="1:1" x14ac:dyDescent="0.25">
      <c r="A1341" s="2">
        <f t="shared" si="73"/>
        <v>20558187</v>
      </c>
    </row>
    <row r="1342" spans="1:1" x14ac:dyDescent="0.25">
      <c r="A1342" s="2">
        <f t="shared" si="73"/>
        <v>20573187</v>
      </c>
    </row>
    <row r="1343" spans="1:1" x14ac:dyDescent="0.25">
      <c r="A1343" s="2">
        <f t="shared" si="73"/>
        <v>20588187</v>
      </c>
    </row>
    <row r="1344" spans="1:1" x14ac:dyDescent="0.25">
      <c r="A1344" s="2">
        <f t="shared" si="73"/>
        <v>20603187</v>
      </c>
    </row>
    <row r="1345" spans="1:1" x14ac:dyDescent="0.25">
      <c r="A1345" s="2">
        <f t="shared" si="73"/>
        <v>20618187</v>
      </c>
    </row>
    <row r="1346" spans="1:1" x14ac:dyDescent="0.25">
      <c r="A1346" s="2">
        <f t="shared" si="73"/>
        <v>20633187</v>
      </c>
    </row>
    <row r="1347" spans="1:1" x14ac:dyDescent="0.25">
      <c r="A1347" s="2">
        <f t="shared" si="73"/>
        <v>20648187</v>
      </c>
    </row>
    <row r="1348" spans="1:1" x14ac:dyDescent="0.25">
      <c r="A1348" s="2">
        <f t="shared" si="73"/>
        <v>20663187</v>
      </c>
    </row>
    <row r="1349" spans="1:1" x14ac:dyDescent="0.25">
      <c r="A1349" s="2">
        <f t="shared" si="73"/>
        <v>20678187</v>
      </c>
    </row>
    <row r="1350" spans="1:1" x14ac:dyDescent="0.25">
      <c r="A1350" s="2">
        <f t="shared" si="73"/>
        <v>20693187</v>
      </c>
    </row>
    <row r="1351" spans="1:1" x14ac:dyDescent="0.25">
      <c r="A1351" s="2">
        <f t="shared" si="73"/>
        <v>20708187</v>
      </c>
    </row>
    <row r="1352" spans="1:1" x14ac:dyDescent="0.25">
      <c r="A1352" s="2">
        <f t="shared" si="73"/>
        <v>20723187</v>
      </c>
    </row>
    <row r="1353" spans="1:1" x14ac:dyDescent="0.25">
      <c r="A1353" s="2">
        <f t="shared" si="73"/>
        <v>20738187</v>
      </c>
    </row>
    <row r="1354" spans="1:1" x14ac:dyDescent="0.25">
      <c r="A1354" s="2">
        <f t="shared" si="73"/>
        <v>20753187</v>
      </c>
    </row>
    <row r="1355" spans="1:1" x14ac:dyDescent="0.25">
      <c r="A1355" s="2">
        <f t="shared" si="73"/>
        <v>20768187</v>
      </c>
    </row>
    <row r="1356" spans="1:1" x14ac:dyDescent="0.25">
      <c r="A1356" s="2">
        <f t="shared" si="73"/>
        <v>20783187</v>
      </c>
    </row>
    <row r="1357" spans="1:1" x14ac:dyDescent="0.25">
      <c r="A1357" s="2">
        <f t="shared" si="73"/>
        <v>20798187</v>
      </c>
    </row>
    <row r="1358" spans="1:1" x14ac:dyDescent="0.25">
      <c r="A1358" s="2">
        <f t="shared" ref="A1358:A1421" si="74">A1357+15000</f>
        <v>20813187</v>
      </c>
    </row>
    <row r="1359" spans="1:1" x14ac:dyDescent="0.25">
      <c r="A1359" s="2">
        <f t="shared" si="74"/>
        <v>20828187</v>
      </c>
    </row>
    <row r="1360" spans="1:1" x14ac:dyDescent="0.25">
      <c r="A1360" s="2">
        <f t="shared" si="74"/>
        <v>20843187</v>
      </c>
    </row>
    <row r="1361" spans="1:1" x14ac:dyDescent="0.25">
      <c r="A1361" s="2">
        <f t="shared" si="74"/>
        <v>20858187</v>
      </c>
    </row>
    <row r="1362" spans="1:1" x14ac:dyDescent="0.25">
      <c r="A1362" s="2">
        <f t="shared" si="74"/>
        <v>20873187</v>
      </c>
    </row>
    <row r="1363" spans="1:1" x14ac:dyDescent="0.25">
      <c r="A1363" s="2">
        <f t="shared" si="74"/>
        <v>20888187</v>
      </c>
    </row>
    <row r="1364" spans="1:1" x14ac:dyDescent="0.25">
      <c r="A1364" s="2">
        <f t="shared" si="74"/>
        <v>20903187</v>
      </c>
    </row>
    <row r="1365" spans="1:1" x14ac:dyDescent="0.25">
      <c r="A1365" s="2">
        <f t="shared" si="74"/>
        <v>20918187</v>
      </c>
    </row>
    <row r="1366" spans="1:1" x14ac:dyDescent="0.25">
      <c r="A1366" s="2">
        <f t="shared" si="74"/>
        <v>20933187</v>
      </c>
    </row>
    <row r="1367" spans="1:1" x14ac:dyDescent="0.25">
      <c r="A1367" s="2">
        <f t="shared" si="74"/>
        <v>20948187</v>
      </c>
    </row>
    <row r="1368" spans="1:1" x14ac:dyDescent="0.25">
      <c r="A1368" s="2">
        <f t="shared" si="74"/>
        <v>20963187</v>
      </c>
    </row>
    <row r="1369" spans="1:1" x14ac:dyDescent="0.25">
      <c r="A1369" s="2">
        <f t="shared" si="74"/>
        <v>20978187</v>
      </c>
    </row>
    <row r="1370" spans="1:1" x14ac:dyDescent="0.25">
      <c r="A1370" s="2">
        <f t="shared" si="74"/>
        <v>20993187</v>
      </c>
    </row>
    <row r="1371" spans="1:1" x14ac:dyDescent="0.25">
      <c r="A1371" s="2">
        <f t="shared" si="74"/>
        <v>21008187</v>
      </c>
    </row>
    <row r="1372" spans="1:1" x14ac:dyDescent="0.25">
      <c r="A1372" s="2">
        <f t="shared" si="74"/>
        <v>21023187</v>
      </c>
    </row>
    <row r="1373" spans="1:1" x14ac:dyDescent="0.25">
      <c r="A1373" s="2">
        <f t="shared" si="74"/>
        <v>21038187</v>
      </c>
    </row>
    <row r="1374" spans="1:1" x14ac:dyDescent="0.25">
      <c r="A1374" s="2">
        <f t="shared" si="74"/>
        <v>21053187</v>
      </c>
    </row>
    <row r="1375" spans="1:1" x14ac:dyDescent="0.25">
      <c r="A1375" s="2">
        <f t="shared" si="74"/>
        <v>21068187</v>
      </c>
    </row>
    <row r="1376" spans="1:1" x14ac:dyDescent="0.25">
      <c r="A1376" s="2">
        <f t="shared" si="74"/>
        <v>21083187</v>
      </c>
    </row>
    <row r="1377" spans="1:1" x14ac:dyDescent="0.25">
      <c r="A1377" s="2">
        <f t="shared" si="74"/>
        <v>21098187</v>
      </c>
    </row>
    <row r="1378" spans="1:1" x14ac:dyDescent="0.25">
      <c r="A1378" s="2">
        <f t="shared" si="74"/>
        <v>21113187</v>
      </c>
    </row>
    <row r="1379" spans="1:1" x14ac:dyDescent="0.25">
      <c r="A1379" s="2">
        <f t="shared" si="74"/>
        <v>21128187</v>
      </c>
    </row>
    <row r="1380" spans="1:1" x14ac:dyDescent="0.25">
      <c r="A1380" s="2">
        <f t="shared" si="74"/>
        <v>21143187</v>
      </c>
    </row>
    <row r="1381" spans="1:1" x14ac:dyDescent="0.25">
      <c r="A1381" s="2">
        <f t="shared" si="74"/>
        <v>21158187</v>
      </c>
    </row>
    <row r="1382" spans="1:1" x14ac:dyDescent="0.25">
      <c r="A1382" s="2">
        <f t="shared" si="74"/>
        <v>21173187</v>
      </c>
    </row>
    <row r="1383" spans="1:1" x14ac:dyDescent="0.25">
      <c r="A1383" s="2">
        <f t="shared" si="74"/>
        <v>21188187</v>
      </c>
    </row>
    <row r="1384" spans="1:1" x14ac:dyDescent="0.25">
      <c r="A1384" s="2">
        <f t="shared" si="74"/>
        <v>21203187</v>
      </c>
    </row>
    <row r="1385" spans="1:1" x14ac:dyDescent="0.25">
      <c r="A1385" s="2">
        <f t="shared" si="74"/>
        <v>21218187</v>
      </c>
    </row>
    <row r="1386" spans="1:1" x14ac:dyDescent="0.25">
      <c r="A1386" s="2">
        <f t="shared" si="74"/>
        <v>21233187</v>
      </c>
    </row>
    <row r="1387" spans="1:1" x14ac:dyDescent="0.25">
      <c r="A1387" s="2">
        <f t="shared" si="74"/>
        <v>21248187</v>
      </c>
    </row>
    <row r="1388" spans="1:1" x14ac:dyDescent="0.25">
      <c r="A1388" s="2">
        <f t="shared" si="74"/>
        <v>21263187</v>
      </c>
    </row>
    <row r="1389" spans="1:1" x14ac:dyDescent="0.25">
      <c r="A1389" s="2">
        <f t="shared" si="74"/>
        <v>21278187</v>
      </c>
    </row>
    <row r="1390" spans="1:1" x14ac:dyDescent="0.25">
      <c r="A1390" s="2">
        <f t="shared" si="74"/>
        <v>21293187</v>
      </c>
    </row>
    <row r="1391" spans="1:1" x14ac:dyDescent="0.25">
      <c r="A1391" s="2">
        <f t="shared" si="74"/>
        <v>21308187</v>
      </c>
    </row>
    <row r="1392" spans="1:1" x14ac:dyDescent="0.25">
      <c r="A1392" s="2">
        <f t="shared" si="74"/>
        <v>21323187</v>
      </c>
    </row>
    <row r="1393" spans="1:1" x14ac:dyDescent="0.25">
      <c r="A1393" s="2">
        <f t="shared" si="74"/>
        <v>21338187</v>
      </c>
    </row>
    <row r="1394" spans="1:1" x14ac:dyDescent="0.25">
      <c r="A1394" s="2">
        <f t="shared" si="74"/>
        <v>21353187</v>
      </c>
    </row>
    <row r="1395" spans="1:1" x14ac:dyDescent="0.25">
      <c r="A1395" s="2">
        <f t="shared" si="74"/>
        <v>21368187</v>
      </c>
    </row>
    <row r="1396" spans="1:1" x14ac:dyDescent="0.25">
      <c r="A1396" s="2">
        <f t="shared" si="74"/>
        <v>21383187</v>
      </c>
    </row>
    <row r="1397" spans="1:1" x14ac:dyDescent="0.25">
      <c r="A1397" s="2">
        <f t="shared" si="74"/>
        <v>21398187</v>
      </c>
    </row>
    <row r="1398" spans="1:1" x14ac:dyDescent="0.25">
      <c r="A1398" s="2">
        <f t="shared" si="74"/>
        <v>21413187</v>
      </c>
    </row>
    <row r="1399" spans="1:1" x14ac:dyDescent="0.25">
      <c r="A1399" s="2">
        <f t="shared" si="74"/>
        <v>21428187</v>
      </c>
    </row>
    <row r="1400" spans="1:1" x14ac:dyDescent="0.25">
      <c r="A1400" s="2">
        <f t="shared" si="74"/>
        <v>21443187</v>
      </c>
    </row>
    <row r="1401" spans="1:1" x14ac:dyDescent="0.25">
      <c r="A1401" s="2">
        <f t="shared" si="74"/>
        <v>21458187</v>
      </c>
    </row>
    <row r="1402" spans="1:1" x14ac:dyDescent="0.25">
      <c r="A1402" s="2">
        <f t="shared" si="74"/>
        <v>21473187</v>
      </c>
    </row>
    <row r="1403" spans="1:1" x14ac:dyDescent="0.25">
      <c r="A1403" s="2">
        <f t="shared" si="74"/>
        <v>21488187</v>
      </c>
    </row>
    <row r="1404" spans="1:1" x14ac:dyDescent="0.25">
      <c r="A1404" s="2">
        <f t="shared" si="74"/>
        <v>21503187</v>
      </c>
    </row>
    <row r="1405" spans="1:1" x14ac:dyDescent="0.25">
      <c r="A1405" s="2">
        <f t="shared" si="74"/>
        <v>21518187</v>
      </c>
    </row>
    <row r="1406" spans="1:1" x14ac:dyDescent="0.25">
      <c r="A1406" s="2">
        <f t="shared" si="74"/>
        <v>21533187</v>
      </c>
    </row>
    <row r="1407" spans="1:1" x14ac:dyDescent="0.25">
      <c r="A1407" s="2">
        <f t="shared" si="74"/>
        <v>21548187</v>
      </c>
    </row>
    <row r="1408" spans="1:1" x14ac:dyDescent="0.25">
      <c r="A1408" s="2">
        <f t="shared" si="74"/>
        <v>21563187</v>
      </c>
    </row>
    <row r="1409" spans="1:1" x14ac:dyDescent="0.25">
      <c r="A1409" s="2">
        <f t="shared" si="74"/>
        <v>21578187</v>
      </c>
    </row>
    <row r="1410" spans="1:1" x14ac:dyDescent="0.25">
      <c r="A1410" s="2">
        <f t="shared" si="74"/>
        <v>21593187</v>
      </c>
    </row>
    <row r="1411" spans="1:1" x14ac:dyDescent="0.25">
      <c r="A1411" s="2">
        <f t="shared" si="74"/>
        <v>21608187</v>
      </c>
    </row>
    <row r="1412" spans="1:1" x14ac:dyDescent="0.25">
      <c r="A1412" s="2">
        <f t="shared" si="74"/>
        <v>21623187</v>
      </c>
    </row>
    <row r="1413" spans="1:1" x14ac:dyDescent="0.25">
      <c r="A1413" s="2">
        <f t="shared" si="74"/>
        <v>21638187</v>
      </c>
    </row>
    <row r="1414" spans="1:1" x14ac:dyDescent="0.25">
      <c r="A1414" s="2">
        <f t="shared" si="74"/>
        <v>21653187</v>
      </c>
    </row>
    <row r="1415" spans="1:1" x14ac:dyDescent="0.25">
      <c r="A1415" s="2">
        <f t="shared" si="74"/>
        <v>21668187</v>
      </c>
    </row>
    <row r="1416" spans="1:1" x14ac:dyDescent="0.25">
      <c r="A1416" s="2">
        <f t="shared" si="74"/>
        <v>21683187</v>
      </c>
    </row>
    <row r="1417" spans="1:1" x14ac:dyDescent="0.25">
      <c r="A1417" s="2">
        <f t="shared" si="74"/>
        <v>21698187</v>
      </c>
    </row>
    <row r="1418" spans="1:1" x14ac:dyDescent="0.25">
      <c r="A1418" s="2">
        <f t="shared" si="74"/>
        <v>21713187</v>
      </c>
    </row>
    <row r="1419" spans="1:1" x14ac:dyDescent="0.25">
      <c r="A1419" s="2">
        <f t="shared" si="74"/>
        <v>21728187</v>
      </c>
    </row>
    <row r="1420" spans="1:1" x14ac:dyDescent="0.25">
      <c r="A1420" s="2">
        <f t="shared" si="74"/>
        <v>21743187</v>
      </c>
    </row>
    <row r="1421" spans="1:1" x14ac:dyDescent="0.25">
      <c r="A1421" s="2">
        <f t="shared" si="74"/>
        <v>21758187</v>
      </c>
    </row>
    <row r="1422" spans="1:1" x14ac:dyDescent="0.25">
      <c r="A1422" s="2">
        <f t="shared" ref="A1422:A1485" si="75">A1421+15000</f>
        <v>21773187</v>
      </c>
    </row>
    <row r="1423" spans="1:1" x14ac:dyDescent="0.25">
      <c r="A1423" s="2">
        <f t="shared" si="75"/>
        <v>21788187</v>
      </c>
    </row>
    <row r="1424" spans="1:1" x14ac:dyDescent="0.25">
      <c r="A1424" s="2">
        <f t="shared" si="75"/>
        <v>21803187</v>
      </c>
    </row>
    <row r="1425" spans="1:1" x14ac:dyDescent="0.25">
      <c r="A1425" s="2">
        <f t="shared" si="75"/>
        <v>21818187</v>
      </c>
    </row>
    <row r="1426" spans="1:1" x14ac:dyDescent="0.25">
      <c r="A1426" s="2">
        <f t="shared" si="75"/>
        <v>21833187</v>
      </c>
    </row>
    <row r="1427" spans="1:1" x14ac:dyDescent="0.25">
      <c r="A1427" s="2">
        <f t="shared" si="75"/>
        <v>21848187</v>
      </c>
    </row>
    <row r="1428" spans="1:1" x14ac:dyDescent="0.25">
      <c r="A1428" s="2">
        <f t="shared" si="75"/>
        <v>21863187</v>
      </c>
    </row>
    <row r="1429" spans="1:1" x14ac:dyDescent="0.25">
      <c r="A1429" s="2">
        <f t="shared" si="75"/>
        <v>21878187</v>
      </c>
    </row>
    <row r="1430" spans="1:1" x14ac:dyDescent="0.25">
      <c r="A1430" s="2">
        <f t="shared" si="75"/>
        <v>21893187</v>
      </c>
    </row>
    <row r="1431" spans="1:1" x14ac:dyDescent="0.25">
      <c r="A1431" s="2">
        <f t="shared" si="75"/>
        <v>21908187</v>
      </c>
    </row>
    <row r="1432" spans="1:1" x14ac:dyDescent="0.25">
      <c r="A1432" s="2">
        <f t="shared" si="75"/>
        <v>21923187</v>
      </c>
    </row>
    <row r="1433" spans="1:1" x14ac:dyDescent="0.25">
      <c r="A1433" s="2">
        <f t="shared" si="75"/>
        <v>21938187</v>
      </c>
    </row>
    <row r="1434" spans="1:1" x14ac:dyDescent="0.25">
      <c r="A1434" s="2">
        <f t="shared" si="75"/>
        <v>21953187</v>
      </c>
    </row>
    <row r="1435" spans="1:1" x14ac:dyDescent="0.25">
      <c r="A1435" s="2">
        <f t="shared" si="75"/>
        <v>21968187</v>
      </c>
    </row>
    <row r="1436" spans="1:1" x14ac:dyDescent="0.25">
      <c r="A1436" s="2">
        <f t="shared" si="75"/>
        <v>21983187</v>
      </c>
    </row>
    <row r="1437" spans="1:1" x14ac:dyDescent="0.25">
      <c r="A1437" s="2">
        <f t="shared" si="75"/>
        <v>21998187</v>
      </c>
    </row>
    <row r="1438" spans="1:1" x14ac:dyDescent="0.25">
      <c r="A1438" s="2">
        <f t="shared" si="75"/>
        <v>22013187</v>
      </c>
    </row>
    <row r="1439" spans="1:1" x14ac:dyDescent="0.25">
      <c r="A1439" s="2">
        <f t="shared" si="75"/>
        <v>22028187</v>
      </c>
    </row>
    <row r="1440" spans="1:1" x14ac:dyDescent="0.25">
      <c r="A1440" s="2">
        <f t="shared" si="75"/>
        <v>22043187</v>
      </c>
    </row>
    <row r="1441" spans="1:1" x14ac:dyDescent="0.25">
      <c r="A1441" s="2">
        <f t="shared" si="75"/>
        <v>22058187</v>
      </c>
    </row>
    <row r="1442" spans="1:1" x14ac:dyDescent="0.25">
      <c r="A1442" s="2">
        <f t="shared" si="75"/>
        <v>22073187</v>
      </c>
    </row>
    <row r="1443" spans="1:1" x14ac:dyDescent="0.25">
      <c r="A1443" s="2">
        <f t="shared" si="75"/>
        <v>22088187</v>
      </c>
    </row>
    <row r="1444" spans="1:1" x14ac:dyDescent="0.25">
      <c r="A1444" s="2">
        <f t="shared" si="75"/>
        <v>22103187</v>
      </c>
    </row>
    <row r="1445" spans="1:1" x14ac:dyDescent="0.25">
      <c r="A1445" s="2">
        <f t="shared" si="75"/>
        <v>22118187</v>
      </c>
    </row>
    <row r="1446" spans="1:1" x14ac:dyDescent="0.25">
      <c r="A1446" s="2">
        <f t="shared" si="75"/>
        <v>22133187</v>
      </c>
    </row>
    <row r="1447" spans="1:1" x14ac:dyDescent="0.25">
      <c r="A1447" s="2">
        <f t="shared" si="75"/>
        <v>22148187</v>
      </c>
    </row>
    <row r="1448" spans="1:1" x14ac:dyDescent="0.25">
      <c r="A1448" s="2">
        <f t="shared" si="75"/>
        <v>22163187</v>
      </c>
    </row>
    <row r="1449" spans="1:1" x14ac:dyDescent="0.25">
      <c r="A1449" s="2">
        <f t="shared" si="75"/>
        <v>22178187</v>
      </c>
    </row>
    <row r="1450" spans="1:1" x14ac:dyDescent="0.25">
      <c r="A1450" s="2">
        <f t="shared" si="75"/>
        <v>22193187</v>
      </c>
    </row>
    <row r="1451" spans="1:1" x14ac:dyDescent="0.25">
      <c r="A1451" s="2">
        <f t="shared" si="75"/>
        <v>22208187</v>
      </c>
    </row>
    <row r="1452" spans="1:1" x14ac:dyDescent="0.25">
      <c r="A1452" s="2">
        <f t="shared" si="75"/>
        <v>22223187</v>
      </c>
    </row>
    <row r="1453" spans="1:1" x14ac:dyDescent="0.25">
      <c r="A1453" s="2">
        <f t="shared" si="75"/>
        <v>22238187</v>
      </c>
    </row>
    <row r="1454" spans="1:1" x14ac:dyDescent="0.25">
      <c r="A1454" s="2">
        <f t="shared" si="75"/>
        <v>22253187</v>
      </c>
    </row>
    <row r="1455" spans="1:1" x14ac:dyDescent="0.25">
      <c r="A1455" s="2">
        <f t="shared" si="75"/>
        <v>22268187</v>
      </c>
    </row>
    <row r="1456" spans="1:1" x14ac:dyDescent="0.25">
      <c r="A1456" s="2">
        <f t="shared" si="75"/>
        <v>22283187</v>
      </c>
    </row>
    <row r="1457" spans="1:1" x14ac:dyDescent="0.25">
      <c r="A1457" s="2">
        <f t="shared" si="75"/>
        <v>22298187</v>
      </c>
    </row>
    <row r="1458" spans="1:1" x14ac:dyDescent="0.25">
      <c r="A1458" s="2">
        <f t="shared" si="75"/>
        <v>22313187</v>
      </c>
    </row>
    <row r="1459" spans="1:1" x14ac:dyDescent="0.25">
      <c r="A1459" s="2">
        <f t="shared" si="75"/>
        <v>22328187</v>
      </c>
    </row>
    <row r="1460" spans="1:1" x14ac:dyDescent="0.25">
      <c r="A1460" s="2">
        <f t="shared" si="75"/>
        <v>22343187</v>
      </c>
    </row>
    <row r="1461" spans="1:1" x14ac:dyDescent="0.25">
      <c r="A1461" s="2">
        <f t="shared" si="75"/>
        <v>22358187</v>
      </c>
    </row>
    <row r="1462" spans="1:1" x14ac:dyDescent="0.25">
      <c r="A1462" s="2">
        <f t="shared" si="75"/>
        <v>22373187</v>
      </c>
    </row>
    <row r="1463" spans="1:1" x14ac:dyDescent="0.25">
      <c r="A1463" s="2">
        <f t="shared" si="75"/>
        <v>22388187</v>
      </c>
    </row>
    <row r="1464" spans="1:1" x14ac:dyDescent="0.25">
      <c r="A1464" s="2">
        <f t="shared" si="75"/>
        <v>22403187</v>
      </c>
    </row>
    <row r="1465" spans="1:1" x14ac:dyDescent="0.25">
      <c r="A1465" s="2">
        <f t="shared" si="75"/>
        <v>22418187</v>
      </c>
    </row>
    <row r="1466" spans="1:1" x14ac:dyDescent="0.25">
      <c r="A1466" s="2">
        <f t="shared" si="75"/>
        <v>22433187</v>
      </c>
    </row>
    <row r="1467" spans="1:1" x14ac:dyDescent="0.25">
      <c r="A1467" s="2">
        <f t="shared" si="75"/>
        <v>22448187</v>
      </c>
    </row>
    <row r="1468" spans="1:1" x14ac:dyDescent="0.25">
      <c r="A1468" s="2">
        <f t="shared" si="75"/>
        <v>22463187</v>
      </c>
    </row>
    <row r="1469" spans="1:1" x14ac:dyDescent="0.25">
      <c r="A1469" s="2">
        <f t="shared" si="75"/>
        <v>22478187</v>
      </c>
    </row>
    <row r="1470" spans="1:1" x14ac:dyDescent="0.25">
      <c r="A1470" s="2">
        <f t="shared" si="75"/>
        <v>22493187</v>
      </c>
    </row>
    <row r="1471" spans="1:1" x14ac:dyDescent="0.25">
      <c r="A1471" s="2">
        <f t="shared" si="75"/>
        <v>22508187</v>
      </c>
    </row>
    <row r="1472" spans="1:1" x14ac:dyDescent="0.25">
      <c r="A1472" s="2">
        <f t="shared" si="75"/>
        <v>22523187</v>
      </c>
    </row>
    <row r="1473" spans="1:1" x14ac:dyDescent="0.25">
      <c r="A1473" s="2">
        <f t="shared" si="75"/>
        <v>22538187</v>
      </c>
    </row>
    <row r="1474" spans="1:1" x14ac:dyDescent="0.25">
      <c r="A1474" s="2">
        <f t="shared" si="75"/>
        <v>22553187</v>
      </c>
    </row>
    <row r="1475" spans="1:1" x14ac:dyDescent="0.25">
      <c r="A1475" s="2">
        <f t="shared" si="75"/>
        <v>22568187</v>
      </c>
    </row>
    <row r="1476" spans="1:1" x14ac:dyDescent="0.25">
      <c r="A1476" s="2">
        <f t="shared" si="75"/>
        <v>22583187</v>
      </c>
    </row>
    <row r="1477" spans="1:1" x14ac:dyDescent="0.25">
      <c r="A1477" s="2">
        <f t="shared" si="75"/>
        <v>22598187</v>
      </c>
    </row>
    <row r="1478" spans="1:1" x14ac:dyDescent="0.25">
      <c r="A1478" s="2">
        <f t="shared" si="75"/>
        <v>22613187</v>
      </c>
    </row>
    <row r="1479" spans="1:1" x14ac:dyDescent="0.25">
      <c r="A1479" s="2">
        <f t="shared" si="75"/>
        <v>22628187</v>
      </c>
    </row>
    <row r="1480" spans="1:1" x14ac:dyDescent="0.25">
      <c r="A1480" s="2">
        <f t="shared" si="75"/>
        <v>22643187</v>
      </c>
    </row>
    <row r="1481" spans="1:1" x14ac:dyDescent="0.25">
      <c r="A1481" s="2">
        <f t="shared" si="75"/>
        <v>22658187</v>
      </c>
    </row>
    <row r="1482" spans="1:1" x14ac:dyDescent="0.25">
      <c r="A1482" s="2">
        <f t="shared" si="75"/>
        <v>22673187</v>
      </c>
    </row>
    <row r="1483" spans="1:1" x14ac:dyDescent="0.25">
      <c r="A1483" s="2">
        <f t="shared" si="75"/>
        <v>22688187</v>
      </c>
    </row>
    <row r="1484" spans="1:1" x14ac:dyDescent="0.25">
      <c r="A1484" s="2">
        <f t="shared" si="75"/>
        <v>22703187</v>
      </c>
    </row>
    <row r="1485" spans="1:1" x14ac:dyDescent="0.25">
      <c r="A1485" s="2">
        <f t="shared" si="75"/>
        <v>22718187</v>
      </c>
    </row>
    <row r="1486" spans="1:1" x14ac:dyDescent="0.25">
      <c r="A1486" s="2">
        <f t="shared" ref="A1486:A1549" si="76">A1485+15000</f>
        <v>22733187</v>
      </c>
    </row>
    <row r="1487" spans="1:1" x14ac:dyDescent="0.25">
      <c r="A1487" s="2">
        <f t="shared" si="76"/>
        <v>22748187</v>
      </c>
    </row>
    <row r="1488" spans="1:1" x14ac:dyDescent="0.25">
      <c r="A1488" s="2">
        <f t="shared" si="76"/>
        <v>22763187</v>
      </c>
    </row>
    <row r="1489" spans="1:1" x14ac:dyDescent="0.25">
      <c r="A1489" s="2">
        <f t="shared" si="76"/>
        <v>22778187</v>
      </c>
    </row>
    <row r="1490" spans="1:1" x14ac:dyDescent="0.25">
      <c r="A1490" s="2">
        <f t="shared" si="76"/>
        <v>22793187</v>
      </c>
    </row>
    <row r="1491" spans="1:1" x14ac:dyDescent="0.25">
      <c r="A1491" s="2">
        <f t="shared" si="76"/>
        <v>22808187</v>
      </c>
    </row>
    <row r="1492" spans="1:1" x14ac:dyDescent="0.25">
      <c r="A1492" s="2">
        <f t="shared" si="76"/>
        <v>22823187</v>
      </c>
    </row>
    <row r="1493" spans="1:1" x14ac:dyDescent="0.25">
      <c r="A1493" s="2">
        <f t="shared" si="76"/>
        <v>22838187</v>
      </c>
    </row>
    <row r="1494" spans="1:1" x14ac:dyDescent="0.25">
      <c r="A1494" s="2">
        <f t="shared" si="76"/>
        <v>22853187</v>
      </c>
    </row>
    <row r="1495" spans="1:1" x14ac:dyDescent="0.25">
      <c r="A1495" s="2">
        <f t="shared" si="76"/>
        <v>22868187</v>
      </c>
    </row>
    <row r="1496" spans="1:1" x14ac:dyDescent="0.25">
      <c r="A1496" s="2">
        <f t="shared" si="76"/>
        <v>22883187</v>
      </c>
    </row>
    <row r="1497" spans="1:1" x14ac:dyDescent="0.25">
      <c r="A1497" s="2">
        <f t="shared" si="76"/>
        <v>22898187</v>
      </c>
    </row>
    <row r="1498" spans="1:1" x14ac:dyDescent="0.25">
      <c r="A1498" s="2">
        <f t="shared" si="76"/>
        <v>22913187</v>
      </c>
    </row>
    <row r="1499" spans="1:1" x14ac:dyDescent="0.25">
      <c r="A1499" s="2">
        <f t="shared" si="76"/>
        <v>22928187</v>
      </c>
    </row>
    <row r="1500" spans="1:1" x14ac:dyDescent="0.25">
      <c r="A1500" s="2">
        <f t="shared" si="76"/>
        <v>22943187</v>
      </c>
    </row>
    <row r="1501" spans="1:1" x14ac:dyDescent="0.25">
      <c r="A1501" s="2">
        <f t="shared" si="76"/>
        <v>22958187</v>
      </c>
    </row>
    <row r="1502" spans="1:1" x14ac:dyDescent="0.25">
      <c r="A1502" s="2">
        <f t="shared" si="76"/>
        <v>22973187</v>
      </c>
    </row>
    <row r="1503" spans="1:1" x14ac:dyDescent="0.25">
      <c r="A1503" s="2">
        <f t="shared" si="76"/>
        <v>22988187</v>
      </c>
    </row>
    <row r="1504" spans="1:1" x14ac:dyDescent="0.25">
      <c r="A1504" s="2">
        <f t="shared" si="76"/>
        <v>23003187</v>
      </c>
    </row>
    <row r="1505" spans="1:1" x14ac:dyDescent="0.25">
      <c r="A1505" s="2">
        <f t="shared" si="76"/>
        <v>23018187</v>
      </c>
    </row>
    <row r="1506" spans="1:1" x14ac:dyDescent="0.25">
      <c r="A1506" s="2">
        <f t="shared" si="76"/>
        <v>23033187</v>
      </c>
    </row>
    <row r="1507" spans="1:1" x14ac:dyDescent="0.25">
      <c r="A1507" s="2">
        <f t="shared" si="76"/>
        <v>23048187</v>
      </c>
    </row>
    <row r="1508" spans="1:1" x14ac:dyDescent="0.25">
      <c r="A1508" s="2">
        <f t="shared" si="76"/>
        <v>23063187</v>
      </c>
    </row>
    <row r="1509" spans="1:1" x14ac:dyDescent="0.25">
      <c r="A1509" s="2">
        <f t="shared" si="76"/>
        <v>23078187</v>
      </c>
    </row>
    <row r="1510" spans="1:1" x14ac:dyDescent="0.25">
      <c r="A1510" s="2">
        <f t="shared" si="76"/>
        <v>23093187</v>
      </c>
    </row>
    <row r="1511" spans="1:1" x14ac:dyDescent="0.25">
      <c r="A1511" s="2">
        <f t="shared" si="76"/>
        <v>23108187</v>
      </c>
    </row>
    <row r="1512" spans="1:1" x14ac:dyDescent="0.25">
      <c r="A1512" s="2">
        <f t="shared" si="76"/>
        <v>23123187</v>
      </c>
    </row>
    <row r="1513" spans="1:1" x14ac:dyDescent="0.25">
      <c r="A1513" s="2">
        <f t="shared" si="76"/>
        <v>23138187</v>
      </c>
    </row>
    <row r="1514" spans="1:1" x14ac:dyDescent="0.25">
      <c r="A1514" s="2">
        <f t="shared" si="76"/>
        <v>23153187</v>
      </c>
    </row>
    <row r="1515" spans="1:1" x14ac:dyDescent="0.25">
      <c r="A1515" s="2">
        <f t="shared" si="76"/>
        <v>23168187</v>
      </c>
    </row>
    <row r="1516" spans="1:1" x14ac:dyDescent="0.25">
      <c r="A1516" s="2">
        <f t="shared" si="76"/>
        <v>23183187</v>
      </c>
    </row>
    <row r="1517" spans="1:1" x14ac:dyDescent="0.25">
      <c r="A1517" s="2">
        <f t="shared" si="76"/>
        <v>23198187</v>
      </c>
    </row>
    <row r="1518" spans="1:1" x14ac:dyDescent="0.25">
      <c r="A1518" s="2">
        <f t="shared" si="76"/>
        <v>23213187</v>
      </c>
    </row>
    <row r="1519" spans="1:1" x14ac:dyDescent="0.25">
      <c r="A1519" s="2">
        <f t="shared" si="76"/>
        <v>23228187</v>
      </c>
    </row>
    <row r="1520" spans="1:1" x14ac:dyDescent="0.25">
      <c r="A1520" s="2">
        <f t="shared" si="76"/>
        <v>23243187</v>
      </c>
    </row>
    <row r="1521" spans="1:1" x14ac:dyDescent="0.25">
      <c r="A1521" s="2">
        <f t="shared" si="76"/>
        <v>23258187</v>
      </c>
    </row>
    <row r="1522" spans="1:1" x14ac:dyDescent="0.25">
      <c r="A1522" s="2">
        <f t="shared" si="76"/>
        <v>23273187</v>
      </c>
    </row>
    <row r="1523" spans="1:1" x14ac:dyDescent="0.25">
      <c r="A1523" s="2">
        <f t="shared" si="76"/>
        <v>23288187</v>
      </c>
    </row>
    <row r="1524" spans="1:1" x14ac:dyDescent="0.25">
      <c r="A1524" s="2">
        <f t="shared" si="76"/>
        <v>23303187</v>
      </c>
    </row>
    <row r="1525" spans="1:1" x14ac:dyDescent="0.25">
      <c r="A1525" s="2">
        <f t="shared" si="76"/>
        <v>23318187</v>
      </c>
    </row>
    <row r="1526" spans="1:1" x14ac:dyDescent="0.25">
      <c r="A1526" s="2">
        <f t="shared" si="76"/>
        <v>23333187</v>
      </c>
    </row>
    <row r="1527" spans="1:1" x14ac:dyDescent="0.25">
      <c r="A1527" s="2">
        <f t="shared" si="76"/>
        <v>23348187</v>
      </c>
    </row>
    <row r="1528" spans="1:1" x14ac:dyDescent="0.25">
      <c r="A1528" s="2">
        <f t="shared" si="76"/>
        <v>23363187</v>
      </c>
    </row>
    <row r="1529" spans="1:1" x14ac:dyDescent="0.25">
      <c r="A1529" s="2">
        <f t="shared" si="76"/>
        <v>23378187</v>
      </c>
    </row>
    <row r="1530" spans="1:1" x14ac:dyDescent="0.25">
      <c r="A1530" s="2">
        <f t="shared" si="76"/>
        <v>23393187</v>
      </c>
    </row>
    <row r="1531" spans="1:1" x14ac:dyDescent="0.25">
      <c r="A1531" s="2">
        <f t="shared" si="76"/>
        <v>23408187</v>
      </c>
    </row>
    <row r="1532" spans="1:1" x14ac:dyDescent="0.25">
      <c r="A1532" s="2">
        <f t="shared" si="76"/>
        <v>23423187</v>
      </c>
    </row>
    <row r="1533" spans="1:1" x14ac:dyDescent="0.25">
      <c r="A1533" s="2">
        <f t="shared" si="76"/>
        <v>23438187</v>
      </c>
    </row>
    <row r="1534" spans="1:1" x14ac:dyDescent="0.25">
      <c r="A1534" s="2">
        <f t="shared" si="76"/>
        <v>23453187</v>
      </c>
    </row>
    <row r="1535" spans="1:1" x14ac:dyDescent="0.25">
      <c r="A1535" s="2">
        <f t="shared" si="76"/>
        <v>23468187</v>
      </c>
    </row>
    <row r="1536" spans="1:1" x14ac:dyDescent="0.25">
      <c r="A1536" s="2">
        <f t="shared" si="76"/>
        <v>23483187</v>
      </c>
    </row>
    <row r="1537" spans="1:1" x14ac:dyDescent="0.25">
      <c r="A1537" s="2">
        <f t="shared" si="76"/>
        <v>23498187</v>
      </c>
    </row>
    <row r="1538" spans="1:1" x14ac:dyDescent="0.25">
      <c r="A1538" s="2">
        <f t="shared" si="76"/>
        <v>23513187</v>
      </c>
    </row>
    <row r="1539" spans="1:1" x14ac:dyDescent="0.25">
      <c r="A1539" s="2">
        <f t="shared" si="76"/>
        <v>23528187</v>
      </c>
    </row>
    <row r="1540" spans="1:1" x14ac:dyDescent="0.25">
      <c r="A1540" s="2">
        <f t="shared" si="76"/>
        <v>23543187</v>
      </c>
    </row>
    <row r="1541" spans="1:1" x14ac:dyDescent="0.25">
      <c r="A1541" s="2">
        <f t="shared" si="76"/>
        <v>23558187</v>
      </c>
    </row>
    <row r="1542" spans="1:1" x14ac:dyDescent="0.25">
      <c r="A1542" s="2">
        <f t="shared" si="76"/>
        <v>23573187</v>
      </c>
    </row>
    <row r="1543" spans="1:1" x14ac:dyDescent="0.25">
      <c r="A1543" s="2">
        <f t="shared" si="76"/>
        <v>23588187</v>
      </c>
    </row>
    <row r="1544" spans="1:1" x14ac:dyDescent="0.25">
      <c r="A1544" s="2">
        <f t="shared" si="76"/>
        <v>23603187</v>
      </c>
    </row>
    <row r="1545" spans="1:1" x14ac:dyDescent="0.25">
      <c r="A1545" s="2">
        <f t="shared" si="76"/>
        <v>23618187</v>
      </c>
    </row>
    <row r="1546" spans="1:1" x14ac:dyDescent="0.25">
      <c r="A1546" s="2">
        <f t="shared" si="76"/>
        <v>23633187</v>
      </c>
    </row>
    <row r="1547" spans="1:1" x14ac:dyDescent="0.25">
      <c r="A1547" s="2">
        <f t="shared" si="76"/>
        <v>23648187</v>
      </c>
    </row>
    <row r="1548" spans="1:1" x14ac:dyDescent="0.25">
      <c r="A1548" s="2">
        <f t="shared" si="76"/>
        <v>23663187</v>
      </c>
    </row>
    <row r="1549" spans="1:1" x14ac:dyDescent="0.25">
      <c r="A1549" s="2">
        <f t="shared" si="76"/>
        <v>23678187</v>
      </c>
    </row>
    <row r="1550" spans="1:1" x14ac:dyDescent="0.25">
      <c r="A1550" s="2">
        <f t="shared" ref="A1550:A1613" si="77">A1549+15000</f>
        <v>23693187</v>
      </c>
    </row>
    <row r="1551" spans="1:1" x14ac:dyDescent="0.25">
      <c r="A1551" s="2">
        <f t="shared" si="77"/>
        <v>23708187</v>
      </c>
    </row>
    <row r="1552" spans="1:1" x14ac:dyDescent="0.25">
      <c r="A1552" s="2">
        <f t="shared" si="77"/>
        <v>23723187</v>
      </c>
    </row>
    <row r="1553" spans="1:1" x14ac:dyDescent="0.25">
      <c r="A1553" s="2">
        <f t="shared" si="77"/>
        <v>23738187</v>
      </c>
    </row>
    <row r="1554" spans="1:1" x14ac:dyDescent="0.25">
      <c r="A1554" s="2">
        <f t="shared" si="77"/>
        <v>23753187</v>
      </c>
    </row>
    <row r="1555" spans="1:1" x14ac:dyDescent="0.25">
      <c r="A1555" s="2">
        <f t="shared" si="77"/>
        <v>23768187</v>
      </c>
    </row>
    <row r="1556" spans="1:1" x14ac:dyDescent="0.25">
      <c r="A1556" s="2">
        <f t="shared" si="77"/>
        <v>23783187</v>
      </c>
    </row>
    <row r="1557" spans="1:1" x14ac:dyDescent="0.25">
      <c r="A1557" s="2">
        <f t="shared" si="77"/>
        <v>23798187</v>
      </c>
    </row>
    <row r="1558" spans="1:1" x14ac:dyDescent="0.25">
      <c r="A1558" s="2">
        <f t="shared" si="77"/>
        <v>23813187</v>
      </c>
    </row>
    <row r="1559" spans="1:1" x14ac:dyDescent="0.25">
      <c r="A1559" s="2">
        <f t="shared" si="77"/>
        <v>23828187</v>
      </c>
    </row>
    <row r="1560" spans="1:1" x14ac:dyDescent="0.25">
      <c r="A1560" s="2">
        <f t="shared" si="77"/>
        <v>23843187</v>
      </c>
    </row>
    <row r="1561" spans="1:1" x14ac:dyDescent="0.25">
      <c r="A1561" s="2">
        <f t="shared" si="77"/>
        <v>23858187</v>
      </c>
    </row>
    <row r="1562" spans="1:1" x14ac:dyDescent="0.25">
      <c r="A1562" s="2">
        <f t="shared" si="77"/>
        <v>23873187</v>
      </c>
    </row>
    <row r="1563" spans="1:1" x14ac:dyDescent="0.25">
      <c r="A1563" s="2">
        <f t="shared" si="77"/>
        <v>23888187</v>
      </c>
    </row>
    <row r="1564" spans="1:1" x14ac:dyDescent="0.25">
      <c r="A1564" s="2">
        <f t="shared" si="77"/>
        <v>23903187</v>
      </c>
    </row>
    <row r="1565" spans="1:1" x14ac:dyDescent="0.25">
      <c r="A1565" s="2">
        <f t="shared" si="77"/>
        <v>23918187</v>
      </c>
    </row>
    <row r="1566" spans="1:1" x14ac:dyDescent="0.25">
      <c r="A1566" s="2">
        <f t="shared" si="77"/>
        <v>23933187</v>
      </c>
    </row>
    <row r="1567" spans="1:1" x14ac:dyDescent="0.25">
      <c r="A1567" s="2">
        <f t="shared" si="77"/>
        <v>23948187</v>
      </c>
    </row>
    <row r="1568" spans="1:1" x14ac:dyDescent="0.25">
      <c r="A1568" s="2">
        <f t="shared" si="77"/>
        <v>23963187</v>
      </c>
    </row>
    <row r="1569" spans="1:1" x14ac:dyDescent="0.25">
      <c r="A1569" s="2">
        <f t="shared" si="77"/>
        <v>23978187</v>
      </c>
    </row>
    <row r="1570" spans="1:1" x14ac:dyDescent="0.25">
      <c r="A1570" s="2">
        <f t="shared" si="77"/>
        <v>23993187</v>
      </c>
    </row>
    <row r="1571" spans="1:1" x14ac:dyDescent="0.25">
      <c r="A1571" s="2">
        <f t="shared" si="77"/>
        <v>24008187</v>
      </c>
    </row>
    <row r="1572" spans="1:1" x14ac:dyDescent="0.25">
      <c r="A1572" s="2">
        <f t="shared" si="77"/>
        <v>24023187</v>
      </c>
    </row>
    <row r="1573" spans="1:1" x14ac:dyDescent="0.25">
      <c r="A1573" s="2">
        <f t="shared" si="77"/>
        <v>24038187</v>
      </c>
    </row>
    <row r="1574" spans="1:1" x14ac:dyDescent="0.25">
      <c r="A1574" s="2">
        <f t="shared" si="77"/>
        <v>24053187</v>
      </c>
    </row>
    <row r="1575" spans="1:1" x14ac:dyDescent="0.25">
      <c r="A1575" s="2">
        <f t="shared" si="77"/>
        <v>24068187</v>
      </c>
    </row>
    <row r="1576" spans="1:1" x14ac:dyDescent="0.25">
      <c r="A1576" s="2">
        <f t="shared" si="77"/>
        <v>24083187</v>
      </c>
    </row>
    <row r="1577" spans="1:1" x14ac:dyDescent="0.25">
      <c r="A1577" s="2">
        <f t="shared" si="77"/>
        <v>24098187</v>
      </c>
    </row>
    <row r="1578" spans="1:1" x14ac:dyDescent="0.25">
      <c r="A1578" s="2">
        <f t="shared" si="77"/>
        <v>24113187</v>
      </c>
    </row>
    <row r="1579" spans="1:1" x14ac:dyDescent="0.25">
      <c r="A1579" s="2">
        <f t="shared" si="77"/>
        <v>24128187</v>
      </c>
    </row>
    <row r="1580" spans="1:1" x14ac:dyDescent="0.25">
      <c r="A1580" s="2">
        <f t="shared" si="77"/>
        <v>24143187</v>
      </c>
    </row>
    <row r="1581" spans="1:1" x14ac:dyDescent="0.25">
      <c r="A1581" s="2">
        <f t="shared" si="77"/>
        <v>24158187</v>
      </c>
    </row>
    <row r="1582" spans="1:1" x14ac:dyDescent="0.25">
      <c r="A1582" s="2">
        <f t="shared" si="77"/>
        <v>24173187</v>
      </c>
    </row>
    <row r="1583" spans="1:1" x14ac:dyDescent="0.25">
      <c r="A1583" s="2">
        <f t="shared" si="77"/>
        <v>24188187</v>
      </c>
    </row>
    <row r="1584" spans="1:1" x14ac:dyDescent="0.25">
      <c r="A1584" s="2">
        <f t="shared" si="77"/>
        <v>24203187</v>
      </c>
    </row>
    <row r="1585" spans="1:1" x14ac:dyDescent="0.25">
      <c r="A1585" s="2">
        <f t="shared" si="77"/>
        <v>24218187</v>
      </c>
    </row>
    <row r="1586" spans="1:1" x14ac:dyDescent="0.25">
      <c r="A1586" s="2">
        <f t="shared" si="77"/>
        <v>24233187</v>
      </c>
    </row>
    <row r="1587" spans="1:1" x14ac:dyDescent="0.25">
      <c r="A1587" s="2">
        <f t="shared" si="77"/>
        <v>24248187</v>
      </c>
    </row>
    <row r="1588" spans="1:1" x14ac:dyDescent="0.25">
      <c r="A1588" s="2">
        <f t="shared" si="77"/>
        <v>24263187</v>
      </c>
    </row>
    <row r="1589" spans="1:1" x14ac:dyDescent="0.25">
      <c r="A1589" s="2">
        <f t="shared" si="77"/>
        <v>24278187</v>
      </c>
    </row>
    <row r="1590" spans="1:1" x14ac:dyDescent="0.25">
      <c r="A1590" s="2">
        <f t="shared" si="77"/>
        <v>24293187</v>
      </c>
    </row>
    <row r="1591" spans="1:1" x14ac:dyDescent="0.25">
      <c r="A1591" s="2">
        <f t="shared" si="77"/>
        <v>24308187</v>
      </c>
    </row>
    <row r="1592" spans="1:1" x14ac:dyDescent="0.25">
      <c r="A1592" s="2">
        <f t="shared" si="77"/>
        <v>24323187</v>
      </c>
    </row>
    <row r="1593" spans="1:1" x14ac:dyDescent="0.25">
      <c r="A1593" s="2">
        <f t="shared" si="77"/>
        <v>24338187</v>
      </c>
    </row>
    <row r="1594" spans="1:1" x14ac:dyDescent="0.25">
      <c r="A1594" s="2">
        <f t="shared" si="77"/>
        <v>24353187</v>
      </c>
    </row>
    <row r="1595" spans="1:1" x14ac:dyDescent="0.25">
      <c r="A1595" s="2">
        <f t="shared" si="77"/>
        <v>24368187</v>
      </c>
    </row>
    <row r="1596" spans="1:1" x14ac:dyDescent="0.25">
      <c r="A1596" s="2">
        <f t="shared" si="77"/>
        <v>24383187</v>
      </c>
    </row>
    <row r="1597" spans="1:1" x14ac:dyDescent="0.25">
      <c r="A1597" s="2">
        <f t="shared" si="77"/>
        <v>24398187</v>
      </c>
    </row>
    <row r="1598" spans="1:1" x14ac:dyDescent="0.25">
      <c r="A1598" s="2">
        <f t="shared" si="77"/>
        <v>24413187</v>
      </c>
    </row>
    <row r="1599" spans="1:1" x14ac:dyDescent="0.25">
      <c r="A1599" s="2">
        <f t="shared" si="77"/>
        <v>24428187</v>
      </c>
    </row>
    <row r="1600" spans="1:1" x14ac:dyDescent="0.25">
      <c r="A1600" s="2">
        <f t="shared" si="77"/>
        <v>24443187</v>
      </c>
    </row>
    <row r="1601" spans="1:1" x14ac:dyDescent="0.25">
      <c r="A1601" s="2">
        <f t="shared" si="77"/>
        <v>24458187</v>
      </c>
    </row>
    <row r="1602" spans="1:1" x14ac:dyDescent="0.25">
      <c r="A1602" s="2">
        <f t="shared" si="77"/>
        <v>24473187</v>
      </c>
    </row>
    <row r="1603" spans="1:1" x14ac:dyDescent="0.25">
      <c r="A1603" s="2">
        <f t="shared" si="77"/>
        <v>24488187</v>
      </c>
    </row>
    <row r="1604" spans="1:1" x14ac:dyDescent="0.25">
      <c r="A1604" s="2">
        <f t="shared" si="77"/>
        <v>24503187</v>
      </c>
    </row>
    <row r="1605" spans="1:1" x14ac:dyDescent="0.25">
      <c r="A1605" s="2">
        <f t="shared" si="77"/>
        <v>24518187</v>
      </c>
    </row>
    <row r="1606" spans="1:1" x14ac:dyDescent="0.25">
      <c r="A1606" s="2">
        <f t="shared" si="77"/>
        <v>24533187</v>
      </c>
    </row>
    <row r="1607" spans="1:1" x14ac:dyDescent="0.25">
      <c r="A1607" s="2">
        <f t="shared" si="77"/>
        <v>24548187</v>
      </c>
    </row>
    <row r="1608" spans="1:1" x14ac:dyDescent="0.25">
      <c r="A1608" s="2">
        <f t="shared" si="77"/>
        <v>24563187</v>
      </c>
    </row>
    <row r="1609" spans="1:1" x14ac:dyDescent="0.25">
      <c r="A1609" s="2">
        <f t="shared" si="77"/>
        <v>24578187</v>
      </c>
    </row>
    <row r="1610" spans="1:1" x14ac:dyDescent="0.25">
      <c r="A1610" s="2">
        <f t="shared" si="77"/>
        <v>24593187</v>
      </c>
    </row>
    <row r="1611" spans="1:1" x14ac:dyDescent="0.25">
      <c r="A1611" s="2">
        <f t="shared" si="77"/>
        <v>24608187</v>
      </c>
    </row>
    <row r="1612" spans="1:1" x14ac:dyDescent="0.25">
      <c r="A1612" s="2">
        <f t="shared" si="77"/>
        <v>24623187</v>
      </c>
    </row>
    <row r="1613" spans="1:1" x14ac:dyDescent="0.25">
      <c r="A1613" s="2">
        <f t="shared" si="77"/>
        <v>24638187</v>
      </c>
    </row>
    <row r="1614" spans="1:1" x14ac:dyDescent="0.25">
      <c r="A1614" s="2">
        <f t="shared" ref="A1614:A1677" si="78">A1613+15000</f>
        <v>24653187</v>
      </c>
    </row>
    <row r="1615" spans="1:1" x14ac:dyDescent="0.25">
      <c r="A1615" s="2">
        <f t="shared" si="78"/>
        <v>24668187</v>
      </c>
    </row>
    <row r="1616" spans="1:1" x14ac:dyDescent="0.25">
      <c r="A1616" s="2">
        <f t="shared" si="78"/>
        <v>24683187</v>
      </c>
    </row>
    <row r="1617" spans="1:1" x14ac:dyDescent="0.25">
      <c r="A1617" s="2">
        <f t="shared" si="78"/>
        <v>24698187</v>
      </c>
    </row>
    <row r="1618" spans="1:1" x14ac:dyDescent="0.25">
      <c r="A1618" s="2">
        <f t="shared" si="78"/>
        <v>24713187</v>
      </c>
    </row>
    <row r="1619" spans="1:1" x14ac:dyDescent="0.25">
      <c r="A1619" s="2">
        <f t="shared" si="78"/>
        <v>24728187</v>
      </c>
    </row>
    <row r="1620" spans="1:1" x14ac:dyDescent="0.25">
      <c r="A1620" s="2">
        <f t="shared" si="78"/>
        <v>24743187</v>
      </c>
    </row>
    <row r="1621" spans="1:1" x14ac:dyDescent="0.25">
      <c r="A1621" s="2">
        <f t="shared" si="78"/>
        <v>24758187</v>
      </c>
    </row>
    <row r="1622" spans="1:1" x14ac:dyDescent="0.25">
      <c r="A1622" s="2">
        <f t="shared" si="78"/>
        <v>24773187</v>
      </c>
    </row>
    <row r="1623" spans="1:1" x14ac:dyDescent="0.25">
      <c r="A1623" s="2">
        <f t="shared" si="78"/>
        <v>24788187</v>
      </c>
    </row>
    <row r="1624" spans="1:1" x14ac:dyDescent="0.25">
      <c r="A1624" s="2">
        <f t="shared" si="78"/>
        <v>24803187</v>
      </c>
    </row>
    <row r="1625" spans="1:1" x14ac:dyDescent="0.25">
      <c r="A1625" s="2">
        <f t="shared" si="78"/>
        <v>24818187</v>
      </c>
    </row>
    <row r="1626" spans="1:1" x14ac:dyDescent="0.25">
      <c r="A1626" s="2">
        <f t="shared" si="78"/>
        <v>24833187</v>
      </c>
    </row>
    <row r="1627" spans="1:1" x14ac:dyDescent="0.25">
      <c r="A1627" s="2">
        <f t="shared" si="78"/>
        <v>24848187</v>
      </c>
    </row>
    <row r="1628" spans="1:1" x14ac:dyDescent="0.25">
      <c r="A1628" s="2">
        <f t="shared" si="78"/>
        <v>24863187</v>
      </c>
    </row>
    <row r="1629" spans="1:1" x14ac:dyDescent="0.25">
      <c r="A1629" s="2">
        <f t="shared" si="78"/>
        <v>24878187</v>
      </c>
    </row>
    <row r="1630" spans="1:1" x14ac:dyDescent="0.25">
      <c r="A1630" s="2">
        <f t="shared" si="78"/>
        <v>24893187</v>
      </c>
    </row>
    <row r="1631" spans="1:1" x14ac:dyDescent="0.25">
      <c r="A1631" s="2">
        <f t="shared" si="78"/>
        <v>24908187</v>
      </c>
    </row>
    <row r="1632" spans="1:1" x14ac:dyDescent="0.25">
      <c r="A1632" s="2">
        <f t="shared" si="78"/>
        <v>24923187</v>
      </c>
    </row>
    <row r="1633" spans="1:1" x14ac:dyDescent="0.25">
      <c r="A1633" s="2">
        <f t="shared" si="78"/>
        <v>24938187</v>
      </c>
    </row>
    <row r="1634" spans="1:1" x14ac:dyDescent="0.25">
      <c r="A1634" s="2">
        <f t="shared" si="78"/>
        <v>24953187</v>
      </c>
    </row>
    <row r="1635" spans="1:1" x14ac:dyDescent="0.25">
      <c r="A1635" s="2">
        <f t="shared" si="78"/>
        <v>24968187</v>
      </c>
    </row>
    <row r="1636" spans="1:1" x14ac:dyDescent="0.25">
      <c r="A1636" s="2">
        <f t="shared" si="78"/>
        <v>24983187</v>
      </c>
    </row>
    <row r="1637" spans="1:1" x14ac:dyDescent="0.25">
      <c r="A1637" s="2">
        <f t="shared" si="78"/>
        <v>24998187</v>
      </c>
    </row>
    <row r="1638" spans="1:1" x14ac:dyDescent="0.25">
      <c r="A1638" s="2">
        <f t="shared" si="78"/>
        <v>25013187</v>
      </c>
    </row>
    <row r="1639" spans="1:1" x14ac:dyDescent="0.25">
      <c r="A1639" s="2">
        <f t="shared" si="78"/>
        <v>25028187</v>
      </c>
    </row>
    <row r="1640" spans="1:1" x14ac:dyDescent="0.25">
      <c r="A1640" s="2">
        <f t="shared" si="78"/>
        <v>25043187</v>
      </c>
    </row>
    <row r="1641" spans="1:1" x14ac:dyDescent="0.25">
      <c r="A1641" s="2">
        <f t="shared" si="78"/>
        <v>25058187</v>
      </c>
    </row>
    <row r="1642" spans="1:1" x14ac:dyDescent="0.25">
      <c r="A1642" s="2">
        <f t="shared" si="78"/>
        <v>25073187</v>
      </c>
    </row>
    <row r="1643" spans="1:1" x14ac:dyDescent="0.25">
      <c r="A1643" s="2">
        <f t="shared" si="78"/>
        <v>25088187</v>
      </c>
    </row>
    <row r="1644" spans="1:1" x14ac:dyDescent="0.25">
      <c r="A1644" s="2">
        <f t="shared" si="78"/>
        <v>25103187</v>
      </c>
    </row>
    <row r="1645" spans="1:1" x14ac:dyDescent="0.25">
      <c r="A1645" s="2">
        <f t="shared" si="78"/>
        <v>25118187</v>
      </c>
    </row>
    <row r="1646" spans="1:1" x14ac:dyDescent="0.25">
      <c r="A1646" s="2">
        <f t="shared" si="78"/>
        <v>25133187</v>
      </c>
    </row>
    <row r="1647" spans="1:1" x14ac:dyDescent="0.25">
      <c r="A1647" s="2">
        <f t="shared" si="78"/>
        <v>25148187</v>
      </c>
    </row>
    <row r="1648" spans="1:1" x14ac:dyDescent="0.25">
      <c r="A1648" s="2">
        <f t="shared" si="78"/>
        <v>25163187</v>
      </c>
    </row>
    <row r="1649" spans="1:1" x14ac:dyDescent="0.25">
      <c r="A1649" s="2">
        <f t="shared" si="78"/>
        <v>25178187</v>
      </c>
    </row>
    <row r="1650" spans="1:1" x14ac:dyDescent="0.25">
      <c r="A1650" s="2">
        <f t="shared" si="78"/>
        <v>25193187</v>
      </c>
    </row>
    <row r="1651" spans="1:1" x14ac:dyDescent="0.25">
      <c r="A1651" s="2">
        <f t="shared" si="78"/>
        <v>25208187</v>
      </c>
    </row>
    <row r="1652" spans="1:1" x14ac:dyDescent="0.25">
      <c r="A1652" s="2">
        <f t="shared" si="78"/>
        <v>25223187</v>
      </c>
    </row>
    <row r="1653" spans="1:1" x14ac:dyDescent="0.25">
      <c r="A1653" s="2">
        <f t="shared" si="78"/>
        <v>25238187</v>
      </c>
    </row>
    <row r="1654" spans="1:1" x14ac:dyDescent="0.25">
      <c r="A1654" s="2">
        <f t="shared" si="78"/>
        <v>25253187</v>
      </c>
    </row>
    <row r="1655" spans="1:1" x14ac:dyDescent="0.25">
      <c r="A1655" s="2">
        <f t="shared" si="78"/>
        <v>25268187</v>
      </c>
    </row>
    <row r="1656" spans="1:1" x14ac:dyDescent="0.25">
      <c r="A1656" s="2">
        <f t="shared" si="78"/>
        <v>25283187</v>
      </c>
    </row>
    <row r="1657" spans="1:1" x14ac:dyDescent="0.25">
      <c r="A1657" s="2">
        <f t="shared" si="78"/>
        <v>25298187</v>
      </c>
    </row>
    <row r="1658" spans="1:1" x14ac:dyDescent="0.25">
      <c r="A1658" s="2">
        <f t="shared" si="78"/>
        <v>25313187</v>
      </c>
    </row>
    <row r="1659" spans="1:1" x14ac:dyDescent="0.25">
      <c r="A1659" s="2">
        <f t="shared" si="78"/>
        <v>25328187</v>
      </c>
    </row>
    <row r="1660" spans="1:1" x14ac:dyDescent="0.25">
      <c r="A1660" s="2">
        <f t="shared" si="78"/>
        <v>25343187</v>
      </c>
    </row>
    <row r="1661" spans="1:1" x14ac:dyDescent="0.25">
      <c r="A1661" s="2">
        <f t="shared" si="78"/>
        <v>25358187</v>
      </c>
    </row>
    <row r="1662" spans="1:1" x14ac:dyDescent="0.25">
      <c r="A1662" s="2">
        <f t="shared" si="78"/>
        <v>25373187</v>
      </c>
    </row>
    <row r="1663" spans="1:1" x14ac:dyDescent="0.25">
      <c r="A1663" s="2">
        <f t="shared" si="78"/>
        <v>25388187</v>
      </c>
    </row>
    <row r="1664" spans="1:1" x14ac:dyDescent="0.25">
      <c r="A1664" s="2">
        <f t="shared" si="78"/>
        <v>25403187</v>
      </c>
    </row>
    <row r="1665" spans="1:1" x14ac:dyDescent="0.25">
      <c r="A1665" s="2">
        <f t="shared" si="78"/>
        <v>25418187</v>
      </c>
    </row>
    <row r="1666" spans="1:1" x14ac:dyDescent="0.25">
      <c r="A1666" s="2">
        <f t="shared" si="78"/>
        <v>25433187</v>
      </c>
    </row>
    <row r="1667" spans="1:1" x14ac:dyDescent="0.25">
      <c r="A1667" s="2">
        <f t="shared" si="78"/>
        <v>25448187</v>
      </c>
    </row>
    <row r="1668" spans="1:1" x14ac:dyDescent="0.25">
      <c r="A1668" s="2">
        <f t="shared" si="78"/>
        <v>25463187</v>
      </c>
    </row>
    <row r="1669" spans="1:1" x14ac:dyDescent="0.25">
      <c r="A1669" s="2">
        <f t="shared" si="78"/>
        <v>25478187</v>
      </c>
    </row>
    <row r="1670" spans="1:1" x14ac:dyDescent="0.25">
      <c r="A1670" s="2">
        <f t="shared" si="78"/>
        <v>25493187</v>
      </c>
    </row>
    <row r="1671" spans="1:1" x14ac:dyDescent="0.25">
      <c r="A1671" s="2">
        <f t="shared" si="78"/>
        <v>25508187</v>
      </c>
    </row>
    <row r="1672" spans="1:1" x14ac:dyDescent="0.25">
      <c r="A1672" s="2">
        <f t="shared" si="78"/>
        <v>25523187</v>
      </c>
    </row>
    <row r="1673" spans="1:1" x14ac:dyDescent="0.25">
      <c r="A1673" s="2">
        <f t="shared" si="78"/>
        <v>25538187</v>
      </c>
    </row>
    <row r="1674" spans="1:1" x14ac:dyDescent="0.25">
      <c r="A1674" s="2">
        <f t="shared" si="78"/>
        <v>25553187</v>
      </c>
    </row>
    <row r="1675" spans="1:1" x14ac:dyDescent="0.25">
      <c r="A1675" s="2">
        <f t="shared" si="78"/>
        <v>25568187</v>
      </c>
    </row>
    <row r="1676" spans="1:1" x14ac:dyDescent="0.25">
      <c r="A1676" s="2">
        <f t="shared" si="78"/>
        <v>25583187</v>
      </c>
    </row>
    <row r="1677" spans="1:1" x14ac:dyDescent="0.25">
      <c r="A1677" s="2">
        <f t="shared" si="78"/>
        <v>25598187</v>
      </c>
    </row>
    <row r="1678" spans="1:1" x14ac:dyDescent="0.25">
      <c r="A1678" s="2">
        <f t="shared" ref="A1678:A1741" si="79">A1677+15000</f>
        <v>25613187</v>
      </c>
    </row>
    <row r="1679" spans="1:1" x14ac:dyDescent="0.25">
      <c r="A1679" s="2">
        <f t="shared" si="79"/>
        <v>25628187</v>
      </c>
    </row>
    <row r="1680" spans="1:1" x14ac:dyDescent="0.25">
      <c r="A1680" s="2">
        <f t="shared" si="79"/>
        <v>25643187</v>
      </c>
    </row>
    <row r="1681" spans="1:1" x14ac:dyDescent="0.25">
      <c r="A1681" s="2">
        <f t="shared" si="79"/>
        <v>25658187</v>
      </c>
    </row>
    <row r="1682" spans="1:1" x14ac:dyDescent="0.25">
      <c r="A1682" s="2">
        <f t="shared" si="79"/>
        <v>25673187</v>
      </c>
    </row>
    <row r="1683" spans="1:1" x14ac:dyDescent="0.25">
      <c r="A1683" s="2">
        <f t="shared" si="79"/>
        <v>25688187</v>
      </c>
    </row>
    <row r="1684" spans="1:1" x14ac:dyDescent="0.25">
      <c r="A1684" s="2">
        <f t="shared" si="79"/>
        <v>25703187</v>
      </c>
    </row>
    <row r="1685" spans="1:1" x14ac:dyDescent="0.25">
      <c r="A1685" s="2">
        <f t="shared" si="79"/>
        <v>25718187</v>
      </c>
    </row>
    <row r="1686" spans="1:1" x14ac:dyDescent="0.25">
      <c r="A1686" s="2">
        <f t="shared" si="79"/>
        <v>25733187</v>
      </c>
    </row>
    <row r="1687" spans="1:1" x14ac:dyDescent="0.25">
      <c r="A1687" s="2">
        <f t="shared" si="79"/>
        <v>25748187</v>
      </c>
    </row>
    <row r="1688" spans="1:1" x14ac:dyDescent="0.25">
      <c r="A1688" s="2">
        <f t="shared" si="79"/>
        <v>25763187</v>
      </c>
    </row>
    <row r="1689" spans="1:1" x14ac:dyDescent="0.25">
      <c r="A1689" s="2">
        <f t="shared" si="79"/>
        <v>25778187</v>
      </c>
    </row>
    <row r="1690" spans="1:1" x14ac:dyDescent="0.25">
      <c r="A1690" s="2">
        <f t="shared" si="79"/>
        <v>25793187</v>
      </c>
    </row>
    <row r="1691" spans="1:1" x14ac:dyDescent="0.25">
      <c r="A1691" s="2">
        <f t="shared" si="79"/>
        <v>25808187</v>
      </c>
    </row>
    <row r="1692" spans="1:1" x14ac:dyDescent="0.25">
      <c r="A1692" s="2">
        <f t="shared" si="79"/>
        <v>25823187</v>
      </c>
    </row>
    <row r="1693" spans="1:1" x14ac:dyDescent="0.25">
      <c r="A1693" s="2">
        <f t="shared" si="79"/>
        <v>25838187</v>
      </c>
    </row>
    <row r="1694" spans="1:1" x14ac:dyDescent="0.25">
      <c r="A1694" s="2">
        <f t="shared" si="79"/>
        <v>25853187</v>
      </c>
    </row>
    <row r="1695" spans="1:1" x14ac:dyDescent="0.25">
      <c r="A1695" s="2">
        <f t="shared" si="79"/>
        <v>25868187</v>
      </c>
    </row>
    <row r="1696" spans="1:1" x14ac:dyDescent="0.25">
      <c r="A1696" s="2">
        <f t="shared" si="79"/>
        <v>25883187</v>
      </c>
    </row>
    <row r="1697" spans="1:1" x14ac:dyDescent="0.25">
      <c r="A1697" s="2">
        <f t="shared" si="79"/>
        <v>25898187</v>
      </c>
    </row>
    <row r="1698" spans="1:1" x14ac:dyDescent="0.25">
      <c r="A1698" s="2">
        <f t="shared" si="79"/>
        <v>25913187</v>
      </c>
    </row>
    <row r="1699" spans="1:1" x14ac:dyDescent="0.25">
      <c r="A1699" s="2">
        <f t="shared" si="79"/>
        <v>25928187</v>
      </c>
    </row>
    <row r="1700" spans="1:1" x14ac:dyDescent="0.25">
      <c r="A1700" s="2">
        <f t="shared" si="79"/>
        <v>25943187</v>
      </c>
    </row>
    <row r="1701" spans="1:1" x14ac:dyDescent="0.25">
      <c r="A1701" s="2">
        <f t="shared" si="79"/>
        <v>25958187</v>
      </c>
    </row>
    <row r="1702" spans="1:1" x14ac:dyDescent="0.25">
      <c r="A1702" s="2">
        <f t="shared" si="79"/>
        <v>25973187</v>
      </c>
    </row>
    <row r="1703" spans="1:1" x14ac:dyDescent="0.25">
      <c r="A1703" s="2">
        <f t="shared" si="79"/>
        <v>25988187</v>
      </c>
    </row>
    <row r="1704" spans="1:1" x14ac:dyDescent="0.25">
      <c r="A1704" s="2">
        <f t="shared" si="79"/>
        <v>26003187</v>
      </c>
    </row>
    <row r="1705" spans="1:1" x14ac:dyDescent="0.25">
      <c r="A1705" s="2">
        <f t="shared" si="79"/>
        <v>26018187</v>
      </c>
    </row>
    <row r="1706" spans="1:1" x14ac:dyDescent="0.25">
      <c r="A1706" s="2">
        <f t="shared" si="79"/>
        <v>26033187</v>
      </c>
    </row>
    <row r="1707" spans="1:1" x14ac:dyDescent="0.25">
      <c r="A1707" s="2">
        <f t="shared" si="79"/>
        <v>26048187</v>
      </c>
    </row>
    <row r="1708" spans="1:1" x14ac:dyDescent="0.25">
      <c r="A1708" s="2">
        <f t="shared" si="79"/>
        <v>26063187</v>
      </c>
    </row>
    <row r="1709" spans="1:1" x14ac:dyDescent="0.25">
      <c r="A1709" s="2">
        <f t="shared" si="79"/>
        <v>26078187</v>
      </c>
    </row>
    <row r="1710" spans="1:1" x14ac:dyDescent="0.25">
      <c r="A1710" s="2">
        <f t="shared" si="79"/>
        <v>26093187</v>
      </c>
    </row>
    <row r="1711" spans="1:1" x14ac:dyDescent="0.25">
      <c r="A1711" s="2">
        <f t="shared" si="79"/>
        <v>26108187</v>
      </c>
    </row>
    <row r="1712" spans="1:1" x14ac:dyDescent="0.25">
      <c r="A1712" s="2">
        <f t="shared" si="79"/>
        <v>26123187</v>
      </c>
    </row>
    <row r="1713" spans="1:1" x14ac:dyDescent="0.25">
      <c r="A1713" s="2">
        <f t="shared" si="79"/>
        <v>26138187</v>
      </c>
    </row>
    <row r="1714" spans="1:1" x14ac:dyDescent="0.25">
      <c r="A1714" s="2">
        <f t="shared" si="79"/>
        <v>26153187</v>
      </c>
    </row>
    <row r="1715" spans="1:1" x14ac:dyDescent="0.25">
      <c r="A1715" s="2">
        <f t="shared" si="79"/>
        <v>26168187</v>
      </c>
    </row>
    <row r="1716" spans="1:1" x14ac:dyDescent="0.25">
      <c r="A1716" s="2">
        <f t="shared" si="79"/>
        <v>26183187</v>
      </c>
    </row>
    <row r="1717" spans="1:1" x14ac:dyDescent="0.25">
      <c r="A1717" s="2">
        <f t="shared" si="79"/>
        <v>26198187</v>
      </c>
    </row>
    <row r="1718" spans="1:1" x14ac:dyDescent="0.25">
      <c r="A1718" s="2">
        <f t="shared" si="79"/>
        <v>26213187</v>
      </c>
    </row>
    <row r="1719" spans="1:1" x14ac:dyDescent="0.25">
      <c r="A1719" s="2">
        <f t="shared" si="79"/>
        <v>26228187</v>
      </c>
    </row>
    <row r="1720" spans="1:1" x14ac:dyDescent="0.25">
      <c r="A1720" s="2">
        <f t="shared" si="79"/>
        <v>26243187</v>
      </c>
    </row>
    <row r="1721" spans="1:1" x14ac:dyDescent="0.25">
      <c r="A1721" s="2">
        <f t="shared" si="79"/>
        <v>26258187</v>
      </c>
    </row>
    <row r="1722" spans="1:1" x14ac:dyDescent="0.25">
      <c r="A1722" s="2">
        <f t="shared" si="79"/>
        <v>26273187</v>
      </c>
    </row>
    <row r="1723" spans="1:1" x14ac:dyDescent="0.25">
      <c r="A1723" s="2">
        <f t="shared" si="79"/>
        <v>26288187</v>
      </c>
    </row>
    <row r="1724" spans="1:1" x14ac:dyDescent="0.25">
      <c r="A1724" s="2">
        <f t="shared" si="79"/>
        <v>26303187</v>
      </c>
    </row>
    <row r="1725" spans="1:1" x14ac:dyDescent="0.25">
      <c r="A1725" s="2">
        <f t="shared" si="79"/>
        <v>26318187</v>
      </c>
    </row>
    <row r="1726" spans="1:1" x14ac:dyDescent="0.25">
      <c r="A1726" s="2">
        <f t="shared" si="79"/>
        <v>26333187</v>
      </c>
    </row>
    <row r="1727" spans="1:1" x14ac:dyDescent="0.25">
      <c r="A1727" s="2">
        <f t="shared" si="79"/>
        <v>26348187</v>
      </c>
    </row>
    <row r="1728" spans="1:1" x14ac:dyDescent="0.25">
      <c r="A1728" s="2">
        <f t="shared" si="79"/>
        <v>26363187</v>
      </c>
    </row>
    <row r="1729" spans="1:1" x14ac:dyDescent="0.25">
      <c r="A1729" s="2">
        <f t="shared" si="79"/>
        <v>26378187</v>
      </c>
    </row>
    <row r="1730" spans="1:1" x14ac:dyDescent="0.25">
      <c r="A1730" s="2">
        <f t="shared" si="79"/>
        <v>26393187</v>
      </c>
    </row>
    <row r="1731" spans="1:1" x14ac:dyDescent="0.25">
      <c r="A1731" s="2">
        <f t="shared" si="79"/>
        <v>26408187</v>
      </c>
    </row>
    <row r="1732" spans="1:1" x14ac:dyDescent="0.25">
      <c r="A1732" s="2">
        <f t="shared" si="79"/>
        <v>26423187</v>
      </c>
    </row>
    <row r="1733" spans="1:1" x14ac:dyDescent="0.25">
      <c r="A1733" s="2">
        <f t="shared" si="79"/>
        <v>26438187</v>
      </c>
    </row>
    <row r="1734" spans="1:1" x14ac:dyDescent="0.25">
      <c r="A1734" s="2">
        <f t="shared" si="79"/>
        <v>26453187</v>
      </c>
    </row>
    <row r="1735" spans="1:1" x14ac:dyDescent="0.25">
      <c r="A1735" s="2">
        <f t="shared" si="79"/>
        <v>26468187</v>
      </c>
    </row>
    <row r="1736" spans="1:1" x14ac:dyDescent="0.25">
      <c r="A1736" s="2">
        <f t="shared" si="79"/>
        <v>26483187</v>
      </c>
    </row>
    <row r="1737" spans="1:1" x14ac:dyDescent="0.25">
      <c r="A1737" s="2">
        <f t="shared" si="79"/>
        <v>26498187</v>
      </c>
    </row>
    <row r="1738" spans="1:1" x14ac:dyDescent="0.25">
      <c r="A1738" s="2">
        <f t="shared" si="79"/>
        <v>26513187</v>
      </c>
    </row>
    <row r="1739" spans="1:1" x14ac:dyDescent="0.25">
      <c r="A1739" s="2">
        <f t="shared" si="79"/>
        <v>26528187</v>
      </c>
    </row>
    <row r="1740" spans="1:1" x14ac:dyDescent="0.25">
      <c r="A1740" s="2">
        <f t="shared" si="79"/>
        <v>26543187</v>
      </c>
    </row>
    <row r="1741" spans="1:1" x14ac:dyDescent="0.25">
      <c r="A1741" s="2">
        <f t="shared" si="79"/>
        <v>26558187</v>
      </c>
    </row>
    <row r="1742" spans="1:1" x14ac:dyDescent="0.25">
      <c r="A1742" s="2">
        <f t="shared" ref="A1742:A1805" si="80">A1741+15000</f>
        <v>26573187</v>
      </c>
    </row>
    <row r="1743" spans="1:1" x14ac:dyDescent="0.25">
      <c r="A1743" s="2">
        <f t="shared" si="80"/>
        <v>26588187</v>
      </c>
    </row>
    <row r="1744" spans="1:1" x14ac:dyDescent="0.25">
      <c r="A1744" s="2">
        <f t="shared" si="80"/>
        <v>26603187</v>
      </c>
    </row>
    <row r="1745" spans="1:1" x14ac:dyDescent="0.25">
      <c r="A1745" s="2">
        <f t="shared" si="80"/>
        <v>26618187</v>
      </c>
    </row>
    <row r="1746" spans="1:1" x14ac:dyDescent="0.25">
      <c r="A1746" s="2">
        <f t="shared" si="80"/>
        <v>26633187</v>
      </c>
    </row>
    <row r="1747" spans="1:1" x14ac:dyDescent="0.25">
      <c r="A1747" s="2">
        <f t="shared" si="80"/>
        <v>26648187</v>
      </c>
    </row>
    <row r="1748" spans="1:1" x14ac:dyDescent="0.25">
      <c r="A1748" s="2">
        <f t="shared" si="80"/>
        <v>26663187</v>
      </c>
    </row>
    <row r="1749" spans="1:1" x14ac:dyDescent="0.25">
      <c r="A1749" s="2">
        <f t="shared" si="80"/>
        <v>26678187</v>
      </c>
    </row>
    <row r="1750" spans="1:1" x14ac:dyDescent="0.25">
      <c r="A1750" s="2">
        <f t="shared" si="80"/>
        <v>26693187</v>
      </c>
    </row>
    <row r="1751" spans="1:1" x14ac:dyDescent="0.25">
      <c r="A1751" s="2">
        <f t="shared" si="80"/>
        <v>26708187</v>
      </c>
    </row>
    <row r="1752" spans="1:1" x14ac:dyDescent="0.25">
      <c r="A1752" s="2">
        <f t="shared" si="80"/>
        <v>26723187</v>
      </c>
    </row>
    <row r="1753" spans="1:1" x14ac:dyDescent="0.25">
      <c r="A1753" s="2">
        <f t="shared" si="80"/>
        <v>26738187</v>
      </c>
    </row>
    <row r="1754" spans="1:1" x14ac:dyDescent="0.25">
      <c r="A1754" s="2">
        <f t="shared" si="80"/>
        <v>26753187</v>
      </c>
    </row>
    <row r="1755" spans="1:1" x14ac:dyDescent="0.25">
      <c r="A1755" s="2">
        <f t="shared" si="80"/>
        <v>26768187</v>
      </c>
    </row>
    <row r="1756" spans="1:1" x14ac:dyDescent="0.25">
      <c r="A1756" s="2">
        <f t="shared" si="80"/>
        <v>26783187</v>
      </c>
    </row>
    <row r="1757" spans="1:1" x14ac:dyDescent="0.25">
      <c r="A1757" s="2">
        <f t="shared" si="80"/>
        <v>26798187</v>
      </c>
    </row>
    <row r="1758" spans="1:1" x14ac:dyDescent="0.25">
      <c r="A1758" s="2">
        <f t="shared" si="80"/>
        <v>26813187</v>
      </c>
    </row>
    <row r="1759" spans="1:1" x14ac:dyDescent="0.25">
      <c r="A1759" s="2">
        <f t="shared" si="80"/>
        <v>26828187</v>
      </c>
    </row>
    <row r="1760" spans="1:1" x14ac:dyDescent="0.25">
      <c r="A1760" s="2">
        <f t="shared" si="80"/>
        <v>26843187</v>
      </c>
    </row>
    <row r="1761" spans="1:1" x14ac:dyDescent="0.25">
      <c r="A1761" s="2">
        <f t="shared" si="80"/>
        <v>26858187</v>
      </c>
    </row>
    <row r="1762" spans="1:1" x14ac:dyDescent="0.25">
      <c r="A1762" s="2">
        <f t="shared" si="80"/>
        <v>26873187</v>
      </c>
    </row>
    <row r="1763" spans="1:1" x14ac:dyDescent="0.25">
      <c r="A1763" s="2">
        <f t="shared" si="80"/>
        <v>26888187</v>
      </c>
    </row>
    <row r="1764" spans="1:1" x14ac:dyDescent="0.25">
      <c r="A1764" s="2">
        <f t="shared" si="80"/>
        <v>26903187</v>
      </c>
    </row>
    <row r="1765" spans="1:1" x14ac:dyDescent="0.25">
      <c r="A1765" s="2">
        <f t="shared" si="80"/>
        <v>26918187</v>
      </c>
    </row>
    <row r="1766" spans="1:1" x14ac:dyDescent="0.25">
      <c r="A1766" s="2">
        <f t="shared" si="80"/>
        <v>26933187</v>
      </c>
    </row>
    <row r="1767" spans="1:1" x14ac:dyDescent="0.25">
      <c r="A1767" s="2">
        <f t="shared" si="80"/>
        <v>26948187</v>
      </c>
    </row>
    <row r="1768" spans="1:1" x14ac:dyDescent="0.25">
      <c r="A1768" s="2">
        <f t="shared" si="80"/>
        <v>26963187</v>
      </c>
    </row>
    <row r="1769" spans="1:1" x14ac:dyDescent="0.25">
      <c r="A1769" s="2">
        <f t="shared" si="80"/>
        <v>26978187</v>
      </c>
    </row>
    <row r="1770" spans="1:1" x14ac:dyDescent="0.25">
      <c r="A1770" s="2">
        <f t="shared" si="80"/>
        <v>26993187</v>
      </c>
    </row>
    <row r="1771" spans="1:1" x14ac:dyDescent="0.25">
      <c r="A1771" s="2">
        <f t="shared" si="80"/>
        <v>27008187</v>
      </c>
    </row>
    <row r="1772" spans="1:1" x14ac:dyDescent="0.25">
      <c r="A1772" s="2">
        <f t="shared" si="80"/>
        <v>27023187</v>
      </c>
    </row>
    <row r="1773" spans="1:1" x14ac:dyDescent="0.25">
      <c r="A1773" s="2">
        <f t="shared" si="80"/>
        <v>27038187</v>
      </c>
    </row>
    <row r="1774" spans="1:1" x14ac:dyDescent="0.25">
      <c r="A1774" s="2">
        <f t="shared" si="80"/>
        <v>27053187</v>
      </c>
    </row>
    <row r="1775" spans="1:1" x14ac:dyDescent="0.25">
      <c r="A1775" s="2">
        <f t="shared" si="80"/>
        <v>27068187</v>
      </c>
    </row>
    <row r="1776" spans="1:1" x14ac:dyDescent="0.25">
      <c r="A1776" s="2">
        <f t="shared" si="80"/>
        <v>27083187</v>
      </c>
    </row>
    <row r="1777" spans="1:1" x14ac:dyDescent="0.25">
      <c r="A1777" s="2">
        <f t="shared" si="80"/>
        <v>27098187</v>
      </c>
    </row>
    <row r="1778" spans="1:1" x14ac:dyDescent="0.25">
      <c r="A1778" s="2">
        <f t="shared" si="80"/>
        <v>27113187</v>
      </c>
    </row>
    <row r="1779" spans="1:1" x14ac:dyDescent="0.25">
      <c r="A1779" s="2">
        <f t="shared" si="80"/>
        <v>27128187</v>
      </c>
    </row>
    <row r="1780" spans="1:1" x14ac:dyDescent="0.25">
      <c r="A1780" s="2">
        <f t="shared" si="80"/>
        <v>27143187</v>
      </c>
    </row>
    <row r="1781" spans="1:1" x14ac:dyDescent="0.25">
      <c r="A1781" s="2">
        <f t="shared" si="80"/>
        <v>27158187</v>
      </c>
    </row>
    <row r="1782" spans="1:1" x14ac:dyDescent="0.25">
      <c r="A1782" s="2">
        <f t="shared" si="80"/>
        <v>27173187</v>
      </c>
    </row>
    <row r="1783" spans="1:1" x14ac:dyDescent="0.25">
      <c r="A1783" s="2">
        <f t="shared" si="80"/>
        <v>27188187</v>
      </c>
    </row>
    <row r="1784" spans="1:1" x14ac:dyDescent="0.25">
      <c r="A1784" s="2">
        <f t="shared" si="80"/>
        <v>27203187</v>
      </c>
    </row>
    <row r="1785" spans="1:1" x14ac:dyDescent="0.25">
      <c r="A1785" s="2">
        <f t="shared" si="80"/>
        <v>27218187</v>
      </c>
    </row>
    <row r="1786" spans="1:1" x14ac:dyDescent="0.25">
      <c r="A1786" s="2">
        <f t="shared" si="80"/>
        <v>27233187</v>
      </c>
    </row>
    <row r="1787" spans="1:1" x14ac:dyDescent="0.25">
      <c r="A1787" s="2">
        <f t="shared" si="80"/>
        <v>27248187</v>
      </c>
    </row>
    <row r="1788" spans="1:1" x14ac:dyDescent="0.25">
      <c r="A1788" s="2">
        <f t="shared" si="80"/>
        <v>27263187</v>
      </c>
    </row>
    <row r="1789" spans="1:1" x14ac:dyDescent="0.25">
      <c r="A1789" s="2">
        <f t="shared" si="80"/>
        <v>27278187</v>
      </c>
    </row>
    <row r="1790" spans="1:1" x14ac:dyDescent="0.25">
      <c r="A1790" s="2">
        <f t="shared" si="80"/>
        <v>27293187</v>
      </c>
    </row>
    <row r="1791" spans="1:1" x14ac:dyDescent="0.25">
      <c r="A1791" s="2">
        <f t="shared" si="80"/>
        <v>27308187</v>
      </c>
    </row>
    <row r="1792" spans="1:1" x14ac:dyDescent="0.25">
      <c r="A1792" s="2">
        <f t="shared" si="80"/>
        <v>27323187</v>
      </c>
    </row>
    <row r="1793" spans="1:1" x14ac:dyDescent="0.25">
      <c r="A1793" s="2">
        <f t="shared" si="80"/>
        <v>27338187</v>
      </c>
    </row>
    <row r="1794" spans="1:1" x14ac:dyDescent="0.25">
      <c r="A1794" s="2">
        <f t="shared" si="80"/>
        <v>27353187</v>
      </c>
    </row>
    <row r="1795" spans="1:1" x14ac:dyDescent="0.25">
      <c r="A1795" s="2">
        <f t="shared" si="80"/>
        <v>27368187</v>
      </c>
    </row>
    <row r="1796" spans="1:1" x14ac:dyDescent="0.25">
      <c r="A1796" s="2">
        <f t="shared" si="80"/>
        <v>27383187</v>
      </c>
    </row>
    <row r="1797" spans="1:1" x14ac:dyDescent="0.25">
      <c r="A1797" s="2">
        <f t="shared" si="80"/>
        <v>27398187</v>
      </c>
    </row>
    <row r="1798" spans="1:1" x14ac:dyDescent="0.25">
      <c r="A1798" s="2">
        <f t="shared" si="80"/>
        <v>27413187</v>
      </c>
    </row>
    <row r="1799" spans="1:1" x14ac:dyDescent="0.25">
      <c r="A1799" s="2">
        <f t="shared" si="80"/>
        <v>27428187</v>
      </c>
    </row>
    <row r="1800" spans="1:1" x14ac:dyDescent="0.25">
      <c r="A1800" s="2">
        <f t="shared" si="80"/>
        <v>27443187</v>
      </c>
    </row>
    <row r="1801" spans="1:1" x14ac:dyDescent="0.25">
      <c r="A1801" s="2">
        <f t="shared" si="80"/>
        <v>27458187</v>
      </c>
    </row>
    <row r="1802" spans="1:1" x14ac:dyDescent="0.25">
      <c r="A1802" s="2">
        <f t="shared" si="80"/>
        <v>27473187</v>
      </c>
    </row>
    <row r="1803" spans="1:1" x14ac:dyDescent="0.25">
      <c r="A1803" s="2">
        <f t="shared" si="80"/>
        <v>27488187</v>
      </c>
    </row>
    <row r="1804" spans="1:1" x14ac:dyDescent="0.25">
      <c r="A1804" s="2">
        <f t="shared" si="80"/>
        <v>27503187</v>
      </c>
    </row>
    <row r="1805" spans="1:1" x14ac:dyDescent="0.25">
      <c r="A1805" s="2">
        <f t="shared" si="80"/>
        <v>27518187</v>
      </c>
    </row>
    <row r="1806" spans="1:1" x14ac:dyDescent="0.25">
      <c r="A1806" s="2">
        <f t="shared" ref="A1806:A1818" si="81">A1805+15000</f>
        <v>27533187</v>
      </c>
    </row>
    <row r="1807" spans="1:1" x14ac:dyDescent="0.25">
      <c r="A1807" s="2">
        <f t="shared" si="81"/>
        <v>27548187</v>
      </c>
    </row>
    <row r="1808" spans="1:1" x14ac:dyDescent="0.25">
      <c r="A1808" s="2">
        <f t="shared" si="81"/>
        <v>27563187</v>
      </c>
    </row>
    <row r="1809" spans="1:1" x14ac:dyDescent="0.25">
      <c r="A1809" s="2">
        <f t="shared" si="81"/>
        <v>27578187</v>
      </c>
    </row>
    <row r="1810" spans="1:1" x14ac:dyDescent="0.25">
      <c r="A1810" s="2">
        <f t="shared" si="81"/>
        <v>27593187</v>
      </c>
    </row>
    <row r="1811" spans="1:1" x14ac:dyDescent="0.25">
      <c r="A1811" s="2">
        <f t="shared" si="81"/>
        <v>27608187</v>
      </c>
    </row>
    <row r="1812" spans="1:1" x14ac:dyDescent="0.25">
      <c r="A1812" s="2">
        <f t="shared" si="81"/>
        <v>27623187</v>
      </c>
    </row>
    <row r="1813" spans="1:1" x14ac:dyDescent="0.25">
      <c r="A1813" s="2">
        <f t="shared" si="81"/>
        <v>27638187</v>
      </c>
    </row>
    <row r="1814" spans="1:1" x14ac:dyDescent="0.25">
      <c r="A1814" s="2">
        <f t="shared" si="81"/>
        <v>27653187</v>
      </c>
    </row>
    <row r="1815" spans="1:1" x14ac:dyDescent="0.25">
      <c r="A1815" s="2">
        <f t="shared" si="81"/>
        <v>27668187</v>
      </c>
    </row>
    <row r="1816" spans="1:1" x14ac:dyDescent="0.25">
      <c r="A1816" s="2">
        <f t="shared" si="81"/>
        <v>27683187</v>
      </c>
    </row>
    <row r="1817" spans="1:1" x14ac:dyDescent="0.25">
      <c r="A1817" s="2">
        <f t="shared" si="81"/>
        <v>27698187</v>
      </c>
    </row>
    <row r="1818" spans="1:1" x14ac:dyDescent="0.25">
      <c r="A1818" s="2">
        <f t="shared" si="81"/>
        <v>27713187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A5C9-BBFA-4A60-819D-387869F9F66C}">
  <dimension ref="G4:T97"/>
  <sheetViews>
    <sheetView topLeftCell="F1" zoomScale="85" zoomScaleNormal="85" workbookViewId="0">
      <selection activeCell="Y38" sqref="Y38"/>
    </sheetView>
  </sheetViews>
  <sheetFormatPr defaultRowHeight="15" x14ac:dyDescent="0.25"/>
  <cols>
    <col min="1" max="6" width="9.140625" style="2"/>
    <col min="7" max="7" width="8.28515625" style="2" bestFit="1" customWidth="1"/>
    <col min="8" max="8" width="14.42578125" style="2" bestFit="1" customWidth="1"/>
    <col min="9" max="9" width="12.28515625" style="2" bestFit="1" customWidth="1"/>
    <col min="10" max="17" width="9.140625" style="2"/>
    <col min="18" max="18" width="17.28515625" style="2" customWidth="1"/>
    <col min="19" max="16384" width="9.140625" style="2"/>
  </cols>
  <sheetData>
    <row r="4" spans="7:20" x14ac:dyDescent="0.25"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</row>
    <row r="5" spans="7:20" x14ac:dyDescent="0.25">
      <c r="I5" s="2" t="s">
        <v>55</v>
      </c>
      <c r="J5" s="2">
        <v>3.9910000000000001</v>
      </c>
      <c r="K5" s="2">
        <v>3.972</v>
      </c>
      <c r="L5" s="2">
        <v>3.9329999999999998</v>
      </c>
      <c r="M5" s="2">
        <v>3.831</v>
      </c>
      <c r="N5" s="2">
        <v>4.0190000000000001</v>
      </c>
      <c r="O5" s="2">
        <v>3.8650000000000002</v>
      </c>
      <c r="P5" s="2">
        <v>3.8359999999999999</v>
      </c>
      <c r="Q5" s="2">
        <v>3.802</v>
      </c>
      <c r="R5" s="2">
        <f>SUM(J5:Q5)</f>
        <v>31.249000000000002</v>
      </c>
    </row>
    <row r="6" spans="7:20" x14ac:dyDescent="0.25">
      <c r="I6" s="2" t="s">
        <v>56</v>
      </c>
      <c r="J6" s="3">
        <f t="shared" ref="J6:R6" si="0">MAX(J15:J97)</f>
        <v>3.964</v>
      </c>
      <c r="K6" s="3">
        <f t="shared" si="0"/>
        <v>3.9740000000000002</v>
      </c>
      <c r="L6" s="3">
        <f t="shared" si="0"/>
        <v>3.8940000000000001</v>
      </c>
      <c r="M6" s="3">
        <f t="shared" si="0"/>
        <v>3.8330000000000002</v>
      </c>
      <c r="N6" s="3">
        <f t="shared" si="0"/>
        <v>4.0949999999999998</v>
      </c>
      <c r="O6" s="3">
        <f t="shared" si="0"/>
        <v>3.9820000000000002</v>
      </c>
      <c r="P6" s="3">
        <f t="shared" si="0"/>
        <v>3.8450000000000002</v>
      </c>
      <c r="Q6" s="3">
        <f t="shared" si="0"/>
        <v>3.9079999999999999</v>
      </c>
      <c r="R6" s="3">
        <f t="shared" si="0"/>
        <v>31.420999999999999</v>
      </c>
    </row>
    <row r="7" spans="7:20" x14ac:dyDescent="0.25">
      <c r="I7" s="2" t="s">
        <v>57</v>
      </c>
      <c r="J7" s="3">
        <f t="shared" ref="J7:R7" si="1">MIN(J15:J97)</f>
        <v>3.9540000000000002</v>
      </c>
      <c r="K7" s="3">
        <f t="shared" si="1"/>
        <v>3.9609999999999999</v>
      </c>
      <c r="L7" s="3">
        <f t="shared" si="1"/>
        <v>3.8740000000000001</v>
      </c>
      <c r="M7" s="3">
        <f t="shared" si="1"/>
        <v>3.794</v>
      </c>
      <c r="N7" s="3">
        <f t="shared" si="1"/>
        <v>4.0579999999999998</v>
      </c>
      <c r="O7" s="3">
        <f t="shared" si="1"/>
        <v>3.9529999999999998</v>
      </c>
      <c r="P7" s="3">
        <f t="shared" si="1"/>
        <v>3.8130000000000002</v>
      </c>
      <c r="Q7" s="3">
        <f t="shared" si="1"/>
        <v>3.8690000000000002</v>
      </c>
      <c r="R7" s="3">
        <f t="shared" si="1"/>
        <v>31.364000000000001</v>
      </c>
    </row>
    <row r="8" spans="7:20" x14ac:dyDescent="0.25">
      <c r="I8" s="2" t="s">
        <v>58</v>
      </c>
      <c r="J8" s="3">
        <f>MIN(J15:J98)</f>
        <v>3.9540000000000002</v>
      </c>
      <c r="K8" s="3">
        <f t="shared" ref="K8:R8" si="2">AVERAGE(K15:K97)</f>
        <v>3.968851851851853</v>
      </c>
      <c r="L8" s="3">
        <f t="shared" si="2"/>
        <v>3.8858518518518501</v>
      </c>
      <c r="M8" s="3">
        <f t="shared" si="2"/>
        <v>3.8061481481481447</v>
      </c>
      <c r="N8" s="3">
        <f t="shared" si="2"/>
        <v>4.081234567901241</v>
      </c>
      <c r="O8" s="3">
        <f t="shared" si="2"/>
        <v>3.9582962962962922</v>
      </c>
      <c r="P8" s="3">
        <f t="shared" si="2"/>
        <v>3.8396666666666648</v>
      </c>
      <c r="Q8" s="3">
        <f t="shared" si="2"/>
        <v>3.9023827160493774</v>
      </c>
      <c r="R8" s="3">
        <f t="shared" si="2"/>
        <v>31.402358024691338</v>
      </c>
    </row>
    <row r="9" spans="7:20" x14ac:dyDescent="0.25">
      <c r="I9" s="2" t="s">
        <v>59</v>
      </c>
      <c r="J9" s="3">
        <f t="shared" ref="J9:R9" si="3">J8-J5</f>
        <v>-3.6999999999999922E-2</v>
      </c>
      <c r="K9" s="3">
        <f t="shared" si="3"/>
        <v>-3.1481481481470119E-3</v>
      </c>
      <c r="L9" s="3">
        <f t="shared" si="3"/>
        <v>-4.7148148148149716E-2</v>
      </c>
      <c r="M9" s="3">
        <f t="shared" si="3"/>
        <v>-2.4851851851855233E-2</v>
      </c>
      <c r="N9" s="3">
        <f t="shared" si="3"/>
        <v>6.2234567901240823E-2</v>
      </c>
      <c r="O9" s="3">
        <f t="shared" si="3"/>
        <v>9.3296296296291992E-2</v>
      </c>
      <c r="P9" s="3">
        <f t="shared" si="3"/>
        <v>3.6666666666649306E-3</v>
      </c>
      <c r="Q9" s="3">
        <f t="shared" si="3"/>
        <v>0.10038271604937732</v>
      </c>
      <c r="R9" s="3">
        <f t="shared" si="3"/>
        <v>0.15335802469133597</v>
      </c>
      <c r="S9" s="3" cm="1">
        <f t="array" ref="S9">MAX(ABS(Table1[[#This Row],[CELL 1]:[CELL 8]]))</f>
        <v>0.10038271604937732</v>
      </c>
    </row>
    <row r="10" spans="7:20" x14ac:dyDescent="0.25">
      <c r="I10" s="6" t="s">
        <v>60</v>
      </c>
      <c r="J10" s="7">
        <f t="shared" ref="J10:R10" si="4">ABS(J9/J5)</f>
        <v>9.2708594337258636E-3</v>
      </c>
      <c r="K10" s="7">
        <f t="shared" si="4"/>
        <v>7.9258513296752572E-4</v>
      </c>
      <c r="L10" s="7">
        <f t="shared" si="4"/>
        <v>1.198783324387229E-2</v>
      </c>
      <c r="M10" s="7">
        <f t="shared" si="4"/>
        <v>6.4870404207400768E-3</v>
      </c>
      <c r="N10" s="7">
        <f t="shared" si="4"/>
        <v>1.5485087808221155E-2</v>
      </c>
      <c r="O10" s="7">
        <f t="shared" si="4"/>
        <v>2.4138757127113063E-2</v>
      </c>
      <c r="P10" s="7">
        <f t="shared" si="4"/>
        <v>9.5585679527240115E-4</v>
      </c>
      <c r="Q10" s="7">
        <f t="shared" si="4"/>
        <v>2.6402608113986668E-2</v>
      </c>
      <c r="R10" s="7">
        <f t="shared" si="4"/>
        <v>4.9076138337654316E-3</v>
      </c>
      <c r="S10" s="7" cm="1">
        <f t="array" ref="S10">MAX(ABS(Table1[[#This Row],[CELL 1]:[CELL 8]]))</f>
        <v>2.6402608113986668E-2</v>
      </c>
    </row>
    <row r="11" spans="7:20" x14ac:dyDescent="0.25">
      <c r="I11" s="2" t="s">
        <v>61</v>
      </c>
      <c r="J11" s="2">
        <f t="shared" ref="J11:R11" si="5">MAX(ABS(J7-J5),ABS(J6-J5))</f>
        <v>3.6999999999999922E-2</v>
      </c>
      <c r="K11" s="2">
        <f t="shared" si="5"/>
        <v>1.1000000000000121E-2</v>
      </c>
      <c r="L11" s="2">
        <f t="shared" si="5"/>
        <v>5.8999999999999719E-2</v>
      </c>
      <c r="M11" s="2">
        <f t="shared" si="5"/>
        <v>3.6999999999999922E-2</v>
      </c>
      <c r="N11" s="2">
        <f t="shared" si="5"/>
        <v>7.5999999999999623E-2</v>
      </c>
      <c r="O11" s="2">
        <f t="shared" si="5"/>
        <v>0.11699999999999999</v>
      </c>
      <c r="P11" s="2">
        <f t="shared" si="5"/>
        <v>2.2999999999999687E-2</v>
      </c>
      <c r="Q11" s="2">
        <f t="shared" si="5"/>
        <v>0.10599999999999987</v>
      </c>
      <c r="R11" s="2">
        <f t="shared" si="5"/>
        <v>0.17199999999999704</v>
      </c>
      <c r="S11" s="3" cm="1">
        <f t="array" ref="S11">MAX(ABS(Table1[[#This Row],[CELL 1]:[CELL 8]]))</f>
        <v>0.11699999999999999</v>
      </c>
    </row>
    <row r="12" spans="7:20" x14ac:dyDescent="0.25">
      <c r="I12" s="6" t="s">
        <v>60</v>
      </c>
      <c r="J12" s="7">
        <f t="shared" ref="J12:R12" si="6">J11/J5</f>
        <v>9.2708594337258636E-3</v>
      </c>
      <c r="K12" s="7">
        <f t="shared" si="6"/>
        <v>2.7693856998993256E-3</v>
      </c>
      <c r="L12" s="7">
        <f t="shared" si="6"/>
        <v>1.5001271294177401E-2</v>
      </c>
      <c r="M12" s="7">
        <f t="shared" si="6"/>
        <v>9.6580527277473037E-3</v>
      </c>
      <c r="N12" s="7">
        <f t="shared" si="6"/>
        <v>1.8910176660860815E-2</v>
      </c>
      <c r="O12" s="7">
        <f t="shared" si="6"/>
        <v>3.0271668822768431E-2</v>
      </c>
      <c r="P12" s="7">
        <f t="shared" si="6"/>
        <v>5.9958289885296374E-3</v>
      </c>
      <c r="Q12" s="7">
        <f t="shared" si="6"/>
        <v>2.788006312467119E-2</v>
      </c>
      <c r="R12" s="7">
        <f t="shared" si="6"/>
        <v>5.5041761336361815E-3</v>
      </c>
      <c r="S12" s="7" cm="1">
        <f t="array" ref="S12">MAX(ABS(Table1[[#This Row],[CELL 1]:[CELL 8]]))</f>
        <v>3.0271668822768431E-2</v>
      </c>
    </row>
    <row r="13" spans="7:20" x14ac:dyDescent="0.25">
      <c r="S13" s="8">
        <f>AVERAGE(S15:S97)</f>
        <v>22.499999999999982</v>
      </c>
    </row>
    <row r="14" spans="7:20" x14ac:dyDescent="0.25">
      <c r="G14" s="15" t="s">
        <v>62</v>
      </c>
      <c r="H14" s="9" t="s">
        <v>63</v>
      </c>
      <c r="I14" s="12" t="s">
        <v>64</v>
      </c>
      <c r="J14" s="10" t="s">
        <v>45</v>
      </c>
      <c r="K14" s="12" t="s">
        <v>46</v>
      </c>
      <c r="L14" s="10" t="s">
        <v>47</v>
      </c>
      <c r="M14" s="12" t="s">
        <v>48</v>
      </c>
      <c r="N14" s="10" t="s">
        <v>49</v>
      </c>
      <c r="O14" s="12" t="s">
        <v>50</v>
      </c>
      <c r="P14" s="10" t="s">
        <v>51</v>
      </c>
      <c r="Q14" s="12" t="s">
        <v>52</v>
      </c>
      <c r="R14" s="10" t="s">
        <v>53</v>
      </c>
      <c r="S14" s="12" t="s">
        <v>65</v>
      </c>
      <c r="T14" s="10" t="s">
        <v>66</v>
      </c>
    </row>
    <row r="15" spans="7:20" x14ac:dyDescent="0.25">
      <c r="G15" s="15">
        <v>12537</v>
      </c>
      <c r="H15" s="9">
        <v>1</v>
      </c>
      <c r="I15" s="12">
        <f>FLOOR((G15/1000)-12, 1)</f>
        <v>0</v>
      </c>
      <c r="J15" s="11">
        <v>3.964</v>
      </c>
      <c r="K15" s="14">
        <v>3.9740000000000002</v>
      </c>
      <c r="L15" s="11">
        <v>3.8940000000000001</v>
      </c>
      <c r="M15" s="14">
        <v>3.819</v>
      </c>
      <c r="N15" s="11">
        <v>4.0670000000000002</v>
      </c>
      <c r="O15" s="14">
        <v>3.9820000000000002</v>
      </c>
      <c r="P15" s="11">
        <v>3.8450000000000002</v>
      </c>
      <c r="Q15" s="14">
        <v>3.8759999999999999</v>
      </c>
      <c r="R15" s="11">
        <v>31.420999999999999</v>
      </c>
      <c r="S15" s="13">
        <v>22.4</v>
      </c>
      <c r="T15" s="11">
        <v>-2.5999999999999999E-2</v>
      </c>
    </row>
    <row r="16" spans="7:20" x14ac:dyDescent="0.25">
      <c r="G16" s="15">
        <v>17543</v>
      </c>
      <c r="H16" s="9">
        <v>2</v>
      </c>
      <c r="I16" s="12">
        <f t="shared" ref="I16:I55" si="7">FLOOR((G16/1000)-12, 1)</f>
        <v>5</v>
      </c>
      <c r="J16" s="11">
        <v>3.964</v>
      </c>
      <c r="K16" s="14">
        <v>3.9740000000000002</v>
      </c>
      <c r="L16" s="11">
        <v>3.8940000000000001</v>
      </c>
      <c r="M16" s="14">
        <v>3.8010000000000002</v>
      </c>
      <c r="N16" s="11">
        <v>4.0670000000000002</v>
      </c>
      <c r="O16" s="14">
        <v>3.9820000000000002</v>
      </c>
      <c r="P16" s="11">
        <v>3.8450000000000002</v>
      </c>
      <c r="Q16" s="14">
        <v>3.8759999999999999</v>
      </c>
      <c r="R16" s="11">
        <v>31.402999999999999</v>
      </c>
      <c r="S16" s="13">
        <v>22.4</v>
      </c>
      <c r="T16" s="11">
        <v>-2.8000000000000001E-2</v>
      </c>
    </row>
    <row r="17" spans="7:20" x14ac:dyDescent="0.25">
      <c r="G17" s="15">
        <v>22545</v>
      </c>
      <c r="H17" s="9">
        <v>3</v>
      </c>
      <c r="I17" s="12">
        <f t="shared" si="7"/>
        <v>10</v>
      </c>
      <c r="J17" s="11">
        <v>3.964</v>
      </c>
      <c r="K17" s="14">
        <v>3.9740000000000002</v>
      </c>
      <c r="L17" s="11">
        <v>3.88</v>
      </c>
      <c r="M17" s="14">
        <v>3.8149999999999999</v>
      </c>
      <c r="N17" s="11">
        <v>4.0949999999999998</v>
      </c>
      <c r="O17" s="14">
        <v>3.9550000000000001</v>
      </c>
      <c r="P17" s="11">
        <v>3.8450000000000002</v>
      </c>
      <c r="Q17" s="14">
        <v>3.8759999999999999</v>
      </c>
      <c r="R17" s="11">
        <v>31.404</v>
      </c>
      <c r="S17" s="13">
        <v>22.4</v>
      </c>
      <c r="T17" s="11">
        <v>-2.9000000000000001E-2</v>
      </c>
    </row>
    <row r="18" spans="7:20" x14ac:dyDescent="0.25">
      <c r="G18" s="15">
        <v>27548</v>
      </c>
      <c r="H18" s="9">
        <v>4</v>
      </c>
      <c r="I18" s="12">
        <f t="shared" si="7"/>
        <v>15</v>
      </c>
      <c r="J18" s="11">
        <v>3.9590000000000001</v>
      </c>
      <c r="K18" s="14">
        <v>3.97</v>
      </c>
      <c r="L18" s="11">
        <v>3.8740000000000001</v>
      </c>
      <c r="M18" s="14">
        <v>3.8119999999999998</v>
      </c>
      <c r="N18" s="11">
        <v>4.085</v>
      </c>
      <c r="O18" s="14">
        <v>3.9540000000000002</v>
      </c>
      <c r="P18" s="11">
        <v>3.8410000000000002</v>
      </c>
      <c r="Q18" s="14">
        <v>3.9079999999999999</v>
      </c>
      <c r="R18" s="11">
        <v>31.402999999999999</v>
      </c>
      <c r="S18" s="13">
        <v>22.5</v>
      </c>
      <c r="T18" s="11">
        <v>-2.4E-2</v>
      </c>
    </row>
    <row r="19" spans="7:20" x14ac:dyDescent="0.25">
      <c r="G19" s="15">
        <v>32553</v>
      </c>
      <c r="H19" s="9">
        <v>5</v>
      </c>
      <c r="I19" s="12">
        <f t="shared" si="7"/>
        <v>20</v>
      </c>
      <c r="J19" s="11">
        <v>3.9590000000000001</v>
      </c>
      <c r="K19" s="14">
        <v>3.97</v>
      </c>
      <c r="L19" s="11">
        <v>3.8740000000000001</v>
      </c>
      <c r="M19" s="14">
        <v>3.8119999999999998</v>
      </c>
      <c r="N19" s="11">
        <v>4.085</v>
      </c>
      <c r="O19" s="14">
        <v>3.9540000000000002</v>
      </c>
      <c r="P19" s="11">
        <v>3.8410000000000002</v>
      </c>
      <c r="Q19" s="14">
        <v>3.9079999999999999</v>
      </c>
      <c r="R19" s="11">
        <v>31.402999999999999</v>
      </c>
      <c r="S19" s="13">
        <v>22.4</v>
      </c>
      <c r="T19" s="11">
        <v>-2.5000000000000001E-2</v>
      </c>
    </row>
    <row r="20" spans="7:20" x14ac:dyDescent="0.25">
      <c r="G20" s="15">
        <v>37595</v>
      </c>
      <c r="H20" s="9">
        <v>6</v>
      </c>
      <c r="I20" s="12">
        <f t="shared" si="7"/>
        <v>25</v>
      </c>
      <c r="J20" s="11">
        <v>3.9590000000000001</v>
      </c>
      <c r="K20" s="14">
        <v>3.97</v>
      </c>
      <c r="L20" s="11">
        <v>3.8740000000000001</v>
      </c>
      <c r="M20" s="14">
        <v>3.8119999999999998</v>
      </c>
      <c r="N20" s="11">
        <v>4.085</v>
      </c>
      <c r="O20" s="14">
        <v>3.9540000000000002</v>
      </c>
      <c r="P20" s="11">
        <v>3.8410000000000002</v>
      </c>
      <c r="Q20" s="14">
        <v>3.9079999999999999</v>
      </c>
      <c r="R20" s="11">
        <v>31.402999999999999</v>
      </c>
      <c r="S20" s="13">
        <v>22.4</v>
      </c>
      <c r="T20" s="11">
        <v>-2.8000000000000001E-2</v>
      </c>
    </row>
    <row r="21" spans="7:20" x14ac:dyDescent="0.25">
      <c r="G21" s="15">
        <v>42607</v>
      </c>
      <c r="H21" s="9">
        <v>7</v>
      </c>
      <c r="I21" s="12">
        <f t="shared" si="7"/>
        <v>30</v>
      </c>
      <c r="J21" s="11">
        <v>3.964</v>
      </c>
      <c r="K21" s="14">
        <v>3.9740000000000002</v>
      </c>
      <c r="L21" s="11">
        <v>3.8940000000000001</v>
      </c>
      <c r="M21" s="14">
        <v>3.8010000000000002</v>
      </c>
      <c r="N21" s="11">
        <v>4.085</v>
      </c>
      <c r="O21" s="14">
        <v>3.9540000000000002</v>
      </c>
      <c r="P21" s="11">
        <v>3.8410000000000002</v>
      </c>
      <c r="Q21" s="14">
        <v>3.9079999999999999</v>
      </c>
      <c r="R21" s="11">
        <v>31.420999999999999</v>
      </c>
      <c r="S21" s="13">
        <v>22.5</v>
      </c>
      <c r="T21" s="11">
        <v>-3.6999999999999998E-2</v>
      </c>
    </row>
    <row r="22" spans="7:20" x14ac:dyDescent="0.25">
      <c r="G22" s="15">
        <v>47609</v>
      </c>
      <c r="H22" s="9">
        <v>8</v>
      </c>
      <c r="I22" s="12">
        <f t="shared" si="7"/>
        <v>35</v>
      </c>
      <c r="J22" s="11">
        <v>3.9590000000000001</v>
      </c>
      <c r="K22" s="14">
        <v>3.97</v>
      </c>
      <c r="L22" s="11">
        <v>3.8889999999999998</v>
      </c>
      <c r="M22" s="14">
        <v>3.7970000000000002</v>
      </c>
      <c r="N22" s="11">
        <v>4.085</v>
      </c>
      <c r="O22" s="14">
        <v>3.9540000000000002</v>
      </c>
      <c r="P22" s="11">
        <v>3.8410000000000002</v>
      </c>
      <c r="Q22" s="14">
        <v>3.9079999999999999</v>
      </c>
      <c r="R22" s="11">
        <v>31.402999999999999</v>
      </c>
      <c r="S22" s="13">
        <v>22.4</v>
      </c>
      <c r="T22" s="11">
        <v>-3.3000000000000002E-2</v>
      </c>
    </row>
    <row r="23" spans="7:20" x14ac:dyDescent="0.25">
      <c r="G23" s="15">
        <v>52615</v>
      </c>
      <c r="H23" s="9">
        <v>9</v>
      </c>
      <c r="I23" s="12">
        <f t="shared" si="7"/>
        <v>40</v>
      </c>
      <c r="J23" s="11">
        <v>3.964</v>
      </c>
      <c r="K23" s="14">
        <v>3.9649999999999999</v>
      </c>
      <c r="L23" s="11">
        <v>3.8889999999999998</v>
      </c>
      <c r="M23" s="14">
        <v>3.8149999999999999</v>
      </c>
      <c r="N23" s="11">
        <v>4.085</v>
      </c>
      <c r="O23" s="14">
        <v>3.9540000000000002</v>
      </c>
      <c r="P23" s="11">
        <v>3.8410000000000002</v>
      </c>
      <c r="Q23" s="14">
        <v>3.9079999999999999</v>
      </c>
      <c r="R23" s="11">
        <v>31.420999999999999</v>
      </c>
      <c r="S23" s="13">
        <v>22.5</v>
      </c>
      <c r="T23" s="11">
        <v>-4.3999999999999997E-2</v>
      </c>
    </row>
    <row r="24" spans="7:20" x14ac:dyDescent="0.25">
      <c r="G24" s="15">
        <v>57622</v>
      </c>
      <c r="H24" s="9">
        <v>10</v>
      </c>
      <c r="I24" s="12">
        <f t="shared" si="7"/>
        <v>45</v>
      </c>
      <c r="J24" s="11">
        <v>3.9590000000000001</v>
      </c>
      <c r="K24" s="14">
        <v>3.97</v>
      </c>
      <c r="L24" s="11">
        <v>3.8889999999999998</v>
      </c>
      <c r="M24" s="14">
        <v>3.7970000000000002</v>
      </c>
      <c r="N24" s="11">
        <v>4.085</v>
      </c>
      <c r="O24" s="14">
        <v>3.9540000000000002</v>
      </c>
      <c r="P24" s="11">
        <v>3.8410000000000002</v>
      </c>
      <c r="Q24" s="14">
        <v>3.9079999999999999</v>
      </c>
      <c r="R24" s="11">
        <v>31.402999999999999</v>
      </c>
      <c r="S24" s="13">
        <v>22.4</v>
      </c>
      <c r="T24" s="11">
        <v>-2.1000000000000001E-2</v>
      </c>
    </row>
    <row r="25" spans="7:20" x14ac:dyDescent="0.25">
      <c r="G25" s="15">
        <v>62623</v>
      </c>
      <c r="H25" s="9">
        <v>11</v>
      </c>
      <c r="I25" s="12">
        <f t="shared" si="7"/>
        <v>50</v>
      </c>
      <c r="J25" s="11">
        <v>3.9590000000000001</v>
      </c>
      <c r="K25" s="14">
        <v>3.97</v>
      </c>
      <c r="L25" s="11">
        <v>3.8889999999999998</v>
      </c>
      <c r="M25" s="14">
        <v>3.7970000000000002</v>
      </c>
      <c r="N25" s="11">
        <v>4.085</v>
      </c>
      <c r="O25" s="14">
        <v>3.9540000000000002</v>
      </c>
      <c r="P25" s="11">
        <v>3.8410000000000002</v>
      </c>
      <c r="Q25" s="14">
        <v>3.9079999999999999</v>
      </c>
      <c r="R25" s="11">
        <v>31.402999999999999</v>
      </c>
      <c r="S25" s="13">
        <v>22.5</v>
      </c>
      <c r="T25" s="11">
        <v>-3.7999999999999999E-2</v>
      </c>
    </row>
    <row r="26" spans="7:20" x14ac:dyDescent="0.25">
      <c r="G26" s="15">
        <v>67660</v>
      </c>
      <c r="H26" s="9">
        <v>12</v>
      </c>
      <c r="I26" s="12">
        <f t="shared" si="7"/>
        <v>55</v>
      </c>
      <c r="J26" s="11">
        <v>3.9590000000000001</v>
      </c>
      <c r="K26" s="14">
        <v>3.97</v>
      </c>
      <c r="L26" s="11">
        <v>3.8889999999999998</v>
      </c>
      <c r="M26" s="14">
        <v>3.7970000000000002</v>
      </c>
      <c r="N26" s="11">
        <v>4.085</v>
      </c>
      <c r="O26" s="14">
        <v>3.9540000000000002</v>
      </c>
      <c r="P26" s="11">
        <v>3.8410000000000002</v>
      </c>
      <c r="Q26" s="14">
        <v>3.9079999999999999</v>
      </c>
      <c r="R26" s="11">
        <v>31.402999999999999</v>
      </c>
      <c r="S26" s="13">
        <v>22.4</v>
      </c>
      <c r="T26" s="11">
        <v>-3.2000000000000001E-2</v>
      </c>
    </row>
    <row r="27" spans="7:20" x14ac:dyDescent="0.25">
      <c r="G27" s="15">
        <v>72661</v>
      </c>
      <c r="H27" s="9">
        <v>13</v>
      </c>
      <c r="I27" s="12">
        <f t="shared" si="7"/>
        <v>60</v>
      </c>
      <c r="J27" s="11">
        <v>3.9590000000000001</v>
      </c>
      <c r="K27" s="14">
        <v>3.97</v>
      </c>
      <c r="L27" s="11">
        <v>3.8740000000000001</v>
      </c>
      <c r="M27" s="14">
        <v>3.8119999999999998</v>
      </c>
      <c r="N27" s="11">
        <v>4.085</v>
      </c>
      <c r="O27" s="14">
        <v>3.9540000000000002</v>
      </c>
      <c r="P27" s="11">
        <v>3.8410000000000002</v>
      </c>
      <c r="Q27" s="14">
        <v>3.9079999999999999</v>
      </c>
      <c r="R27" s="11">
        <v>31.402999999999999</v>
      </c>
      <c r="S27" s="13">
        <v>22.5</v>
      </c>
      <c r="T27" s="11">
        <v>-2.4E-2</v>
      </c>
    </row>
    <row r="28" spans="7:20" x14ac:dyDescent="0.25">
      <c r="G28" s="15">
        <v>77665</v>
      </c>
      <c r="H28" s="9">
        <v>14</v>
      </c>
      <c r="I28" s="12">
        <f t="shared" si="7"/>
        <v>65</v>
      </c>
      <c r="J28" s="11">
        <v>3.9590000000000001</v>
      </c>
      <c r="K28" s="14">
        <v>3.97</v>
      </c>
      <c r="L28" s="11">
        <v>3.8889999999999998</v>
      </c>
      <c r="M28" s="14">
        <v>3.7970000000000002</v>
      </c>
      <c r="N28" s="11">
        <v>4.085</v>
      </c>
      <c r="O28" s="14">
        <v>3.9540000000000002</v>
      </c>
      <c r="P28" s="11">
        <v>3.8410000000000002</v>
      </c>
      <c r="Q28" s="14">
        <v>3.9079999999999999</v>
      </c>
      <c r="R28" s="11">
        <v>31.402999999999999</v>
      </c>
      <c r="S28" s="13">
        <v>22.5</v>
      </c>
      <c r="T28" s="11">
        <v>-4.7E-2</v>
      </c>
    </row>
    <row r="29" spans="7:20" x14ac:dyDescent="0.25">
      <c r="G29" s="15">
        <v>82670</v>
      </c>
      <c r="H29" s="9">
        <v>15</v>
      </c>
      <c r="I29" s="12">
        <f t="shared" si="7"/>
        <v>70</v>
      </c>
      <c r="J29" s="11">
        <v>3.9590000000000001</v>
      </c>
      <c r="K29" s="14">
        <v>3.97</v>
      </c>
      <c r="L29" s="11">
        <v>3.8889999999999998</v>
      </c>
      <c r="M29" s="14">
        <v>3.7970000000000002</v>
      </c>
      <c r="N29" s="11">
        <v>4.085</v>
      </c>
      <c r="O29" s="14">
        <v>3.9540000000000002</v>
      </c>
      <c r="P29" s="11">
        <v>3.8410000000000002</v>
      </c>
      <c r="Q29" s="14">
        <v>3.9079999999999999</v>
      </c>
      <c r="R29" s="11">
        <v>31.402999999999999</v>
      </c>
      <c r="S29" s="13">
        <v>22.4</v>
      </c>
      <c r="T29" s="11">
        <v>-5.3999999999999999E-2</v>
      </c>
    </row>
    <row r="30" spans="7:20" x14ac:dyDescent="0.25">
      <c r="G30" s="15">
        <v>87678</v>
      </c>
      <c r="H30" s="9">
        <v>16</v>
      </c>
      <c r="I30" s="12">
        <f t="shared" si="7"/>
        <v>75</v>
      </c>
      <c r="J30" s="11">
        <v>3.9590000000000001</v>
      </c>
      <c r="K30" s="14">
        <v>3.97</v>
      </c>
      <c r="L30" s="11">
        <v>3.8889999999999998</v>
      </c>
      <c r="M30" s="14">
        <v>3.7970000000000002</v>
      </c>
      <c r="N30" s="11">
        <v>4.085</v>
      </c>
      <c r="O30" s="14">
        <v>3.9540000000000002</v>
      </c>
      <c r="P30" s="11">
        <v>3.8410000000000002</v>
      </c>
      <c r="Q30" s="14">
        <v>3.9079999999999999</v>
      </c>
      <c r="R30" s="11">
        <v>31.402999999999999</v>
      </c>
      <c r="S30" s="13">
        <v>22.4</v>
      </c>
      <c r="T30" s="11">
        <v>-4.7E-2</v>
      </c>
    </row>
    <row r="31" spans="7:20" x14ac:dyDescent="0.25">
      <c r="G31" s="15">
        <v>92678</v>
      </c>
      <c r="H31" s="9">
        <v>17</v>
      </c>
      <c r="I31" s="12">
        <f t="shared" si="7"/>
        <v>80</v>
      </c>
      <c r="J31" s="11">
        <v>3.9590000000000001</v>
      </c>
      <c r="K31" s="14">
        <v>3.97</v>
      </c>
      <c r="L31" s="11">
        <v>3.8889999999999998</v>
      </c>
      <c r="M31" s="14">
        <v>3.7970000000000002</v>
      </c>
      <c r="N31" s="11">
        <v>4.085</v>
      </c>
      <c r="O31" s="14">
        <v>3.9540000000000002</v>
      </c>
      <c r="P31" s="11">
        <v>3.8410000000000002</v>
      </c>
      <c r="Q31" s="14">
        <v>3.9079999999999999</v>
      </c>
      <c r="R31" s="11">
        <v>31.402999999999999</v>
      </c>
      <c r="S31" s="13">
        <v>22.5</v>
      </c>
      <c r="T31" s="11">
        <v>-5.0999999999999997E-2</v>
      </c>
    </row>
    <row r="32" spans="7:20" x14ac:dyDescent="0.25">
      <c r="G32" s="15">
        <v>97735</v>
      </c>
      <c r="H32" s="9">
        <v>18</v>
      </c>
      <c r="I32" s="12">
        <f t="shared" si="7"/>
        <v>85</v>
      </c>
      <c r="J32" s="11">
        <v>3.9590000000000001</v>
      </c>
      <c r="K32" s="14">
        <v>3.97</v>
      </c>
      <c r="L32" s="11">
        <v>3.8889999999999998</v>
      </c>
      <c r="M32" s="14">
        <v>3.7970000000000002</v>
      </c>
      <c r="N32" s="11">
        <v>4.085</v>
      </c>
      <c r="O32" s="14">
        <v>3.9540000000000002</v>
      </c>
      <c r="P32" s="11">
        <v>3.8410000000000002</v>
      </c>
      <c r="Q32" s="14">
        <v>3.9079999999999999</v>
      </c>
      <c r="R32" s="11">
        <v>31.402999999999999</v>
      </c>
      <c r="S32" s="13">
        <v>22.4</v>
      </c>
      <c r="T32" s="11">
        <v>-0.05</v>
      </c>
    </row>
    <row r="33" spans="7:20" x14ac:dyDescent="0.25">
      <c r="G33" s="15">
        <v>102736</v>
      </c>
      <c r="H33" s="9">
        <v>19</v>
      </c>
      <c r="I33" s="12">
        <f t="shared" si="7"/>
        <v>90</v>
      </c>
      <c r="J33" s="11">
        <v>3.9590000000000001</v>
      </c>
      <c r="K33" s="14">
        <v>3.97</v>
      </c>
      <c r="L33" s="11">
        <v>3.8889999999999998</v>
      </c>
      <c r="M33" s="14">
        <v>3.7970000000000002</v>
      </c>
      <c r="N33" s="11">
        <v>4.085</v>
      </c>
      <c r="O33" s="14">
        <v>3.9540000000000002</v>
      </c>
      <c r="P33" s="11">
        <v>3.8410000000000002</v>
      </c>
      <c r="Q33" s="14">
        <v>3.9079999999999999</v>
      </c>
      <c r="R33" s="11">
        <v>31.402999999999999</v>
      </c>
      <c r="S33" s="13">
        <v>22.5</v>
      </c>
      <c r="T33" s="11">
        <v>-0.05</v>
      </c>
    </row>
    <row r="34" spans="7:20" x14ac:dyDescent="0.25">
      <c r="G34" s="15">
        <v>107740</v>
      </c>
      <c r="H34" s="9">
        <v>20</v>
      </c>
      <c r="I34" s="12">
        <f t="shared" si="7"/>
        <v>95</v>
      </c>
      <c r="J34" s="11">
        <v>3.9590000000000001</v>
      </c>
      <c r="K34" s="14">
        <v>3.97</v>
      </c>
      <c r="L34" s="11">
        <v>3.8889999999999998</v>
      </c>
      <c r="M34" s="14">
        <v>3.8149999999999999</v>
      </c>
      <c r="N34" s="11">
        <v>4.085</v>
      </c>
      <c r="O34" s="14">
        <v>3.9540000000000002</v>
      </c>
      <c r="P34" s="11">
        <v>3.8410000000000002</v>
      </c>
      <c r="Q34" s="14">
        <v>3.9079999999999999</v>
      </c>
      <c r="R34" s="11">
        <v>31.420999999999999</v>
      </c>
      <c r="S34" s="13">
        <v>22.5</v>
      </c>
      <c r="T34" s="11">
        <v>-5.2999999999999999E-2</v>
      </c>
    </row>
    <row r="35" spans="7:20" x14ac:dyDescent="0.25">
      <c r="G35" s="15">
        <v>112746</v>
      </c>
      <c r="H35" s="9">
        <v>21</v>
      </c>
      <c r="I35" s="12">
        <f t="shared" si="7"/>
        <v>100</v>
      </c>
      <c r="J35" s="11">
        <v>3.9590000000000001</v>
      </c>
      <c r="K35" s="14">
        <v>3.97</v>
      </c>
      <c r="L35" s="11">
        <v>3.8889999999999998</v>
      </c>
      <c r="M35" s="14">
        <v>3.7970000000000002</v>
      </c>
      <c r="N35" s="11">
        <v>4.085</v>
      </c>
      <c r="O35" s="14">
        <v>3.9540000000000002</v>
      </c>
      <c r="P35" s="11">
        <v>3.8410000000000002</v>
      </c>
      <c r="Q35" s="14">
        <v>3.9079999999999999</v>
      </c>
      <c r="R35" s="11">
        <v>31.402999999999999</v>
      </c>
      <c r="S35" s="13">
        <v>22.5</v>
      </c>
      <c r="T35" s="11">
        <v>-5.8000000000000003E-2</v>
      </c>
    </row>
    <row r="36" spans="7:20" x14ac:dyDescent="0.25">
      <c r="G36" s="15">
        <v>117754</v>
      </c>
      <c r="H36" s="9">
        <v>22</v>
      </c>
      <c r="I36" s="12">
        <f t="shared" si="7"/>
        <v>105</v>
      </c>
      <c r="J36" s="11">
        <v>3.964</v>
      </c>
      <c r="K36" s="14">
        <v>3.9649999999999999</v>
      </c>
      <c r="L36" s="11">
        <v>3.8889999999999998</v>
      </c>
      <c r="M36" s="14">
        <v>3.7970000000000002</v>
      </c>
      <c r="N36" s="11">
        <v>4.085</v>
      </c>
      <c r="O36" s="14">
        <v>3.9540000000000002</v>
      </c>
      <c r="P36" s="11">
        <v>3.8410000000000002</v>
      </c>
      <c r="Q36" s="14">
        <v>3.9079999999999999</v>
      </c>
      <c r="R36" s="11">
        <v>31.402999999999999</v>
      </c>
      <c r="S36" s="13">
        <v>22.5</v>
      </c>
      <c r="T36" s="11">
        <v>-3.7999999999999999E-2</v>
      </c>
    </row>
    <row r="37" spans="7:20" x14ac:dyDescent="0.25">
      <c r="G37" s="15">
        <v>122754</v>
      </c>
      <c r="H37" s="9">
        <v>23</v>
      </c>
      <c r="I37" s="12">
        <f t="shared" si="7"/>
        <v>110</v>
      </c>
      <c r="J37" s="11">
        <v>3.9590000000000001</v>
      </c>
      <c r="K37" s="14">
        <v>3.97</v>
      </c>
      <c r="L37" s="11">
        <v>3.8889999999999998</v>
      </c>
      <c r="M37" s="14">
        <v>3.7970000000000002</v>
      </c>
      <c r="N37" s="11">
        <v>4.085</v>
      </c>
      <c r="O37" s="14">
        <v>3.9540000000000002</v>
      </c>
      <c r="P37" s="11">
        <v>3.8410000000000002</v>
      </c>
      <c r="Q37" s="14">
        <v>3.9079999999999999</v>
      </c>
      <c r="R37" s="11">
        <v>31.402999999999999</v>
      </c>
      <c r="S37" s="13">
        <v>22.5</v>
      </c>
      <c r="T37" s="11">
        <v>-6.8000000000000005E-2</v>
      </c>
    </row>
    <row r="38" spans="7:20" x14ac:dyDescent="0.25">
      <c r="G38" s="15">
        <v>127811</v>
      </c>
      <c r="H38" s="9">
        <v>24</v>
      </c>
      <c r="I38" s="12">
        <f t="shared" si="7"/>
        <v>115</v>
      </c>
      <c r="J38" s="11">
        <v>3.964</v>
      </c>
      <c r="K38" s="14">
        <v>3.9649999999999999</v>
      </c>
      <c r="L38" s="11">
        <v>3.8889999999999998</v>
      </c>
      <c r="M38" s="14">
        <v>3.8149999999999999</v>
      </c>
      <c r="N38" s="11">
        <v>4.085</v>
      </c>
      <c r="O38" s="14">
        <v>3.9540000000000002</v>
      </c>
      <c r="P38" s="11">
        <v>3.8410000000000002</v>
      </c>
      <c r="Q38" s="14">
        <v>3.9079999999999999</v>
      </c>
      <c r="R38" s="11">
        <v>31.420999999999999</v>
      </c>
      <c r="S38" s="13">
        <v>22.5</v>
      </c>
      <c r="T38" s="11">
        <v>-6.0999999999999999E-2</v>
      </c>
    </row>
    <row r="39" spans="7:20" x14ac:dyDescent="0.25">
      <c r="G39" s="15">
        <v>132812</v>
      </c>
      <c r="H39" s="9">
        <v>25</v>
      </c>
      <c r="I39" s="12">
        <f t="shared" si="7"/>
        <v>120</v>
      </c>
      <c r="J39" s="11">
        <v>3.9590000000000001</v>
      </c>
      <c r="K39" s="14">
        <v>3.97</v>
      </c>
      <c r="L39" s="11">
        <v>3.8889999999999998</v>
      </c>
      <c r="M39" s="14">
        <v>3.8149999999999999</v>
      </c>
      <c r="N39" s="11">
        <v>4.085</v>
      </c>
      <c r="O39" s="14">
        <v>3.9540000000000002</v>
      </c>
      <c r="P39" s="11">
        <v>3.8410000000000002</v>
      </c>
      <c r="Q39" s="14">
        <v>3.9079999999999999</v>
      </c>
      <c r="R39" s="11">
        <v>31.420999999999999</v>
      </c>
      <c r="S39" s="13">
        <v>22.5</v>
      </c>
      <c r="T39" s="11">
        <v>-6.4000000000000001E-2</v>
      </c>
    </row>
    <row r="40" spans="7:20" x14ac:dyDescent="0.25">
      <c r="G40" s="15">
        <v>137816</v>
      </c>
      <c r="H40" s="9">
        <v>26</v>
      </c>
      <c r="I40" s="12">
        <f t="shared" si="7"/>
        <v>125</v>
      </c>
      <c r="J40" s="11">
        <v>3.9590000000000001</v>
      </c>
      <c r="K40" s="14">
        <v>3.97</v>
      </c>
      <c r="L40" s="11">
        <v>3.8889999999999998</v>
      </c>
      <c r="M40" s="14">
        <v>3.7970000000000002</v>
      </c>
      <c r="N40" s="11">
        <v>4.085</v>
      </c>
      <c r="O40" s="14">
        <v>3.9540000000000002</v>
      </c>
      <c r="P40" s="11">
        <v>3.8410000000000002</v>
      </c>
      <c r="Q40" s="14">
        <v>3.9079999999999999</v>
      </c>
      <c r="R40" s="11">
        <v>31.402999999999999</v>
      </c>
      <c r="S40" s="13">
        <v>22.5</v>
      </c>
      <c r="T40" s="11">
        <v>-3.7999999999999999E-2</v>
      </c>
    </row>
    <row r="41" spans="7:20" x14ac:dyDescent="0.25">
      <c r="G41" s="15">
        <v>142822</v>
      </c>
      <c r="H41" s="9">
        <v>27</v>
      </c>
      <c r="I41" s="12">
        <f t="shared" si="7"/>
        <v>130</v>
      </c>
      <c r="J41" s="11">
        <v>3.9590000000000001</v>
      </c>
      <c r="K41" s="14">
        <v>3.97</v>
      </c>
      <c r="L41" s="11">
        <v>3.8889999999999998</v>
      </c>
      <c r="M41" s="14">
        <v>3.7970000000000002</v>
      </c>
      <c r="N41" s="11">
        <v>4.085</v>
      </c>
      <c r="O41" s="14">
        <v>3.9540000000000002</v>
      </c>
      <c r="P41" s="11">
        <v>3.8410000000000002</v>
      </c>
      <c r="Q41" s="14">
        <v>3.9079999999999999</v>
      </c>
      <c r="R41" s="11">
        <v>31.402999999999999</v>
      </c>
      <c r="S41" s="13">
        <v>22.5</v>
      </c>
      <c r="T41" s="11">
        <v>-6.0999999999999999E-2</v>
      </c>
    </row>
    <row r="42" spans="7:20" x14ac:dyDescent="0.25">
      <c r="G42" s="15">
        <v>147829</v>
      </c>
      <c r="H42" s="9">
        <v>28</v>
      </c>
      <c r="I42" s="12">
        <f t="shared" si="7"/>
        <v>135</v>
      </c>
      <c r="J42" s="11">
        <v>3.9590000000000001</v>
      </c>
      <c r="K42" s="14">
        <v>3.97</v>
      </c>
      <c r="L42" s="11">
        <v>3.8889999999999998</v>
      </c>
      <c r="M42" s="14">
        <v>3.7970000000000002</v>
      </c>
      <c r="N42" s="11">
        <v>4.085</v>
      </c>
      <c r="O42" s="14">
        <v>3.9540000000000002</v>
      </c>
      <c r="P42" s="11">
        <v>3.8410000000000002</v>
      </c>
      <c r="Q42" s="14">
        <v>3.9079999999999999</v>
      </c>
      <c r="R42" s="11">
        <v>31.402999999999999</v>
      </c>
      <c r="S42" s="13">
        <v>22.5</v>
      </c>
      <c r="T42" s="11">
        <v>-5.2999999999999999E-2</v>
      </c>
    </row>
    <row r="43" spans="7:20" x14ac:dyDescent="0.25">
      <c r="G43" s="15">
        <v>152830</v>
      </c>
      <c r="H43" s="9">
        <v>29</v>
      </c>
      <c r="I43" s="12">
        <f t="shared" si="7"/>
        <v>140</v>
      </c>
      <c r="J43" s="11">
        <v>3.9590000000000001</v>
      </c>
      <c r="K43" s="14">
        <v>3.97</v>
      </c>
      <c r="L43" s="11">
        <v>3.8889999999999998</v>
      </c>
      <c r="M43" s="14">
        <v>3.7970000000000002</v>
      </c>
      <c r="N43" s="11">
        <v>4.085</v>
      </c>
      <c r="O43" s="14">
        <v>3.9540000000000002</v>
      </c>
      <c r="P43" s="11">
        <v>3.8410000000000002</v>
      </c>
      <c r="Q43" s="14">
        <v>3.9079999999999999</v>
      </c>
      <c r="R43" s="11">
        <v>31.402999999999999</v>
      </c>
      <c r="S43" s="13">
        <v>22.5</v>
      </c>
      <c r="T43" s="11">
        <v>-6.9000000000000006E-2</v>
      </c>
    </row>
    <row r="44" spans="7:20" x14ac:dyDescent="0.25">
      <c r="G44" s="15">
        <v>157887</v>
      </c>
      <c r="H44" s="9">
        <v>30</v>
      </c>
      <c r="I44" s="12">
        <f t="shared" si="7"/>
        <v>145</v>
      </c>
      <c r="J44" s="11">
        <v>3.9590000000000001</v>
      </c>
      <c r="K44" s="14">
        <v>3.97</v>
      </c>
      <c r="L44" s="11">
        <v>3.8889999999999998</v>
      </c>
      <c r="M44" s="14">
        <v>3.7970000000000002</v>
      </c>
      <c r="N44" s="11">
        <v>4.085</v>
      </c>
      <c r="O44" s="14">
        <v>3.9540000000000002</v>
      </c>
      <c r="P44" s="11">
        <v>3.8410000000000002</v>
      </c>
      <c r="Q44" s="14">
        <v>3.9079999999999999</v>
      </c>
      <c r="R44" s="11">
        <v>31.402999999999999</v>
      </c>
      <c r="S44" s="13">
        <v>22.5</v>
      </c>
      <c r="T44" s="11">
        <v>-5.3999999999999999E-2</v>
      </c>
    </row>
    <row r="45" spans="7:20" x14ac:dyDescent="0.25">
      <c r="G45" s="15">
        <v>162889</v>
      </c>
      <c r="H45" s="9">
        <v>31</v>
      </c>
      <c r="I45" s="12">
        <f t="shared" si="7"/>
        <v>150</v>
      </c>
      <c r="J45" s="11">
        <v>3.9590000000000001</v>
      </c>
      <c r="K45" s="14">
        <v>3.97</v>
      </c>
      <c r="L45" s="11">
        <v>3.8889999999999998</v>
      </c>
      <c r="M45" s="14">
        <v>3.7970000000000002</v>
      </c>
      <c r="N45" s="11">
        <v>4.085</v>
      </c>
      <c r="O45" s="14">
        <v>3.9540000000000002</v>
      </c>
      <c r="P45" s="11">
        <v>3.8410000000000002</v>
      </c>
      <c r="Q45" s="14">
        <v>3.9079999999999999</v>
      </c>
      <c r="R45" s="11">
        <v>31.402999999999999</v>
      </c>
      <c r="S45" s="13">
        <v>22.5</v>
      </c>
      <c r="T45" s="11">
        <v>-5.8999999999999997E-2</v>
      </c>
    </row>
    <row r="46" spans="7:20" x14ac:dyDescent="0.25">
      <c r="G46" s="15">
        <v>167892</v>
      </c>
      <c r="H46" s="9">
        <v>32</v>
      </c>
      <c r="I46" s="12">
        <f t="shared" si="7"/>
        <v>155</v>
      </c>
      <c r="J46" s="11">
        <v>3.9590000000000001</v>
      </c>
      <c r="K46" s="14">
        <v>3.97</v>
      </c>
      <c r="L46" s="11">
        <v>3.8889999999999998</v>
      </c>
      <c r="M46" s="14">
        <v>3.7970000000000002</v>
      </c>
      <c r="N46" s="11">
        <v>4.085</v>
      </c>
      <c r="O46" s="14">
        <v>3.9540000000000002</v>
      </c>
      <c r="P46" s="11">
        <v>3.8410000000000002</v>
      </c>
      <c r="Q46" s="14">
        <v>3.9079999999999999</v>
      </c>
      <c r="R46" s="11">
        <v>31.402999999999999</v>
      </c>
      <c r="S46" s="13">
        <v>22.5</v>
      </c>
      <c r="T46" s="11">
        <v>-0.06</v>
      </c>
    </row>
    <row r="47" spans="7:20" x14ac:dyDescent="0.25">
      <c r="G47" s="15">
        <v>172898</v>
      </c>
      <c r="H47" s="9">
        <v>33</v>
      </c>
      <c r="I47" s="12">
        <f t="shared" si="7"/>
        <v>160</v>
      </c>
      <c r="J47" s="11">
        <v>3.9590000000000001</v>
      </c>
      <c r="K47" s="14">
        <v>3.97</v>
      </c>
      <c r="L47" s="11">
        <v>3.8889999999999998</v>
      </c>
      <c r="M47" s="14">
        <v>3.7970000000000002</v>
      </c>
      <c r="N47" s="11">
        <v>4.085</v>
      </c>
      <c r="O47" s="14">
        <v>3.9540000000000002</v>
      </c>
      <c r="P47" s="11">
        <v>3.8410000000000002</v>
      </c>
      <c r="Q47" s="14">
        <v>3.9079999999999999</v>
      </c>
      <c r="R47" s="11">
        <v>31.402999999999999</v>
      </c>
      <c r="S47" s="13">
        <v>22.5</v>
      </c>
      <c r="T47" s="11">
        <v>-0.06</v>
      </c>
    </row>
    <row r="48" spans="7:20" x14ac:dyDescent="0.25">
      <c r="G48" s="15">
        <v>177906</v>
      </c>
      <c r="H48" s="9">
        <v>34</v>
      </c>
      <c r="I48" s="12">
        <f t="shared" si="7"/>
        <v>165</v>
      </c>
      <c r="J48" s="11">
        <v>3.9590000000000001</v>
      </c>
      <c r="K48" s="14">
        <v>3.97</v>
      </c>
      <c r="L48" s="11">
        <v>3.8889999999999998</v>
      </c>
      <c r="M48" s="14">
        <v>3.8149999999999999</v>
      </c>
      <c r="N48" s="11">
        <v>4.085</v>
      </c>
      <c r="O48" s="14">
        <v>3.9540000000000002</v>
      </c>
      <c r="P48" s="11">
        <v>3.8410000000000002</v>
      </c>
      <c r="Q48" s="14">
        <v>3.9079999999999999</v>
      </c>
      <c r="R48" s="11">
        <v>31.420999999999999</v>
      </c>
      <c r="S48" s="13">
        <v>22.4</v>
      </c>
      <c r="T48" s="11">
        <v>-7.0999999999999994E-2</v>
      </c>
    </row>
    <row r="49" spans="7:20" x14ac:dyDescent="0.25">
      <c r="G49" s="15">
        <v>182906</v>
      </c>
      <c r="H49" s="9">
        <v>35</v>
      </c>
      <c r="I49" s="12">
        <f t="shared" si="7"/>
        <v>170</v>
      </c>
      <c r="J49" s="11">
        <v>3.964</v>
      </c>
      <c r="K49" s="14">
        <v>3.9649999999999999</v>
      </c>
      <c r="L49" s="11">
        <v>3.8889999999999998</v>
      </c>
      <c r="M49" s="14">
        <v>3.8149999999999999</v>
      </c>
      <c r="N49" s="11">
        <v>4.085</v>
      </c>
      <c r="O49" s="14">
        <v>3.9540000000000002</v>
      </c>
      <c r="P49" s="11">
        <v>3.8410000000000002</v>
      </c>
      <c r="Q49" s="14">
        <v>3.9079999999999999</v>
      </c>
      <c r="R49" s="11">
        <v>31.420999999999999</v>
      </c>
      <c r="S49" s="13">
        <v>22.5</v>
      </c>
      <c r="T49" s="11">
        <v>-7.8E-2</v>
      </c>
    </row>
    <row r="50" spans="7:20" x14ac:dyDescent="0.25">
      <c r="G50" s="15">
        <v>187963</v>
      </c>
      <c r="H50" s="9">
        <v>36</v>
      </c>
      <c r="I50" s="12">
        <f t="shared" si="7"/>
        <v>175</v>
      </c>
      <c r="J50" s="11">
        <v>3.964</v>
      </c>
      <c r="K50" s="14">
        <v>3.9649999999999999</v>
      </c>
      <c r="L50" s="11">
        <v>3.8889999999999998</v>
      </c>
      <c r="M50" s="14">
        <v>3.8149999999999999</v>
      </c>
      <c r="N50" s="11">
        <v>4.085</v>
      </c>
      <c r="O50" s="14">
        <v>3.9540000000000002</v>
      </c>
      <c r="P50" s="11">
        <v>3.8410000000000002</v>
      </c>
      <c r="Q50" s="14">
        <v>3.9079999999999999</v>
      </c>
      <c r="R50" s="11">
        <v>31.420999999999999</v>
      </c>
      <c r="S50" s="13">
        <v>22.5</v>
      </c>
      <c r="T50" s="11">
        <v>-6.0999999999999999E-2</v>
      </c>
    </row>
    <row r="51" spans="7:20" x14ac:dyDescent="0.25">
      <c r="G51" s="15">
        <v>192964</v>
      </c>
      <c r="H51" s="9">
        <v>37</v>
      </c>
      <c r="I51" s="12">
        <f t="shared" si="7"/>
        <v>180</v>
      </c>
      <c r="J51" s="11">
        <v>3.964</v>
      </c>
      <c r="K51" s="14">
        <v>3.9649999999999999</v>
      </c>
      <c r="L51" s="11">
        <v>3.8889999999999998</v>
      </c>
      <c r="M51" s="14">
        <v>3.8149999999999999</v>
      </c>
      <c r="N51" s="11">
        <v>4.085</v>
      </c>
      <c r="O51" s="14">
        <v>3.9540000000000002</v>
      </c>
      <c r="P51" s="11">
        <v>3.8410000000000002</v>
      </c>
      <c r="Q51" s="14">
        <v>3.9079999999999999</v>
      </c>
      <c r="R51" s="11">
        <v>31.420999999999999</v>
      </c>
      <c r="S51" s="13">
        <v>22.5</v>
      </c>
      <c r="T51" s="11">
        <v>-7.5999999999999998E-2</v>
      </c>
    </row>
    <row r="52" spans="7:20" x14ac:dyDescent="0.25">
      <c r="G52" s="15">
        <v>197968</v>
      </c>
      <c r="H52" s="9">
        <v>38</v>
      </c>
      <c r="I52" s="12">
        <f t="shared" si="7"/>
        <v>185</v>
      </c>
      <c r="J52" s="11">
        <v>3.9590000000000001</v>
      </c>
      <c r="K52" s="14">
        <v>3.97</v>
      </c>
      <c r="L52" s="11">
        <v>3.8889999999999998</v>
      </c>
      <c r="M52" s="14">
        <v>3.8149999999999999</v>
      </c>
      <c r="N52" s="11">
        <v>4.085</v>
      </c>
      <c r="O52" s="14">
        <v>3.9540000000000002</v>
      </c>
      <c r="P52" s="11">
        <v>3.8410000000000002</v>
      </c>
      <c r="Q52" s="14">
        <v>3.9079999999999999</v>
      </c>
      <c r="R52" s="11">
        <v>31.420999999999999</v>
      </c>
      <c r="S52" s="13">
        <v>22.5</v>
      </c>
      <c r="T52" s="11">
        <v>-7.3999999999999996E-2</v>
      </c>
    </row>
    <row r="53" spans="7:20" x14ac:dyDescent="0.25">
      <c r="G53" s="15">
        <v>202974</v>
      </c>
      <c r="H53" s="9">
        <v>39</v>
      </c>
      <c r="I53" s="12">
        <f t="shared" si="7"/>
        <v>190</v>
      </c>
      <c r="J53" s="11">
        <v>3.964</v>
      </c>
      <c r="K53" s="14">
        <v>3.9649999999999999</v>
      </c>
      <c r="L53" s="11">
        <v>3.8889999999999998</v>
      </c>
      <c r="M53" s="14">
        <v>3.8149999999999999</v>
      </c>
      <c r="N53" s="11">
        <v>4.085</v>
      </c>
      <c r="O53" s="14">
        <v>3.9540000000000002</v>
      </c>
      <c r="P53" s="11">
        <v>3.8410000000000002</v>
      </c>
      <c r="Q53" s="14">
        <v>3.9079999999999999</v>
      </c>
      <c r="R53" s="11">
        <v>31.420999999999999</v>
      </c>
      <c r="S53" s="13">
        <v>22.5</v>
      </c>
      <c r="T53" s="11">
        <v>-7.1999999999999995E-2</v>
      </c>
    </row>
    <row r="54" spans="7:20" x14ac:dyDescent="0.25">
      <c r="G54" s="15">
        <v>207982</v>
      </c>
      <c r="H54" s="9">
        <v>40</v>
      </c>
      <c r="I54" s="12">
        <f t="shared" si="7"/>
        <v>195</v>
      </c>
      <c r="J54" s="11">
        <v>3.9590000000000001</v>
      </c>
      <c r="K54" s="14">
        <v>3.97</v>
      </c>
      <c r="L54" s="11">
        <v>3.8889999999999998</v>
      </c>
      <c r="M54" s="14">
        <v>3.8149999999999999</v>
      </c>
      <c r="N54" s="11">
        <v>4.085</v>
      </c>
      <c r="O54" s="14">
        <v>3.9540000000000002</v>
      </c>
      <c r="P54" s="11">
        <v>3.8410000000000002</v>
      </c>
      <c r="Q54" s="14">
        <v>3.9079999999999999</v>
      </c>
      <c r="R54" s="11">
        <v>31.420999999999999</v>
      </c>
      <c r="S54" s="13">
        <v>22.5</v>
      </c>
      <c r="T54" s="11">
        <v>-7.2999999999999995E-2</v>
      </c>
    </row>
    <row r="55" spans="7:20" x14ac:dyDescent="0.25">
      <c r="G55" s="15">
        <v>212982</v>
      </c>
      <c r="H55" s="9">
        <v>41</v>
      </c>
      <c r="I55" s="12">
        <f t="shared" si="7"/>
        <v>200</v>
      </c>
      <c r="J55" s="11">
        <v>3.9590000000000001</v>
      </c>
      <c r="K55" s="14">
        <v>3.97</v>
      </c>
      <c r="L55" s="11">
        <v>3.8889999999999998</v>
      </c>
      <c r="M55" s="14">
        <v>3.8149999999999999</v>
      </c>
      <c r="N55" s="11">
        <v>4.085</v>
      </c>
      <c r="O55" s="14">
        <v>3.9540000000000002</v>
      </c>
      <c r="P55" s="11">
        <v>3.8410000000000002</v>
      </c>
      <c r="Q55" s="14">
        <v>3.9079999999999999</v>
      </c>
      <c r="R55" s="11">
        <v>31.420999999999999</v>
      </c>
      <c r="S55" s="13">
        <v>22.5</v>
      </c>
      <c r="T55" s="11">
        <v>-7.9000000000000001E-2</v>
      </c>
    </row>
    <row r="56" spans="7:20" x14ac:dyDescent="0.25">
      <c r="G56" s="15">
        <v>218039</v>
      </c>
      <c r="H56" s="9">
        <v>42</v>
      </c>
      <c r="I56" s="12">
        <f>FLOOR((G56/1000)-13, 1)</f>
        <v>205</v>
      </c>
      <c r="J56" s="11">
        <v>3.964</v>
      </c>
      <c r="K56" s="14">
        <v>3.9649999999999999</v>
      </c>
      <c r="L56" s="11">
        <v>3.8889999999999998</v>
      </c>
      <c r="M56" s="14">
        <v>3.8149999999999999</v>
      </c>
      <c r="N56" s="11">
        <v>4.085</v>
      </c>
      <c r="O56" s="14">
        <v>3.9540000000000002</v>
      </c>
      <c r="P56" s="11">
        <v>3.8410000000000002</v>
      </c>
      <c r="Q56" s="14">
        <v>3.9079999999999999</v>
      </c>
      <c r="R56" s="11">
        <v>31.420999999999999</v>
      </c>
      <c r="S56" s="13">
        <v>22.5</v>
      </c>
      <c r="T56" s="11">
        <v>-8.5000000000000006E-2</v>
      </c>
    </row>
    <row r="57" spans="7:20" x14ac:dyDescent="0.25">
      <c r="G57" s="15">
        <v>223050</v>
      </c>
      <c r="H57" s="9">
        <v>43</v>
      </c>
      <c r="I57" s="12">
        <f t="shared" ref="I57:I95" si="8">FLOOR((G57/1000)-13, 1)</f>
        <v>210</v>
      </c>
      <c r="J57" s="11">
        <v>3.9590000000000001</v>
      </c>
      <c r="K57" s="14">
        <v>3.97</v>
      </c>
      <c r="L57" s="11">
        <v>3.8889999999999998</v>
      </c>
      <c r="M57" s="14">
        <v>3.8149999999999999</v>
      </c>
      <c r="N57" s="11">
        <v>4.085</v>
      </c>
      <c r="O57" s="14">
        <v>3.9540000000000002</v>
      </c>
      <c r="P57" s="11">
        <v>3.8410000000000002</v>
      </c>
      <c r="Q57" s="14">
        <v>3.9079999999999999</v>
      </c>
      <c r="R57" s="11">
        <v>31.420999999999999</v>
      </c>
      <c r="S57" s="13">
        <v>22.5</v>
      </c>
      <c r="T57" s="11">
        <v>-7.5999999999999998E-2</v>
      </c>
    </row>
    <row r="58" spans="7:20" x14ac:dyDescent="0.25">
      <c r="G58" s="15">
        <v>228113</v>
      </c>
      <c r="H58" s="9">
        <v>44</v>
      </c>
      <c r="I58" s="12">
        <f t="shared" si="8"/>
        <v>215</v>
      </c>
      <c r="J58" s="11">
        <v>3.9590000000000001</v>
      </c>
      <c r="K58" s="14">
        <v>3.97</v>
      </c>
      <c r="L58" s="11">
        <v>3.8889999999999998</v>
      </c>
      <c r="M58" s="14">
        <v>3.8149999999999999</v>
      </c>
      <c r="N58" s="11">
        <v>4.085</v>
      </c>
      <c r="O58" s="14">
        <v>3.9540000000000002</v>
      </c>
      <c r="P58" s="11">
        <v>3.8410000000000002</v>
      </c>
      <c r="Q58" s="14">
        <v>3.9079999999999999</v>
      </c>
      <c r="R58" s="11">
        <v>31.420999999999999</v>
      </c>
      <c r="S58" s="13">
        <v>22.5</v>
      </c>
      <c r="T58" s="11">
        <v>-8.1000000000000003E-2</v>
      </c>
    </row>
    <row r="59" spans="7:20" x14ac:dyDescent="0.25">
      <c r="G59" s="15">
        <v>233124</v>
      </c>
      <c r="H59" s="9">
        <v>45</v>
      </c>
      <c r="I59" s="12">
        <f t="shared" si="8"/>
        <v>220</v>
      </c>
      <c r="J59" s="11">
        <v>3.9590000000000001</v>
      </c>
      <c r="K59" s="14">
        <v>3.97</v>
      </c>
      <c r="L59" s="11">
        <v>3.8889999999999998</v>
      </c>
      <c r="M59" s="14">
        <v>3.8149999999999999</v>
      </c>
      <c r="N59" s="11">
        <v>4.085</v>
      </c>
      <c r="O59" s="14">
        <v>3.9540000000000002</v>
      </c>
      <c r="P59" s="11">
        <v>3.8410000000000002</v>
      </c>
      <c r="Q59" s="14">
        <v>3.9079999999999999</v>
      </c>
      <c r="R59" s="11">
        <v>31.420999999999999</v>
      </c>
      <c r="S59" s="13">
        <v>22.5</v>
      </c>
      <c r="T59" s="11">
        <v>-7.1999999999999995E-2</v>
      </c>
    </row>
    <row r="60" spans="7:20" x14ac:dyDescent="0.25">
      <c r="G60" s="15">
        <v>238125</v>
      </c>
      <c r="H60" s="9">
        <v>46</v>
      </c>
      <c r="I60" s="12">
        <f t="shared" si="8"/>
        <v>225</v>
      </c>
      <c r="J60" s="11">
        <v>3.9590000000000001</v>
      </c>
      <c r="K60" s="14">
        <v>3.97</v>
      </c>
      <c r="L60" s="11">
        <v>3.8889999999999998</v>
      </c>
      <c r="M60" s="14">
        <v>3.8149999999999999</v>
      </c>
      <c r="N60" s="11">
        <v>4.085</v>
      </c>
      <c r="O60" s="14">
        <v>3.9540000000000002</v>
      </c>
      <c r="P60" s="11">
        <v>3.8410000000000002</v>
      </c>
      <c r="Q60" s="14">
        <v>3.9079999999999999</v>
      </c>
      <c r="R60" s="11">
        <v>31.420999999999999</v>
      </c>
      <c r="S60" s="13">
        <v>22.5</v>
      </c>
      <c r="T60" s="11">
        <v>-7.8E-2</v>
      </c>
    </row>
    <row r="61" spans="7:20" x14ac:dyDescent="0.25">
      <c r="G61" s="15">
        <v>243132</v>
      </c>
      <c r="H61" s="9">
        <v>47</v>
      </c>
      <c r="I61" s="12">
        <f t="shared" si="8"/>
        <v>230</v>
      </c>
      <c r="J61" s="11">
        <v>3.964</v>
      </c>
      <c r="K61" s="14">
        <v>3.9649999999999999</v>
      </c>
      <c r="L61" s="11">
        <v>3.8889999999999998</v>
      </c>
      <c r="M61" s="14">
        <v>3.8149999999999999</v>
      </c>
      <c r="N61" s="11">
        <v>4.085</v>
      </c>
      <c r="O61" s="14">
        <v>3.9540000000000002</v>
      </c>
      <c r="P61" s="11">
        <v>3.8410000000000002</v>
      </c>
      <c r="Q61" s="14">
        <v>3.9079999999999999</v>
      </c>
      <c r="R61" s="11">
        <v>31.420999999999999</v>
      </c>
      <c r="S61" s="13">
        <v>22.4</v>
      </c>
      <c r="T61" s="11">
        <v>-7.2999999999999995E-2</v>
      </c>
    </row>
    <row r="62" spans="7:20" x14ac:dyDescent="0.25">
      <c r="G62" s="15">
        <v>248140</v>
      </c>
      <c r="H62" s="9">
        <v>48</v>
      </c>
      <c r="I62" s="12">
        <f t="shared" si="8"/>
        <v>235</v>
      </c>
      <c r="J62" s="11">
        <v>3.964</v>
      </c>
      <c r="K62" s="14">
        <v>3.9649999999999999</v>
      </c>
      <c r="L62" s="11">
        <v>3.8889999999999998</v>
      </c>
      <c r="M62" s="14">
        <v>3.8149999999999999</v>
      </c>
      <c r="N62" s="11">
        <v>4.085</v>
      </c>
      <c r="O62" s="14">
        <v>3.9540000000000002</v>
      </c>
      <c r="P62" s="11">
        <v>3.8410000000000002</v>
      </c>
      <c r="Q62" s="14">
        <v>3.9079999999999999</v>
      </c>
      <c r="R62" s="11">
        <v>31.420999999999999</v>
      </c>
      <c r="S62" s="13">
        <v>22.5</v>
      </c>
      <c r="T62" s="11">
        <v>-0.09</v>
      </c>
    </row>
    <row r="63" spans="7:20" x14ac:dyDescent="0.25">
      <c r="G63" s="15">
        <v>253140</v>
      </c>
      <c r="H63" s="9">
        <v>49</v>
      </c>
      <c r="I63" s="12">
        <f t="shared" si="8"/>
        <v>240</v>
      </c>
      <c r="J63" s="11">
        <v>3.964</v>
      </c>
      <c r="K63" s="14">
        <v>3.9649999999999999</v>
      </c>
      <c r="L63" s="11">
        <v>3.8889999999999998</v>
      </c>
      <c r="M63" s="14">
        <v>3.8149999999999999</v>
      </c>
      <c r="N63" s="11">
        <v>4.085</v>
      </c>
      <c r="O63" s="14">
        <v>3.9540000000000002</v>
      </c>
      <c r="P63" s="11">
        <v>3.8410000000000002</v>
      </c>
      <c r="Q63" s="14">
        <v>3.9079999999999999</v>
      </c>
      <c r="R63" s="11">
        <v>31.420999999999999</v>
      </c>
      <c r="S63" s="13">
        <v>22.5</v>
      </c>
      <c r="T63" s="11">
        <v>-7.0000000000000007E-2</v>
      </c>
    </row>
    <row r="64" spans="7:20" x14ac:dyDescent="0.25">
      <c r="G64" s="15">
        <v>258177</v>
      </c>
      <c r="H64" s="9">
        <v>50</v>
      </c>
      <c r="I64" s="12">
        <f t="shared" si="8"/>
        <v>245</v>
      </c>
      <c r="J64" s="11">
        <v>3.964</v>
      </c>
      <c r="K64" s="14">
        <v>3.9649999999999999</v>
      </c>
      <c r="L64" s="11">
        <v>3.8889999999999998</v>
      </c>
      <c r="M64" s="14">
        <v>3.8149999999999999</v>
      </c>
      <c r="N64" s="11">
        <v>4.085</v>
      </c>
      <c r="O64" s="14">
        <v>3.9540000000000002</v>
      </c>
      <c r="P64" s="11">
        <v>3.8410000000000002</v>
      </c>
      <c r="Q64" s="14">
        <v>3.9079999999999999</v>
      </c>
      <c r="R64" s="11">
        <v>31.420999999999999</v>
      </c>
      <c r="S64" s="13">
        <v>22.5</v>
      </c>
      <c r="T64" s="11">
        <v>-7.3999999999999996E-2</v>
      </c>
    </row>
    <row r="65" spans="7:20" x14ac:dyDescent="0.25">
      <c r="G65" s="15">
        <v>263178</v>
      </c>
      <c r="H65" s="9">
        <v>51</v>
      </c>
      <c r="I65" s="12">
        <f t="shared" si="8"/>
        <v>250</v>
      </c>
      <c r="J65" s="11">
        <v>3.964</v>
      </c>
      <c r="K65" s="14">
        <v>3.9649999999999999</v>
      </c>
      <c r="L65" s="11">
        <v>3.8889999999999998</v>
      </c>
      <c r="M65" s="14">
        <v>3.7970000000000002</v>
      </c>
      <c r="N65" s="11">
        <v>4.085</v>
      </c>
      <c r="O65" s="14">
        <v>3.9540000000000002</v>
      </c>
      <c r="P65" s="11">
        <v>3.8410000000000002</v>
      </c>
      <c r="Q65" s="14">
        <v>3.9079999999999999</v>
      </c>
      <c r="R65" s="11">
        <v>31.402999999999999</v>
      </c>
      <c r="S65" s="13">
        <v>22.5</v>
      </c>
      <c r="T65" s="11">
        <v>-8.6999999999999994E-2</v>
      </c>
    </row>
    <row r="66" spans="7:20" x14ac:dyDescent="0.25">
      <c r="G66" s="15">
        <v>268182</v>
      </c>
      <c r="H66" s="9">
        <v>52</v>
      </c>
      <c r="I66" s="12">
        <f t="shared" si="8"/>
        <v>255</v>
      </c>
      <c r="J66" s="11">
        <v>3.964</v>
      </c>
      <c r="K66" s="14">
        <v>3.9740000000000002</v>
      </c>
      <c r="L66" s="11">
        <v>3.88</v>
      </c>
      <c r="M66" s="14">
        <v>3.8149999999999999</v>
      </c>
      <c r="N66" s="11">
        <v>4.0670000000000002</v>
      </c>
      <c r="O66" s="14">
        <v>3.9540000000000002</v>
      </c>
      <c r="P66" s="11">
        <v>3.8410000000000002</v>
      </c>
      <c r="Q66" s="14">
        <v>3.9079999999999999</v>
      </c>
      <c r="R66" s="11">
        <v>31.402999999999999</v>
      </c>
      <c r="S66" s="13">
        <v>22.5</v>
      </c>
      <c r="T66" s="11">
        <v>-9.2999999999999999E-2</v>
      </c>
    </row>
    <row r="67" spans="7:20" x14ac:dyDescent="0.25">
      <c r="G67" s="15">
        <v>273188</v>
      </c>
      <c r="H67" s="9">
        <v>53</v>
      </c>
      <c r="I67" s="12">
        <f t="shared" si="8"/>
        <v>260</v>
      </c>
      <c r="J67" s="11">
        <v>3.964</v>
      </c>
      <c r="K67" s="14">
        <v>3.9649999999999999</v>
      </c>
      <c r="L67" s="11">
        <v>3.8889999999999998</v>
      </c>
      <c r="M67" s="14">
        <v>3.8149999999999999</v>
      </c>
      <c r="N67" s="11">
        <v>4.085</v>
      </c>
      <c r="O67" s="14">
        <v>3.9540000000000002</v>
      </c>
      <c r="P67" s="11">
        <v>3.8410000000000002</v>
      </c>
      <c r="Q67" s="14">
        <v>3.9079999999999999</v>
      </c>
      <c r="R67" s="11">
        <v>31.420999999999999</v>
      </c>
      <c r="S67" s="13">
        <v>22.5</v>
      </c>
      <c r="T67" s="11">
        <v>-7.9000000000000001E-2</v>
      </c>
    </row>
    <row r="68" spans="7:20" x14ac:dyDescent="0.25">
      <c r="G68" s="15">
        <v>278196</v>
      </c>
      <c r="H68" s="9">
        <v>54</v>
      </c>
      <c r="I68" s="12">
        <f t="shared" si="8"/>
        <v>265</v>
      </c>
      <c r="J68" s="11">
        <v>3.964</v>
      </c>
      <c r="K68" s="14">
        <v>3.9649999999999999</v>
      </c>
      <c r="L68" s="11">
        <v>3.8889999999999998</v>
      </c>
      <c r="M68" s="14">
        <v>3.8149999999999999</v>
      </c>
      <c r="N68" s="11">
        <v>4.0670000000000002</v>
      </c>
      <c r="O68" s="14">
        <v>3.9820000000000002</v>
      </c>
      <c r="P68" s="11">
        <v>3.8450000000000002</v>
      </c>
      <c r="Q68" s="14">
        <v>3.8759999999999999</v>
      </c>
      <c r="R68" s="11">
        <v>31.402999999999999</v>
      </c>
      <c r="S68" s="13">
        <v>22.5</v>
      </c>
      <c r="T68" s="11">
        <v>-0.09</v>
      </c>
    </row>
    <row r="69" spans="7:20" x14ac:dyDescent="0.25">
      <c r="G69" s="15">
        <v>293254</v>
      </c>
      <c r="H69" s="9">
        <v>55</v>
      </c>
      <c r="I69" s="12">
        <f t="shared" si="8"/>
        <v>280</v>
      </c>
      <c r="J69" s="11">
        <v>3.964</v>
      </c>
      <c r="K69" s="14">
        <v>3.9649999999999999</v>
      </c>
      <c r="L69" s="11">
        <v>3.8889999999999998</v>
      </c>
      <c r="M69" s="14">
        <v>3.8149999999999999</v>
      </c>
      <c r="N69" s="11">
        <v>4.085</v>
      </c>
      <c r="O69" s="14">
        <v>3.9540000000000002</v>
      </c>
      <c r="P69" s="11">
        <v>3.8410000000000002</v>
      </c>
      <c r="Q69" s="14">
        <v>3.9079999999999999</v>
      </c>
      <c r="R69" s="11">
        <v>31.420999999999999</v>
      </c>
      <c r="S69" s="13">
        <v>22.5</v>
      </c>
      <c r="T69" s="11">
        <v>-7.6999999999999999E-2</v>
      </c>
    </row>
    <row r="70" spans="7:20" x14ac:dyDescent="0.25">
      <c r="G70" s="15">
        <v>298259</v>
      </c>
      <c r="H70" s="9">
        <v>56</v>
      </c>
      <c r="I70" s="12">
        <f t="shared" si="8"/>
        <v>285</v>
      </c>
      <c r="J70" s="11">
        <v>3.964</v>
      </c>
      <c r="K70" s="14">
        <v>3.9740000000000002</v>
      </c>
      <c r="L70" s="11">
        <v>3.88</v>
      </c>
      <c r="M70" s="14">
        <v>3.8149999999999999</v>
      </c>
      <c r="N70" s="11">
        <v>4.085</v>
      </c>
      <c r="O70" s="14">
        <v>3.9820000000000002</v>
      </c>
      <c r="P70" s="11">
        <v>3.8130000000000002</v>
      </c>
      <c r="Q70" s="14">
        <v>3.9079999999999999</v>
      </c>
      <c r="R70" s="11">
        <v>31.420999999999999</v>
      </c>
      <c r="S70" s="13">
        <v>22.5</v>
      </c>
      <c r="T70" s="11">
        <v>-7.3999999999999996E-2</v>
      </c>
    </row>
    <row r="71" spans="7:20" x14ac:dyDescent="0.25">
      <c r="G71" s="15">
        <v>303265</v>
      </c>
      <c r="H71" s="9">
        <v>57</v>
      </c>
      <c r="I71" s="12">
        <f t="shared" si="8"/>
        <v>290</v>
      </c>
      <c r="J71" s="11">
        <v>3.964</v>
      </c>
      <c r="K71" s="14">
        <v>3.9740000000000002</v>
      </c>
      <c r="L71" s="11">
        <v>3.88</v>
      </c>
      <c r="M71" s="14">
        <v>3.8149999999999999</v>
      </c>
      <c r="N71" s="11">
        <v>4.0670000000000002</v>
      </c>
      <c r="O71" s="14">
        <v>3.9820000000000002</v>
      </c>
      <c r="P71" s="11">
        <v>3.8450000000000002</v>
      </c>
      <c r="Q71" s="14">
        <v>3.8759999999999999</v>
      </c>
      <c r="R71" s="11">
        <v>31.402999999999999</v>
      </c>
      <c r="S71" s="13">
        <v>22.5</v>
      </c>
      <c r="T71" s="11">
        <v>-7.9000000000000001E-2</v>
      </c>
    </row>
    <row r="72" spans="7:20" x14ac:dyDescent="0.25">
      <c r="G72" s="15">
        <v>308273</v>
      </c>
      <c r="H72" s="9">
        <v>58</v>
      </c>
      <c r="I72" s="12">
        <f t="shared" si="8"/>
        <v>295</v>
      </c>
      <c r="J72" s="11">
        <v>3.964</v>
      </c>
      <c r="K72" s="14">
        <v>3.9740000000000002</v>
      </c>
      <c r="L72" s="11">
        <v>3.88</v>
      </c>
      <c r="M72" s="14">
        <v>3.8149999999999999</v>
      </c>
      <c r="N72" s="11">
        <v>4.085</v>
      </c>
      <c r="O72" s="14">
        <v>3.9820000000000002</v>
      </c>
      <c r="P72" s="11">
        <v>3.8450000000000002</v>
      </c>
      <c r="Q72" s="14">
        <v>3.8759999999999999</v>
      </c>
      <c r="R72" s="11">
        <v>31.420999999999999</v>
      </c>
      <c r="S72" s="13">
        <v>22.5</v>
      </c>
      <c r="T72" s="11">
        <v>-5.6000000000000001E-2</v>
      </c>
    </row>
    <row r="73" spans="7:20" x14ac:dyDescent="0.25">
      <c r="G73" s="15">
        <v>313273</v>
      </c>
      <c r="H73" s="9">
        <v>59</v>
      </c>
      <c r="I73" s="12">
        <f t="shared" si="8"/>
        <v>300</v>
      </c>
      <c r="J73" s="11">
        <v>3.964</v>
      </c>
      <c r="K73" s="14">
        <v>3.9740000000000002</v>
      </c>
      <c r="L73" s="11">
        <v>3.88</v>
      </c>
      <c r="M73" s="14">
        <v>3.8149999999999999</v>
      </c>
      <c r="N73" s="11">
        <v>4.0670000000000002</v>
      </c>
      <c r="O73" s="14">
        <v>3.9820000000000002</v>
      </c>
      <c r="P73" s="11">
        <v>3.8450000000000002</v>
      </c>
      <c r="Q73" s="14">
        <v>3.8759999999999999</v>
      </c>
      <c r="R73" s="11">
        <v>31.402999999999999</v>
      </c>
      <c r="S73" s="13">
        <v>22.5</v>
      </c>
      <c r="T73" s="11">
        <v>-8.5999999999999993E-2</v>
      </c>
    </row>
    <row r="74" spans="7:20" x14ac:dyDescent="0.25">
      <c r="G74" s="15">
        <v>318331</v>
      </c>
      <c r="H74" s="9">
        <v>60</v>
      </c>
      <c r="I74" s="12">
        <f t="shared" si="8"/>
        <v>305</v>
      </c>
      <c r="J74" s="11">
        <v>3.964</v>
      </c>
      <c r="K74" s="14">
        <v>3.9740000000000002</v>
      </c>
      <c r="L74" s="11">
        <v>3.88</v>
      </c>
      <c r="M74" s="14">
        <v>3.8149999999999999</v>
      </c>
      <c r="N74" s="11">
        <v>4.085</v>
      </c>
      <c r="O74" s="14">
        <v>3.9820000000000002</v>
      </c>
      <c r="P74" s="11">
        <v>3.8450000000000002</v>
      </c>
      <c r="Q74" s="14">
        <v>3.8759999999999999</v>
      </c>
      <c r="R74" s="11">
        <v>31.420999999999999</v>
      </c>
      <c r="S74" s="13">
        <v>22.5</v>
      </c>
      <c r="T74" s="11">
        <v>-8.4000000000000005E-2</v>
      </c>
    </row>
    <row r="75" spans="7:20" x14ac:dyDescent="0.25">
      <c r="G75" s="15">
        <v>323342</v>
      </c>
      <c r="H75" s="9">
        <v>61</v>
      </c>
      <c r="I75" s="12">
        <f t="shared" si="8"/>
        <v>310</v>
      </c>
      <c r="J75" s="11">
        <v>3.964</v>
      </c>
      <c r="K75" s="14">
        <v>3.9740000000000002</v>
      </c>
      <c r="L75" s="11">
        <v>3.88</v>
      </c>
      <c r="M75" s="14">
        <v>3.8149999999999999</v>
      </c>
      <c r="N75" s="11">
        <v>4.085</v>
      </c>
      <c r="O75" s="14">
        <v>3.9820000000000002</v>
      </c>
      <c r="P75" s="11">
        <v>3.8130000000000002</v>
      </c>
      <c r="Q75" s="14">
        <v>3.9079999999999999</v>
      </c>
      <c r="R75" s="11">
        <v>31.420999999999999</v>
      </c>
      <c r="S75" s="13">
        <v>22.5</v>
      </c>
      <c r="T75" s="11">
        <v>-8.1000000000000003E-2</v>
      </c>
    </row>
    <row r="76" spans="7:20" x14ac:dyDescent="0.25">
      <c r="G76" s="15">
        <v>328404</v>
      </c>
      <c r="H76" s="9">
        <v>62</v>
      </c>
      <c r="I76" s="12">
        <f t="shared" si="8"/>
        <v>315</v>
      </c>
      <c r="J76" s="11">
        <v>3.964</v>
      </c>
      <c r="K76" s="14">
        <v>3.9740000000000002</v>
      </c>
      <c r="L76" s="11">
        <v>3.88</v>
      </c>
      <c r="M76" s="14">
        <v>3.8149999999999999</v>
      </c>
      <c r="N76" s="11">
        <v>4.085</v>
      </c>
      <c r="O76" s="14">
        <v>3.9820000000000002</v>
      </c>
      <c r="P76" s="11">
        <v>3.8130000000000002</v>
      </c>
      <c r="Q76" s="14">
        <v>3.9079999999999999</v>
      </c>
      <c r="R76" s="11">
        <v>31.420999999999999</v>
      </c>
      <c r="S76" s="13">
        <v>22.5</v>
      </c>
      <c r="T76" s="11">
        <v>-9.1999999999999998E-2</v>
      </c>
    </row>
    <row r="77" spans="7:20" x14ac:dyDescent="0.25">
      <c r="G77" s="15">
        <v>333416</v>
      </c>
      <c r="H77" s="9">
        <v>63</v>
      </c>
      <c r="I77" s="12">
        <f t="shared" si="8"/>
        <v>320</v>
      </c>
      <c r="J77" s="11">
        <v>3.964</v>
      </c>
      <c r="K77" s="14">
        <v>3.9740000000000002</v>
      </c>
      <c r="L77" s="11">
        <v>3.88</v>
      </c>
      <c r="M77" s="14">
        <v>3.8149999999999999</v>
      </c>
      <c r="N77" s="11">
        <v>4.0670000000000002</v>
      </c>
      <c r="O77" s="14">
        <v>3.9820000000000002</v>
      </c>
      <c r="P77" s="11">
        <v>3.8450000000000002</v>
      </c>
      <c r="Q77" s="14">
        <v>3.8759999999999999</v>
      </c>
      <c r="R77" s="11">
        <v>31.402999999999999</v>
      </c>
      <c r="S77" s="13">
        <v>22.5</v>
      </c>
      <c r="T77" s="11">
        <v>-7.5999999999999998E-2</v>
      </c>
    </row>
    <row r="78" spans="7:20" x14ac:dyDescent="0.25">
      <c r="G78" s="15">
        <v>338417</v>
      </c>
      <c r="H78" s="9">
        <v>64</v>
      </c>
      <c r="I78" s="12">
        <f t="shared" si="8"/>
        <v>325</v>
      </c>
      <c r="J78" s="11">
        <v>3.964</v>
      </c>
      <c r="K78" s="14">
        <v>3.9740000000000002</v>
      </c>
      <c r="L78" s="11">
        <v>3.88</v>
      </c>
      <c r="M78" s="14">
        <v>3.8330000000000002</v>
      </c>
      <c r="N78" s="11">
        <v>4.0670000000000002</v>
      </c>
      <c r="O78" s="14">
        <v>3.9820000000000002</v>
      </c>
      <c r="P78" s="11">
        <v>3.8450000000000002</v>
      </c>
      <c r="Q78" s="14">
        <v>3.8759999999999999</v>
      </c>
      <c r="R78" s="11">
        <v>31.420999999999999</v>
      </c>
      <c r="S78" s="13">
        <v>22.5</v>
      </c>
      <c r="T78" s="11">
        <v>-7.2999999999999995E-2</v>
      </c>
    </row>
    <row r="79" spans="7:20" x14ac:dyDescent="0.25">
      <c r="G79" s="15">
        <v>633678</v>
      </c>
      <c r="H79" s="9">
        <v>65</v>
      </c>
      <c r="I79" s="12">
        <f t="shared" si="8"/>
        <v>620</v>
      </c>
      <c r="J79" s="11">
        <v>3.9590000000000001</v>
      </c>
      <c r="K79" s="14">
        <v>3.97</v>
      </c>
      <c r="L79" s="11">
        <v>3.8740000000000001</v>
      </c>
      <c r="M79" s="14">
        <v>3.8119999999999998</v>
      </c>
      <c r="N79" s="11">
        <v>4.0579999999999998</v>
      </c>
      <c r="O79" s="14">
        <v>3.9809999999999999</v>
      </c>
      <c r="P79" s="11">
        <v>3.8410000000000002</v>
      </c>
      <c r="Q79" s="14">
        <v>3.8690000000000002</v>
      </c>
      <c r="R79" s="11">
        <v>31.364000000000001</v>
      </c>
      <c r="S79" s="13">
        <v>22.6</v>
      </c>
      <c r="T79" s="11">
        <v>-8.4000000000000005E-2</v>
      </c>
    </row>
    <row r="80" spans="7:20" x14ac:dyDescent="0.25">
      <c r="G80" s="15">
        <v>638745</v>
      </c>
      <c r="H80" s="9">
        <v>66</v>
      </c>
      <c r="I80" s="12">
        <f t="shared" si="8"/>
        <v>625</v>
      </c>
      <c r="J80" s="11">
        <v>3.9540000000000002</v>
      </c>
      <c r="K80" s="14">
        <v>3.9660000000000002</v>
      </c>
      <c r="L80" s="11">
        <v>3.883</v>
      </c>
      <c r="M80" s="14">
        <v>3.794</v>
      </c>
      <c r="N80" s="11">
        <v>4.0759999999999996</v>
      </c>
      <c r="O80" s="14">
        <v>3.9529999999999998</v>
      </c>
      <c r="P80" s="11">
        <v>3.8370000000000002</v>
      </c>
      <c r="Q80" s="14">
        <v>3.9020000000000001</v>
      </c>
      <c r="R80" s="11">
        <v>31.364999999999998</v>
      </c>
      <c r="S80" s="13">
        <v>22.6</v>
      </c>
      <c r="T80" s="11">
        <v>-7.5999999999999998E-2</v>
      </c>
    </row>
    <row r="81" spans="7:20" x14ac:dyDescent="0.25">
      <c r="G81" s="15">
        <v>643752</v>
      </c>
      <c r="H81" s="9">
        <v>67</v>
      </c>
      <c r="I81" s="12">
        <f t="shared" si="8"/>
        <v>630</v>
      </c>
      <c r="J81" s="11">
        <v>3.9590000000000001</v>
      </c>
      <c r="K81" s="14">
        <v>3.9609999999999999</v>
      </c>
      <c r="L81" s="11">
        <v>3.883</v>
      </c>
      <c r="M81" s="14">
        <v>3.8119999999999998</v>
      </c>
      <c r="N81" s="11">
        <v>4.0759999999999996</v>
      </c>
      <c r="O81" s="14">
        <v>3.9529999999999998</v>
      </c>
      <c r="P81" s="11">
        <v>3.8370000000000002</v>
      </c>
      <c r="Q81" s="14">
        <v>3.9020000000000001</v>
      </c>
      <c r="R81" s="11">
        <v>31.382999999999999</v>
      </c>
      <c r="S81" s="13">
        <v>22.5</v>
      </c>
      <c r="T81" s="11">
        <v>-8.7999999999999995E-2</v>
      </c>
    </row>
    <row r="82" spans="7:20" x14ac:dyDescent="0.25">
      <c r="G82" s="15">
        <v>648815</v>
      </c>
      <c r="H82" s="9">
        <v>68</v>
      </c>
      <c r="I82" s="12">
        <f t="shared" si="8"/>
        <v>635</v>
      </c>
      <c r="J82" s="11">
        <v>3.9540000000000002</v>
      </c>
      <c r="K82" s="14">
        <v>3.9660000000000002</v>
      </c>
      <c r="L82" s="11">
        <v>3.883</v>
      </c>
      <c r="M82" s="14">
        <v>3.794</v>
      </c>
      <c r="N82" s="11">
        <v>4.0759999999999996</v>
      </c>
      <c r="O82" s="14">
        <v>3.9529999999999998</v>
      </c>
      <c r="P82" s="11">
        <v>3.8370000000000002</v>
      </c>
      <c r="Q82" s="14">
        <v>3.9020000000000001</v>
      </c>
      <c r="R82" s="11">
        <v>31.364999999999998</v>
      </c>
      <c r="S82" s="13">
        <v>22.6</v>
      </c>
      <c r="T82" s="11">
        <v>-9.7000000000000003E-2</v>
      </c>
    </row>
    <row r="83" spans="7:20" x14ac:dyDescent="0.25">
      <c r="G83" s="15">
        <v>653826</v>
      </c>
      <c r="H83" s="9">
        <v>69</v>
      </c>
      <c r="I83" s="12">
        <f t="shared" si="8"/>
        <v>640</v>
      </c>
      <c r="J83" s="11">
        <v>3.9540000000000002</v>
      </c>
      <c r="K83" s="14">
        <v>3.9660000000000002</v>
      </c>
      <c r="L83" s="11">
        <v>3.883</v>
      </c>
      <c r="M83" s="14">
        <v>3.794</v>
      </c>
      <c r="N83" s="11">
        <v>4.0759999999999996</v>
      </c>
      <c r="O83" s="14">
        <v>3.9529999999999998</v>
      </c>
      <c r="P83" s="11">
        <v>3.8370000000000002</v>
      </c>
      <c r="Q83" s="14">
        <v>3.9020000000000001</v>
      </c>
      <c r="R83" s="11">
        <v>31.364999999999998</v>
      </c>
      <c r="S83" s="13">
        <v>22.6</v>
      </c>
      <c r="T83" s="11">
        <v>-9.4E-2</v>
      </c>
    </row>
    <row r="84" spans="7:20" x14ac:dyDescent="0.25">
      <c r="G84" s="15">
        <v>658827</v>
      </c>
      <c r="H84" s="9">
        <v>70</v>
      </c>
      <c r="I84" s="12">
        <f t="shared" si="8"/>
        <v>645</v>
      </c>
      <c r="J84" s="11">
        <v>3.9540000000000002</v>
      </c>
      <c r="K84" s="14">
        <v>3.9660000000000002</v>
      </c>
      <c r="L84" s="11">
        <v>3.883</v>
      </c>
      <c r="M84" s="14">
        <v>3.8119999999999998</v>
      </c>
      <c r="N84" s="11">
        <v>4.0759999999999996</v>
      </c>
      <c r="O84" s="14">
        <v>3.9529999999999998</v>
      </c>
      <c r="P84" s="11">
        <v>3.8370000000000002</v>
      </c>
      <c r="Q84" s="14">
        <v>3.9020000000000001</v>
      </c>
      <c r="R84" s="11">
        <v>31.382999999999999</v>
      </c>
      <c r="S84" s="13">
        <v>22.5</v>
      </c>
      <c r="T84" s="11">
        <v>-0.09</v>
      </c>
    </row>
    <row r="85" spans="7:20" x14ac:dyDescent="0.25">
      <c r="G85" s="15">
        <v>663834</v>
      </c>
      <c r="H85" s="9">
        <v>71</v>
      </c>
      <c r="I85" s="12">
        <f t="shared" si="8"/>
        <v>650</v>
      </c>
      <c r="J85" s="11">
        <v>3.9540000000000002</v>
      </c>
      <c r="K85" s="14">
        <v>3.9660000000000002</v>
      </c>
      <c r="L85" s="11">
        <v>3.883</v>
      </c>
      <c r="M85" s="14">
        <v>3.794</v>
      </c>
      <c r="N85" s="11">
        <v>4.0759999999999996</v>
      </c>
      <c r="O85" s="14">
        <v>3.9529999999999998</v>
      </c>
      <c r="P85" s="11">
        <v>3.8370000000000002</v>
      </c>
      <c r="Q85" s="14">
        <v>3.9020000000000001</v>
      </c>
      <c r="R85" s="11">
        <v>31.364999999999998</v>
      </c>
      <c r="S85" s="13">
        <v>22.5</v>
      </c>
      <c r="T85" s="11">
        <v>-8.8999999999999996E-2</v>
      </c>
    </row>
    <row r="86" spans="7:20" x14ac:dyDescent="0.25">
      <c r="G86" s="15">
        <v>668841</v>
      </c>
      <c r="H86" s="9">
        <v>72</v>
      </c>
      <c r="I86" s="12">
        <f t="shared" si="8"/>
        <v>655</v>
      </c>
      <c r="J86" s="11">
        <v>3.9540000000000002</v>
      </c>
      <c r="K86" s="14">
        <v>3.9660000000000002</v>
      </c>
      <c r="L86" s="11">
        <v>3.883</v>
      </c>
      <c r="M86" s="14">
        <v>3.794</v>
      </c>
      <c r="N86" s="11">
        <v>4.0759999999999996</v>
      </c>
      <c r="O86" s="14">
        <v>3.9529999999999998</v>
      </c>
      <c r="P86" s="11">
        <v>3.8370000000000002</v>
      </c>
      <c r="Q86" s="14">
        <v>3.9020000000000001</v>
      </c>
      <c r="R86" s="11">
        <v>31.364999999999998</v>
      </c>
      <c r="S86" s="13">
        <v>22.5</v>
      </c>
      <c r="T86" s="11">
        <v>-7.4999999999999997E-2</v>
      </c>
    </row>
    <row r="87" spans="7:20" x14ac:dyDescent="0.25">
      <c r="G87" s="15">
        <v>673841</v>
      </c>
      <c r="H87" s="9">
        <v>73</v>
      </c>
      <c r="I87" s="12">
        <f t="shared" si="8"/>
        <v>660</v>
      </c>
      <c r="J87" s="11">
        <v>3.9540000000000002</v>
      </c>
      <c r="K87" s="14">
        <v>3.9660000000000002</v>
      </c>
      <c r="L87" s="11">
        <v>3.883</v>
      </c>
      <c r="M87" s="14">
        <v>3.794</v>
      </c>
      <c r="N87" s="11">
        <v>4.0759999999999996</v>
      </c>
      <c r="O87" s="14">
        <v>3.9529999999999998</v>
      </c>
      <c r="P87" s="11">
        <v>3.8370000000000002</v>
      </c>
      <c r="Q87" s="14">
        <v>3.9020000000000001</v>
      </c>
      <c r="R87" s="11">
        <v>31.364999999999998</v>
      </c>
      <c r="S87" s="13">
        <v>22.6</v>
      </c>
      <c r="T87" s="11">
        <v>-8.1000000000000003E-2</v>
      </c>
    </row>
    <row r="88" spans="7:20" x14ac:dyDescent="0.25">
      <c r="G88" s="15">
        <v>678879</v>
      </c>
      <c r="H88" s="9">
        <v>74</v>
      </c>
      <c r="I88" s="12">
        <f t="shared" si="8"/>
        <v>665</v>
      </c>
      <c r="J88" s="11">
        <v>3.9540000000000002</v>
      </c>
      <c r="K88" s="14">
        <v>3.9660000000000002</v>
      </c>
      <c r="L88" s="11">
        <v>3.883</v>
      </c>
      <c r="M88" s="14">
        <v>3.794</v>
      </c>
      <c r="N88" s="11">
        <v>4.0759999999999996</v>
      </c>
      <c r="O88" s="14">
        <v>3.9529999999999998</v>
      </c>
      <c r="P88" s="11">
        <v>3.8370000000000002</v>
      </c>
      <c r="Q88" s="14">
        <v>3.9020000000000001</v>
      </c>
      <c r="R88" s="11">
        <v>31.364999999999998</v>
      </c>
      <c r="S88" s="13">
        <v>22.6</v>
      </c>
      <c r="T88" s="11">
        <v>-8.6999999999999994E-2</v>
      </c>
    </row>
    <row r="89" spans="7:20" x14ac:dyDescent="0.25">
      <c r="G89" s="15">
        <v>683890</v>
      </c>
      <c r="H89" s="9">
        <v>75</v>
      </c>
      <c r="I89" s="12">
        <f t="shared" si="8"/>
        <v>670</v>
      </c>
      <c r="J89" s="11">
        <v>3.9540000000000002</v>
      </c>
      <c r="K89" s="14">
        <v>3.9660000000000002</v>
      </c>
      <c r="L89" s="11">
        <v>3.883</v>
      </c>
      <c r="M89" s="14">
        <v>3.794</v>
      </c>
      <c r="N89" s="11">
        <v>4.0759999999999996</v>
      </c>
      <c r="O89" s="14">
        <v>3.9529999999999998</v>
      </c>
      <c r="P89" s="11">
        <v>3.8370000000000002</v>
      </c>
      <c r="Q89" s="14">
        <v>3.9020000000000001</v>
      </c>
      <c r="R89" s="11">
        <v>31.364999999999998</v>
      </c>
      <c r="S89" s="13">
        <v>22.6</v>
      </c>
      <c r="T89" s="11">
        <v>-8.6999999999999994E-2</v>
      </c>
    </row>
    <row r="90" spans="7:20" x14ac:dyDescent="0.25">
      <c r="G90" s="15">
        <v>688953</v>
      </c>
      <c r="H90" s="9">
        <v>76</v>
      </c>
      <c r="I90" s="12">
        <f t="shared" si="8"/>
        <v>675</v>
      </c>
      <c r="J90" s="11">
        <v>3.9540000000000002</v>
      </c>
      <c r="K90" s="14">
        <v>3.9660000000000002</v>
      </c>
      <c r="L90" s="11">
        <v>3.883</v>
      </c>
      <c r="M90" s="14">
        <v>3.794</v>
      </c>
      <c r="N90" s="11">
        <v>4.0759999999999996</v>
      </c>
      <c r="O90" s="14">
        <v>3.9529999999999998</v>
      </c>
      <c r="P90" s="11">
        <v>3.8370000000000002</v>
      </c>
      <c r="Q90" s="14">
        <v>3.9020000000000001</v>
      </c>
      <c r="R90" s="11">
        <v>31.364999999999998</v>
      </c>
      <c r="S90" s="13">
        <v>22.6</v>
      </c>
      <c r="T90" s="11">
        <v>-9.1999999999999998E-2</v>
      </c>
    </row>
    <row r="91" spans="7:20" x14ac:dyDescent="0.25">
      <c r="G91" s="15">
        <v>693964</v>
      </c>
      <c r="H91" s="9">
        <v>77</v>
      </c>
      <c r="I91" s="12">
        <f t="shared" si="8"/>
        <v>680</v>
      </c>
      <c r="J91" s="11">
        <v>3.9540000000000002</v>
      </c>
      <c r="K91" s="14">
        <v>3.9660000000000002</v>
      </c>
      <c r="L91" s="11">
        <v>3.883</v>
      </c>
      <c r="M91" s="14">
        <v>3.794</v>
      </c>
      <c r="N91" s="11">
        <v>4.0759999999999996</v>
      </c>
      <c r="O91" s="14">
        <v>3.9529999999999998</v>
      </c>
      <c r="P91" s="11">
        <v>3.8370000000000002</v>
      </c>
      <c r="Q91" s="14">
        <v>3.9020000000000001</v>
      </c>
      <c r="R91" s="11">
        <v>31.364999999999998</v>
      </c>
      <c r="S91" s="13">
        <v>22.6</v>
      </c>
      <c r="T91" s="11">
        <v>-0.10199999999999999</v>
      </c>
    </row>
    <row r="92" spans="7:20" x14ac:dyDescent="0.25">
      <c r="G92" s="15">
        <v>698968</v>
      </c>
      <c r="H92" s="9">
        <v>78</v>
      </c>
      <c r="I92" s="12">
        <f t="shared" si="8"/>
        <v>685</v>
      </c>
      <c r="J92" s="11">
        <v>3.9540000000000002</v>
      </c>
      <c r="K92" s="14">
        <v>3.9660000000000002</v>
      </c>
      <c r="L92" s="11">
        <v>3.883</v>
      </c>
      <c r="M92" s="14">
        <v>3.794</v>
      </c>
      <c r="N92" s="11">
        <v>4.0759999999999996</v>
      </c>
      <c r="O92" s="14">
        <v>3.9529999999999998</v>
      </c>
      <c r="P92" s="11">
        <v>3.8370000000000002</v>
      </c>
      <c r="Q92" s="14">
        <v>3.9020000000000001</v>
      </c>
      <c r="R92" s="11">
        <v>31.364999999999998</v>
      </c>
      <c r="S92" s="13">
        <v>22.6</v>
      </c>
      <c r="T92" s="11">
        <v>-7.3999999999999996E-2</v>
      </c>
    </row>
    <row r="93" spans="7:20" x14ac:dyDescent="0.25">
      <c r="G93" s="15">
        <v>703975</v>
      </c>
      <c r="H93" s="9">
        <v>79</v>
      </c>
      <c r="I93" s="12">
        <f t="shared" si="8"/>
        <v>690</v>
      </c>
      <c r="J93" s="11">
        <v>3.9540000000000002</v>
      </c>
      <c r="K93" s="14">
        <v>3.9660000000000002</v>
      </c>
      <c r="L93" s="11">
        <v>3.883</v>
      </c>
      <c r="M93" s="14">
        <v>3.794</v>
      </c>
      <c r="N93" s="11">
        <v>4.0759999999999996</v>
      </c>
      <c r="O93" s="14">
        <v>3.9529999999999998</v>
      </c>
      <c r="P93" s="11">
        <v>3.8370000000000002</v>
      </c>
      <c r="Q93" s="14">
        <v>3.9020000000000001</v>
      </c>
      <c r="R93" s="11">
        <v>31.364999999999998</v>
      </c>
      <c r="S93" s="13">
        <v>22.6</v>
      </c>
      <c r="T93" s="11">
        <v>-7.5999999999999998E-2</v>
      </c>
    </row>
    <row r="94" spans="7:20" x14ac:dyDescent="0.25">
      <c r="G94" s="15">
        <v>708982</v>
      </c>
      <c r="H94" s="9">
        <v>80</v>
      </c>
      <c r="I94" s="12">
        <f t="shared" si="8"/>
        <v>695</v>
      </c>
      <c r="J94" s="11">
        <v>3.9540000000000002</v>
      </c>
      <c r="K94" s="14">
        <v>3.9660000000000002</v>
      </c>
      <c r="L94" s="11">
        <v>3.883</v>
      </c>
      <c r="M94" s="14">
        <v>3.794</v>
      </c>
      <c r="N94" s="11">
        <v>4.0759999999999996</v>
      </c>
      <c r="O94" s="14">
        <v>3.9529999999999998</v>
      </c>
      <c r="P94" s="11">
        <v>3.8370000000000002</v>
      </c>
      <c r="Q94" s="14">
        <v>3.9020000000000001</v>
      </c>
      <c r="R94" s="11">
        <v>31.364999999999998</v>
      </c>
      <c r="S94" s="13">
        <v>22.6</v>
      </c>
      <c r="T94" s="11">
        <v>-7.5999999999999998E-2</v>
      </c>
    </row>
    <row r="95" spans="7:20" x14ac:dyDescent="0.25">
      <c r="G95" s="15">
        <v>713987</v>
      </c>
      <c r="H95" s="9">
        <v>81</v>
      </c>
      <c r="I95" s="12">
        <f t="shared" si="8"/>
        <v>700</v>
      </c>
      <c r="J95" s="11">
        <v>3.9540000000000002</v>
      </c>
      <c r="K95" s="14">
        <v>3.9660000000000002</v>
      </c>
      <c r="L95" s="11">
        <v>3.883</v>
      </c>
      <c r="M95" s="14">
        <v>3.794</v>
      </c>
      <c r="N95" s="11">
        <v>4.0759999999999996</v>
      </c>
      <c r="O95" s="14">
        <v>3.9529999999999998</v>
      </c>
      <c r="P95" s="11">
        <v>3.8370000000000002</v>
      </c>
      <c r="Q95" s="14">
        <v>3.9020000000000001</v>
      </c>
      <c r="R95" s="11">
        <v>31.364999999999998</v>
      </c>
      <c r="S95" s="13">
        <v>22.6</v>
      </c>
      <c r="T95" s="11">
        <v>-9.1999999999999998E-2</v>
      </c>
    </row>
    <row r="96" spans="7:20" x14ac:dyDescent="0.25">
      <c r="J96" s="3"/>
      <c r="K96" s="3"/>
      <c r="L96" s="3"/>
      <c r="M96" s="3"/>
      <c r="N96" s="3"/>
      <c r="O96" s="3"/>
      <c r="P96" s="3"/>
      <c r="Q96" s="3"/>
      <c r="R96" s="3"/>
      <c r="S96" s="8"/>
      <c r="T96" s="3"/>
    </row>
    <row r="97" spans="10:20" x14ac:dyDescent="0.25">
      <c r="J97" s="3"/>
      <c r="K97" s="3"/>
      <c r="L97" s="3"/>
      <c r="M97" s="3"/>
      <c r="N97" s="3"/>
      <c r="O97" s="3"/>
      <c r="P97" s="3"/>
      <c r="Q97" s="3"/>
      <c r="R97" s="3"/>
      <c r="S97" s="8"/>
      <c r="T97" s="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2A3F-FF59-46DF-B8A8-D52C55267BD9}">
  <dimension ref="A1:AI1873"/>
  <sheetViews>
    <sheetView topLeftCell="AB6" zoomScale="115" zoomScaleNormal="115" workbookViewId="0">
      <selection activeCell="AU17" sqref="AU17"/>
    </sheetView>
  </sheetViews>
  <sheetFormatPr defaultRowHeight="15" x14ac:dyDescent="0.25"/>
  <cols>
    <col min="31" max="31" width="12.7109375" bestFit="1" customWidth="1"/>
    <col min="33" max="33" width="12.85546875" bestFit="1" customWidth="1"/>
    <col min="34" max="34" width="36.5703125" bestFit="1" customWidth="1"/>
  </cols>
  <sheetData>
    <row r="1" spans="1:35" x14ac:dyDescent="0.25">
      <c r="A1">
        <v>7531</v>
      </c>
      <c r="B1">
        <v>0</v>
      </c>
      <c r="C1">
        <v>3.9740000000000002</v>
      </c>
      <c r="D1">
        <v>3.88</v>
      </c>
      <c r="E1">
        <v>3.8149999999999999</v>
      </c>
      <c r="F1">
        <v>4.0670000000000002</v>
      </c>
      <c r="G1">
        <v>3.9820000000000002</v>
      </c>
      <c r="H1">
        <v>3.8450000000000002</v>
      </c>
      <c r="I1">
        <v>3.8759999999999999</v>
      </c>
      <c r="J1">
        <v>27.439</v>
      </c>
      <c r="K1">
        <v>22.4</v>
      </c>
      <c r="L1">
        <v>-3.0000000000000001E-3</v>
      </c>
    </row>
    <row r="2" spans="1:35" x14ac:dyDescent="0.25">
      <c r="A2">
        <v>12537</v>
      </c>
      <c r="B2">
        <v>3.964</v>
      </c>
      <c r="C2">
        <v>3.9740000000000002</v>
      </c>
      <c r="D2">
        <v>3.8940000000000001</v>
      </c>
      <c r="E2">
        <v>3.819</v>
      </c>
      <c r="F2">
        <v>4.0670000000000002</v>
      </c>
      <c r="G2">
        <v>3.9820000000000002</v>
      </c>
      <c r="H2">
        <v>3.8450000000000002</v>
      </c>
      <c r="I2">
        <v>3.8759999999999999</v>
      </c>
      <c r="J2">
        <v>31.420999999999999</v>
      </c>
      <c r="K2">
        <v>22.4</v>
      </c>
      <c r="L2">
        <v>-2.5999999999999999E-2</v>
      </c>
    </row>
    <row r="3" spans="1:35" x14ac:dyDescent="0.25">
      <c r="A3">
        <v>17543</v>
      </c>
      <c r="B3">
        <v>3.964</v>
      </c>
      <c r="C3">
        <v>3.9740000000000002</v>
      </c>
      <c r="D3">
        <v>3.8940000000000001</v>
      </c>
      <c r="E3">
        <v>3.8010000000000002</v>
      </c>
      <c r="F3">
        <v>4.0670000000000002</v>
      </c>
      <c r="G3">
        <v>3.9820000000000002</v>
      </c>
      <c r="H3">
        <v>3.8450000000000002</v>
      </c>
      <c r="I3">
        <v>3.8759999999999999</v>
      </c>
      <c r="J3">
        <v>31.402999999999999</v>
      </c>
      <c r="K3">
        <v>22.4</v>
      </c>
      <c r="L3">
        <v>-2.8000000000000001E-2</v>
      </c>
    </row>
    <row r="4" spans="1:35" x14ac:dyDescent="0.25">
      <c r="A4">
        <v>22545</v>
      </c>
      <c r="B4">
        <v>3.964</v>
      </c>
      <c r="C4">
        <v>3.9740000000000002</v>
      </c>
      <c r="D4">
        <v>3.88</v>
      </c>
      <c r="E4">
        <v>3.8149999999999999</v>
      </c>
      <c r="F4">
        <v>4.0949999999999998</v>
      </c>
      <c r="G4">
        <v>3.9550000000000001</v>
      </c>
      <c r="H4">
        <v>3.8450000000000002</v>
      </c>
      <c r="I4">
        <v>3.8759999999999999</v>
      </c>
      <c r="J4">
        <v>31.404</v>
      </c>
      <c r="K4">
        <v>22.4</v>
      </c>
      <c r="L4">
        <v>-2.9000000000000001E-2</v>
      </c>
      <c r="AG4" t="s">
        <v>55</v>
      </c>
      <c r="AH4" t="s">
        <v>67</v>
      </c>
    </row>
    <row r="5" spans="1:35" x14ac:dyDescent="0.25">
      <c r="A5">
        <v>27548</v>
      </c>
      <c r="B5">
        <v>3.9590000000000001</v>
      </c>
      <c r="C5">
        <v>3.97</v>
      </c>
      <c r="D5">
        <v>3.8740000000000001</v>
      </c>
      <c r="E5">
        <v>3.8119999999999998</v>
      </c>
      <c r="F5">
        <v>4.085</v>
      </c>
      <c r="G5">
        <v>3.9540000000000002</v>
      </c>
      <c r="H5">
        <v>3.8410000000000002</v>
      </c>
      <c r="I5">
        <v>3.9079999999999999</v>
      </c>
      <c r="J5">
        <v>31.402999999999999</v>
      </c>
      <c r="K5">
        <v>22.5</v>
      </c>
      <c r="L5">
        <v>-2.4E-2</v>
      </c>
      <c r="AG5" t="s">
        <v>56</v>
      </c>
      <c r="AH5" cm="1">
        <f t="array" ref="AH5">MAX(ABS(AH13:AH50))</f>
        <v>1.02</v>
      </c>
    </row>
    <row r="6" spans="1:35" x14ac:dyDescent="0.25">
      <c r="A6">
        <v>32553</v>
      </c>
      <c r="B6">
        <v>3.9590000000000001</v>
      </c>
      <c r="C6">
        <v>3.97</v>
      </c>
      <c r="D6">
        <v>3.8740000000000001</v>
      </c>
      <c r="E6">
        <v>3.8119999999999998</v>
      </c>
      <c r="F6">
        <v>4.085</v>
      </c>
      <c r="G6">
        <v>3.9540000000000002</v>
      </c>
      <c r="H6">
        <v>3.8410000000000002</v>
      </c>
      <c r="I6">
        <v>3.9079999999999999</v>
      </c>
      <c r="J6">
        <v>31.402999999999999</v>
      </c>
      <c r="K6">
        <v>22.4</v>
      </c>
      <c r="L6">
        <v>-2.5000000000000001E-2</v>
      </c>
      <c r="AG6" t="s">
        <v>57</v>
      </c>
      <c r="AH6" cm="1">
        <f t="array" ref="AH6">MIN(ABS(AH13:AH50))</f>
        <v>0.97599999999999998</v>
      </c>
    </row>
    <row r="7" spans="1:35" x14ac:dyDescent="0.25">
      <c r="A7">
        <v>37595</v>
      </c>
      <c r="B7">
        <v>3.9590000000000001</v>
      </c>
      <c r="C7">
        <v>3.97</v>
      </c>
      <c r="D7">
        <v>3.8740000000000001</v>
      </c>
      <c r="E7">
        <v>3.8119999999999998</v>
      </c>
      <c r="F7">
        <v>4.085</v>
      </c>
      <c r="G7">
        <v>3.9540000000000002</v>
      </c>
      <c r="H7">
        <v>3.8410000000000002</v>
      </c>
      <c r="I7">
        <v>3.9079999999999999</v>
      </c>
      <c r="J7">
        <v>31.402999999999999</v>
      </c>
      <c r="K7">
        <v>22.4</v>
      </c>
      <c r="L7">
        <v>-2.8000000000000001E-2</v>
      </c>
      <c r="Q7">
        <v>3.8420000000000001</v>
      </c>
      <c r="R7">
        <v>3.8490000000000002</v>
      </c>
      <c r="S7">
        <v>3.7930000000000001</v>
      </c>
      <c r="T7">
        <v>3.7210000000000001</v>
      </c>
      <c r="U7">
        <v>3.99</v>
      </c>
      <c r="V7">
        <v>3.8149999999999999</v>
      </c>
      <c r="W7">
        <v>3.7549999999999999</v>
      </c>
      <c r="X7">
        <v>3.7690000000000001</v>
      </c>
      <c r="Y7">
        <v>30.533999999999999</v>
      </c>
      <c r="Z7">
        <v>21</v>
      </c>
      <c r="AG7" t="s">
        <v>58</v>
      </c>
      <c r="AH7" s="16" cm="1">
        <f t="array" ref="AH7">AVERAGE(ABS(AH13:AH50))</f>
        <v>0.98865789473684185</v>
      </c>
    </row>
    <row r="8" spans="1:35" x14ac:dyDescent="0.25">
      <c r="A8">
        <v>42607</v>
      </c>
      <c r="B8">
        <v>3.964</v>
      </c>
      <c r="C8">
        <v>3.9740000000000002</v>
      </c>
      <c r="D8">
        <v>3.8940000000000001</v>
      </c>
      <c r="E8">
        <v>3.8010000000000002</v>
      </c>
      <c r="F8">
        <v>4.085</v>
      </c>
      <c r="G8">
        <v>3.9540000000000002</v>
      </c>
      <c r="H8">
        <v>3.8410000000000002</v>
      </c>
      <c r="I8">
        <v>3.9079999999999999</v>
      </c>
      <c r="J8">
        <v>31.420999999999999</v>
      </c>
      <c r="K8">
        <v>22.5</v>
      </c>
      <c r="L8">
        <v>-3.6999999999999998E-2</v>
      </c>
      <c r="Q8">
        <v>3.8370000000000002</v>
      </c>
      <c r="R8">
        <v>3.8450000000000002</v>
      </c>
      <c r="S8">
        <v>3.7869999999999999</v>
      </c>
      <c r="T8">
        <v>3.7170000000000001</v>
      </c>
      <c r="U8">
        <v>3.9710000000000001</v>
      </c>
      <c r="V8">
        <v>3.8130000000000002</v>
      </c>
      <c r="W8">
        <v>3.7789999999999999</v>
      </c>
      <c r="X8">
        <v>3.7629999999999999</v>
      </c>
      <c r="Y8">
        <v>30.512</v>
      </c>
      <c r="Z8">
        <v>21.1</v>
      </c>
      <c r="AG8" t="s">
        <v>68</v>
      </c>
      <c r="AH8" s="16">
        <f>ABS(Table13[[#Headers],[1]]-AH7)</f>
        <v>1.1342105263158153E-2</v>
      </c>
    </row>
    <row r="9" spans="1:35" x14ac:dyDescent="0.25">
      <c r="A9">
        <v>47609</v>
      </c>
      <c r="B9">
        <v>3.9590000000000001</v>
      </c>
      <c r="C9">
        <v>3.97</v>
      </c>
      <c r="D9">
        <v>3.8889999999999998</v>
      </c>
      <c r="E9">
        <v>3.7970000000000002</v>
      </c>
      <c r="F9">
        <v>4.085</v>
      </c>
      <c r="G9">
        <v>3.9540000000000002</v>
      </c>
      <c r="H9">
        <v>3.8410000000000002</v>
      </c>
      <c r="I9">
        <v>3.9079999999999999</v>
      </c>
      <c r="J9">
        <v>31.402999999999999</v>
      </c>
      <c r="K9">
        <v>22.4</v>
      </c>
      <c r="L9">
        <v>-3.3000000000000002E-2</v>
      </c>
      <c r="Q9">
        <v>3.8370000000000002</v>
      </c>
      <c r="R9">
        <v>3.8359999999999999</v>
      </c>
      <c r="S9">
        <v>3.7810000000000001</v>
      </c>
      <c r="T9">
        <v>3.714</v>
      </c>
      <c r="U9">
        <v>3.9710000000000001</v>
      </c>
      <c r="V9">
        <v>3.8130000000000002</v>
      </c>
      <c r="W9">
        <v>3.7469999999999999</v>
      </c>
      <c r="X9">
        <v>3.7559999999999998</v>
      </c>
      <c r="Y9">
        <v>30.454999999999998</v>
      </c>
      <c r="Z9">
        <v>21.1</v>
      </c>
      <c r="AG9" s="6" t="s">
        <v>60</v>
      </c>
      <c r="AH9" s="1">
        <f>AH8/1</f>
        <v>1.1342105263158153E-2</v>
      </c>
    </row>
    <row r="10" spans="1:35" x14ac:dyDescent="0.25">
      <c r="A10">
        <v>52615</v>
      </c>
      <c r="B10">
        <v>3.964</v>
      </c>
      <c r="C10">
        <v>3.9649999999999999</v>
      </c>
      <c r="D10">
        <v>3.8889999999999998</v>
      </c>
      <c r="E10">
        <v>3.8149999999999999</v>
      </c>
      <c r="F10">
        <v>4.085</v>
      </c>
      <c r="G10">
        <v>3.9540000000000002</v>
      </c>
      <c r="H10">
        <v>3.8410000000000002</v>
      </c>
      <c r="I10">
        <v>3.9079999999999999</v>
      </c>
      <c r="J10">
        <v>31.420999999999999</v>
      </c>
      <c r="K10">
        <v>22.5</v>
      </c>
      <c r="L10">
        <v>-4.3999999999999997E-2</v>
      </c>
      <c r="Q10">
        <v>3.8319999999999999</v>
      </c>
      <c r="R10">
        <v>3.8410000000000002</v>
      </c>
      <c r="S10">
        <v>3.7810000000000001</v>
      </c>
      <c r="T10">
        <v>3.714</v>
      </c>
      <c r="U10">
        <v>3.9889999999999999</v>
      </c>
      <c r="V10">
        <v>3.8130000000000002</v>
      </c>
      <c r="W10">
        <v>3.7469999999999999</v>
      </c>
      <c r="X10">
        <v>3.718</v>
      </c>
      <c r="Y10">
        <v>30.434999999999999</v>
      </c>
      <c r="Z10">
        <v>21.1</v>
      </c>
      <c r="AG10" t="s">
        <v>61</v>
      </c>
      <c r="AH10" s="17">
        <f>MAX(ABS(AH5-1),ABS(AH6-1))</f>
        <v>2.4000000000000021E-2</v>
      </c>
    </row>
    <row r="11" spans="1:35" x14ac:dyDescent="0.25">
      <c r="A11">
        <v>57622</v>
      </c>
      <c r="B11">
        <v>3.9590000000000001</v>
      </c>
      <c r="C11">
        <v>3.97</v>
      </c>
      <c r="D11">
        <v>3.8889999999999998</v>
      </c>
      <c r="E11">
        <v>3.7970000000000002</v>
      </c>
      <c r="F11">
        <v>4.085</v>
      </c>
      <c r="G11">
        <v>3.9540000000000002</v>
      </c>
      <c r="H11">
        <v>3.8410000000000002</v>
      </c>
      <c r="I11">
        <v>3.9079999999999999</v>
      </c>
      <c r="J11">
        <v>31.402999999999999</v>
      </c>
      <c r="K11">
        <v>22.4</v>
      </c>
      <c r="L11">
        <v>-2.1000000000000001E-2</v>
      </c>
      <c r="Q11">
        <v>3.827</v>
      </c>
      <c r="R11">
        <v>3.8460000000000001</v>
      </c>
      <c r="S11">
        <v>3.7810000000000001</v>
      </c>
      <c r="T11">
        <v>3.6960000000000002</v>
      </c>
      <c r="U11">
        <v>3.9620000000000002</v>
      </c>
      <c r="V11">
        <v>3.8119999999999998</v>
      </c>
      <c r="W11">
        <v>3.7429999999999999</v>
      </c>
      <c r="X11">
        <v>3.75</v>
      </c>
      <c r="Y11">
        <v>30.417000000000002</v>
      </c>
      <c r="Z11">
        <v>21.1</v>
      </c>
      <c r="AG11" s="6" t="s">
        <v>60</v>
      </c>
      <c r="AH11" s="1">
        <f>AH10/1</f>
        <v>2.4000000000000021E-2</v>
      </c>
    </row>
    <row r="12" spans="1:35" x14ac:dyDescent="0.25">
      <c r="A12">
        <v>62623</v>
      </c>
      <c r="B12">
        <v>3.9590000000000001</v>
      </c>
      <c r="C12">
        <v>3.97</v>
      </c>
      <c r="D12">
        <v>3.8889999999999998</v>
      </c>
      <c r="E12">
        <v>3.7970000000000002</v>
      </c>
      <c r="F12">
        <v>4.085</v>
      </c>
      <c r="G12">
        <v>3.9540000000000002</v>
      </c>
      <c r="H12">
        <v>3.8410000000000002</v>
      </c>
      <c r="I12">
        <v>3.9079999999999999</v>
      </c>
      <c r="J12">
        <v>31.402999999999999</v>
      </c>
      <c r="K12">
        <v>22.5</v>
      </c>
      <c r="L12">
        <v>-3.7999999999999999E-2</v>
      </c>
      <c r="Q12">
        <v>3.8319999999999999</v>
      </c>
      <c r="R12">
        <v>3.8319999999999999</v>
      </c>
      <c r="S12">
        <v>3.7759999999999998</v>
      </c>
      <c r="T12">
        <v>3.7109999999999999</v>
      </c>
      <c r="U12">
        <v>3.9620000000000002</v>
      </c>
      <c r="V12">
        <v>3.8119999999999998</v>
      </c>
      <c r="W12">
        <v>3.7429999999999999</v>
      </c>
      <c r="X12">
        <v>3.75</v>
      </c>
      <c r="Y12">
        <v>30.417999999999999</v>
      </c>
      <c r="Z12">
        <v>21.1</v>
      </c>
      <c r="AE12" t="s">
        <v>63</v>
      </c>
      <c r="AF12" t="s">
        <v>69</v>
      </c>
      <c r="AI12" t="s">
        <v>70</v>
      </c>
    </row>
    <row r="13" spans="1:35" x14ac:dyDescent="0.25">
      <c r="A13">
        <v>67660</v>
      </c>
      <c r="B13">
        <v>3.9590000000000001</v>
      </c>
      <c r="C13">
        <v>3.97</v>
      </c>
      <c r="D13">
        <v>3.8889999999999998</v>
      </c>
      <c r="E13">
        <v>3.7970000000000002</v>
      </c>
      <c r="F13">
        <v>4.085</v>
      </c>
      <c r="G13">
        <v>3.9540000000000002</v>
      </c>
      <c r="H13">
        <v>3.8410000000000002</v>
      </c>
      <c r="I13">
        <v>3.9079999999999999</v>
      </c>
      <c r="J13">
        <v>31.402999999999999</v>
      </c>
      <c r="K13">
        <v>22.4</v>
      </c>
      <c r="L13">
        <v>-3.2000000000000001E-2</v>
      </c>
      <c r="Q13">
        <v>3.827</v>
      </c>
      <c r="R13">
        <v>3.8370000000000002</v>
      </c>
      <c r="S13">
        <v>3.7759999999999998</v>
      </c>
      <c r="T13">
        <v>3.7109999999999999</v>
      </c>
      <c r="U13">
        <v>3.9620000000000002</v>
      </c>
      <c r="V13">
        <v>3.7829999999999999</v>
      </c>
      <c r="W13">
        <v>3.7709999999999999</v>
      </c>
      <c r="X13">
        <v>3.75</v>
      </c>
      <c r="Y13">
        <v>30.417000000000002</v>
      </c>
      <c r="Z13">
        <v>21.1</v>
      </c>
      <c r="AD13">
        <v>322994</v>
      </c>
      <c r="AF13">
        <f>FLOOR(AD13/1000,1) - 322</f>
        <v>0</v>
      </c>
      <c r="AH13">
        <v>-0.98</v>
      </c>
      <c r="AI13">
        <f>ABS(AH13)</f>
        <v>0.98</v>
      </c>
    </row>
    <row r="14" spans="1:35" x14ac:dyDescent="0.25">
      <c r="A14">
        <v>72661</v>
      </c>
      <c r="B14">
        <v>3.9590000000000001</v>
      </c>
      <c r="C14">
        <v>3.97</v>
      </c>
      <c r="D14">
        <v>3.8740000000000001</v>
      </c>
      <c r="E14">
        <v>3.8119999999999998</v>
      </c>
      <c r="F14">
        <v>4.085</v>
      </c>
      <c r="G14">
        <v>3.9540000000000002</v>
      </c>
      <c r="H14">
        <v>3.8410000000000002</v>
      </c>
      <c r="I14">
        <v>3.9079999999999999</v>
      </c>
      <c r="J14">
        <v>31.402999999999999</v>
      </c>
      <c r="K14">
        <v>22.5</v>
      </c>
      <c r="L14">
        <v>-2.4E-2</v>
      </c>
      <c r="Q14">
        <v>3.827</v>
      </c>
      <c r="R14">
        <v>3.8370000000000002</v>
      </c>
      <c r="S14">
        <v>3.7759999999999998</v>
      </c>
      <c r="T14">
        <v>3.6930000000000001</v>
      </c>
      <c r="U14">
        <v>3.952</v>
      </c>
      <c r="V14">
        <v>3.839</v>
      </c>
      <c r="W14">
        <v>3.71</v>
      </c>
      <c r="X14">
        <v>3.7440000000000002</v>
      </c>
      <c r="Y14">
        <v>30.378</v>
      </c>
      <c r="Z14">
        <v>21.2</v>
      </c>
      <c r="AD14">
        <v>327996</v>
      </c>
      <c r="AF14">
        <f>FLOOR(AD14/1000,1) - 322</f>
        <v>5</v>
      </c>
      <c r="AH14">
        <v>-0.98399999999999999</v>
      </c>
      <c r="AI14">
        <f t="shared" ref="AI14:AI50" si="0">ABS(AH14)</f>
        <v>0.98399999999999999</v>
      </c>
    </row>
    <row r="15" spans="1:35" x14ac:dyDescent="0.25">
      <c r="A15">
        <v>77665</v>
      </c>
      <c r="B15">
        <v>3.9590000000000001</v>
      </c>
      <c r="C15">
        <v>3.97</v>
      </c>
      <c r="D15">
        <v>3.8889999999999998</v>
      </c>
      <c r="E15">
        <v>3.7970000000000002</v>
      </c>
      <c r="F15">
        <v>4.085</v>
      </c>
      <c r="G15">
        <v>3.9540000000000002</v>
      </c>
      <c r="H15">
        <v>3.8410000000000002</v>
      </c>
      <c r="I15">
        <v>3.9079999999999999</v>
      </c>
      <c r="J15">
        <v>31.402999999999999</v>
      </c>
      <c r="K15">
        <v>22.5</v>
      </c>
      <c r="L15">
        <v>-4.7E-2</v>
      </c>
      <c r="Q15">
        <v>3.827</v>
      </c>
      <c r="R15">
        <v>3.8279999999999998</v>
      </c>
      <c r="S15">
        <v>3.7839999999999998</v>
      </c>
      <c r="T15">
        <v>3.6930000000000001</v>
      </c>
      <c r="U15">
        <v>3.97</v>
      </c>
      <c r="V15">
        <v>3.8109999999999999</v>
      </c>
      <c r="W15">
        <v>3.7389999999999999</v>
      </c>
      <c r="X15">
        <v>3.7440000000000002</v>
      </c>
      <c r="Y15">
        <v>30.396000000000001</v>
      </c>
      <c r="Z15">
        <v>21.1</v>
      </c>
      <c r="AD15">
        <v>332997</v>
      </c>
      <c r="AF15">
        <f>FLOOR(AD15/1000,1) - 322</f>
        <v>10</v>
      </c>
      <c r="AH15">
        <v>-1.004</v>
      </c>
      <c r="AI15">
        <f t="shared" si="0"/>
        <v>1.004</v>
      </c>
    </row>
    <row r="16" spans="1:35" x14ac:dyDescent="0.25">
      <c r="A16">
        <v>82670</v>
      </c>
      <c r="B16">
        <v>3.9590000000000001</v>
      </c>
      <c r="C16">
        <v>3.97</v>
      </c>
      <c r="D16">
        <v>3.8889999999999998</v>
      </c>
      <c r="E16">
        <v>3.7970000000000002</v>
      </c>
      <c r="F16">
        <v>4.085</v>
      </c>
      <c r="G16">
        <v>3.9540000000000002</v>
      </c>
      <c r="H16">
        <v>3.8410000000000002</v>
      </c>
      <c r="I16">
        <v>3.9079999999999999</v>
      </c>
      <c r="J16">
        <v>31.402999999999999</v>
      </c>
      <c r="K16">
        <v>22.4</v>
      </c>
      <c r="L16">
        <v>-5.3999999999999999E-2</v>
      </c>
      <c r="Q16">
        <v>3.827</v>
      </c>
      <c r="R16">
        <v>3.8279999999999998</v>
      </c>
      <c r="S16">
        <v>3.77</v>
      </c>
      <c r="T16">
        <v>3.7069999999999999</v>
      </c>
      <c r="U16">
        <v>3.952</v>
      </c>
      <c r="V16">
        <v>3.8109999999999999</v>
      </c>
      <c r="W16">
        <v>3.7389999999999999</v>
      </c>
      <c r="X16">
        <v>3.7440000000000002</v>
      </c>
      <c r="Y16">
        <v>30.378</v>
      </c>
      <c r="Z16">
        <v>21.1</v>
      </c>
      <c r="AD16">
        <v>338038</v>
      </c>
      <c r="AF16">
        <f t="shared" ref="AF16:AF50" si="1">FLOOR(AD16/1000,1) - 323</f>
        <v>15</v>
      </c>
      <c r="AH16">
        <v>-1.0089999999999999</v>
      </c>
      <c r="AI16">
        <f t="shared" si="0"/>
        <v>1.0089999999999999</v>
      </c>
    </row>
    <row r="17" spans="1:35" x14ac:dyDescent="0.25">
      <c r="A17">
        <v>87678</v>
      </c>
      <c r="B17">
        <v>3.9590000000000001</v>
      </c>
      <c r="C17">
        <v>3.97</v>
      </c>
      <c r="D17">
        <v>3.8889999999999998</v>
      </c>
      <c r="E17">
        <v>3.7970000000000002</v>
      </c>
      <c r="F17">
        <v>4.085</v>
      </c>
      <c r="G17">
        <v>3.9540000000000002</v>
      </c>
      <c r="H17">
        <v>3.8410000000000002</v>
      </c>
      <c r="I17">
        <v>3.9079999999999999</v>
      </c>
      <c r="J17">
        <v>31.402999999999999</v>
      </c>
      <c r="K17">
        <v>22.4</v>
      </c>
      <c r="L17">
        <v>-4.7E-2</v>
      </c>
      <c r="Q17">
        <v>3.8220000000000001</v>
      </c>
      <c r="R17">
        <v>3.8330000000000002</v>
      </c>
      <c r="S17">
        <v>3.77</v>
      </c>
      <c r="T17">
        <v>3.69</v>
      </c>
      <c r="U17">
        <v>3.9420000000000002</v>
      </c>
      <c r="V17">
        <v>3.8380000000000001</v>
      </c>
      <c r="W17">
        <v>3.7389999999999999</v>
      </c>
      <c r="X17">
        <v>3.7050000000000001</v>
      </c>
      <c r="Y17">
        <v>30.338999999999999</v>
      </c>
      <c r="Z17">
        <v>21.1</v>
      </c>
      <c r="AD17">
        <v>343049</v>
      </c>
      <c r="AF17">
        <f t="shared" si="1"/>
        <v>20</v>
      </c>
      <c r="AH17">
        <v>-1.0089999999999999</v>
      </c>
      <c r="AI17">
        <f t="shared" si="0"/>
        <v>1.0089999999999999</v>
      </c>
    </row>
    <row r="18" spans="1:35" x14ac:dyDescent="0.25">
      <c r="A18">
        <v>92678</v>
      </c>
      <c r="B18">
        <v>3.9590000000000001</v>
      </c>
      <c r="C18">
        <v>3.97</v>
      </c>
      <c r="D18">
        <v>3.8889999999999998</v>
      </c>
      <c r="E18">
        <v>3.7970000000000002</v>
      </c>
      <c r="F18">
        <v>4.085</v>
      </c>
      <c r="G18">
        <v>3.9540000000000002</v>
      </c>
      <c r="H18">
        <v>3.8410000000000002</v>
      </c>
      <c r="I18">
        <v>3.9079999999999999</v>
      </c>
      <c r="J18">
        <v>31.402999999999999</v>
      </c>
      <c r="K18">
        <v>22.5</v>
      </c>
      <c r="L18">
        <v>-5.0999999999999997E-2</v>
      </c>
      <c r="Q18">
        <v>3.8220000000000001</v>
      </c>
      <c r="R18">
        <v>3.8239999999999998</v>
      </c>
      <c r="S18">
        <v>3.7789999999999999</v>
      </c>
      <c r="T18">
        <v>3.69</v>
      </c>
      <c r="U18">
        <v>3.96</v>
      </c>
      <c r="V18">
        <v>3.8090000000000002</v>
      </c>
      <c r="W18">
        <v>3.7349999999999999</v>
      </c>
      <c r="X18">
        <v>3.7370000000000001</v>
      </c>
      <c r="Y18">
        <v>30.356000000000002</v>
      </c>
      <c r="Z18">
        <v>21.1</v>
      </c>
      <c r="AD18">
        <v>348056</v>
      </c>
      <c r="AF18">
        <f t="shared" si="1"/>
        <v>25</v>
      </c>
      <c r="AH18">
        <v>-0.99299999999999999</v>
      </c>
      <c r="AI18">
        <f t="shared" si="0"/>
        <v>0.99299999999999999</v>
      </c>
    </row>
    <row r="19" spans="1:35" x14ac:dyDescent="0.25">
      <c r="A19">
        <v>97735</v>
      </c>
      <c r="B19">
        <v>3.9590000000000001</v>
      </c>
      <c r="C19">
        <v>3.97</v>
      </c>
      <c r="D19">
        <v>3.8889999999999998</v>
      </c>
      <c r="E19">
        <v>3.7970000000000002</v>
      </c>
      <c r="F19">
        <v>4.085</v>
      </c>
      <c r="G19">
        <v>3.9540000000000002</v>
      </c>
      <c r="H19">
        <v>3.8410000000000002</v>
      </c>
      <c r="I19">
        <v>3.9079999999999999</v>
      </c>
      <c r="J19">
        <v>31.402999999999999</v>
      </c>
      <c r="K19">
        <v>22.4</v>
      </c>
      <c r="L19">
        <v>-0.05</v>
      </c>
      <c r="Q19">
        <v>3.8220000000000001</v>
      </c>
      <c r="R19">
        <v>3.8239999999999998</v>
      </c>
      <c r="S19">
        <v>3.7789999999999999</v>
      </c>
      <c r="T19">
        <v>3.69</v>
      </c>
      <c r="U19">
        <v>3.96</v>
      </c>
      <c r="V19">
        <v>3.8090000000000002</v>
      </c>
      <c r="W19">
        <v>3.7349999999999999</v>
      </c>
      <c r="X19">
        <v>3.7370000000000001</v>
      </c>
      <c r="Y19">
        <v>30.356000000000002</v>
      </c>
      <c r="Z19">
        <v>21.1</v>
      </c>
      <c r="AD19">
        <v>353056</v>
      </c>
      <c r="AF19">
        <f t="shared" si="1"/>
        <v>30</v>
      </c>
      <c r="AH19">
        <v>-0.99</v>
      </c>
      <c r="AI19">
        <f t="shared" si="0"/>
        <v>0.99</v>
      </c>
    </row>
    <row r="20" spans="1:35" x14ac:dyDescent="0.25">
      <c r="A20">
        <v>102736</v>
      </c>
      <c r="B20">
        <v>3.9590000000000001</v>
      </c>
      <c r="C20">
        <v>3.97</v>
      </c>
      <c r="D20">
        <v>3.8889999999999998</v>
      </c>
      <c r="E20">
        <v>3.7970000000000002</v>
      </c>
      <c r="F20">
        <v>4.085</v>
      </c>
      <c r="G20">
        <v>3.9540000000000002</v>
      </c>
      <c r="H20">
        <v>3.8410000000000002</v>
      </c>
      <c r="I20">
        <v>3.9079999999999999</v>
      </c>
      <c r="J20">
        <v>31.402999999999999</v>
      </c>
      <c r="K20">
        <v>22.5</v>
      </c>
      <c r="L20">
        <v>-0.05</v>
      </c>
      <c r="Q20">
        <v>3.8170000000000002</v>
      </c>
      <c r="R20">
        <v>3.8290000000000002</v>
      </c>
      <c r="S20">
        <v>3.7789999999999999</v>
      </c>
      <c r="T20">
        <v>3.69</v>
      </c>
      <c r="U20">
        <v>3.9329999999999998</v>
      </c>
      <c r="V20">
        <v>3.8370000000000002</v>
      </c>
      <c r="W20">
        <v>3.7349999999999999</v>
      </c>
      <c r="X20">
        <v>3.7370000000000001</v>
      </c>
      <c r="Y20">
        <v>30.356999999999999</v>
      </c>
      <c r="Z20">
        <v>21.1</v>
      </c>
      <c r="AD20">
        <v>358063</v>
      </c>
      <c r="AF20">
        <f t="shared" si="1"/>
        <v>35</v>
      </c>
      <c r="AH20">
        <v>-0.99299999999999999</v>
      </c>
      <c r="AI20">
        <f t="shared" si="0"/>
        <v>0.99299999999999999</v>
      </c>
    </row>
    <row r="21" spans="1:35" x14ac:dyDescent="0.25">
      <c r="A21">
        <v>107740</v>
      </c>
      <c r="B21">
        <v>3.9590000000000001</v>
      </c>
      <c r="C21">
        <v>3.97</v>
      </c>
      <c r="D21">
        <v>3.8889999999999998</v>
      </c>
      <c r="E21">
        <v>3.8149999999999999</v>
      </c>
      <c r="F21">
        <v>4.085</v>
      </c>
      <c r="G21">
        <v>3.9540000000000002</v>
      </c>
      <c r="H21">
        <v>3.8410000000000002</v>
      </c>
      <c r="I21">
        <v>3.9079999999999999</v>
      </c>
      <c r="J21">
        <v>31.420999999999999</v>
      </c>
      <c r="K21">
        <v>22.5</v>
      </c>
      <c r="L21">
        <v>-5.2999999999999999E-2</v>
      </c>
      <c r="Q21">
        <v>3.8170000000000002</v>
      </c>
      <c r="R21">
        <v>3.8290000000000002</v>
      </c>
      <c r="S21">
        <v>3.7789999999999999</v>
      </c>
      <c r="T21">
        <v>3.69</v>
      </c>
      <c r="U21">
        <v>3.96</v>
      </c>
      <c r="V21">
        <v>3.7810000000000001</v>
      </c>
      <c r="W21">
        <v>3.73</v>
      </c>
      <c r="X21">
        <v>3.77</v>
      </c>
      <c r="Y21">
        <v>30.356000000000002</v>
      </c>
      <c r="Z21">
        <v>21.2</v>
      </c>
      <c r="AD21">
        <v>363063</v>
      </c>
      <c r="AF21">
        <f t="shared" si="1"/>
        <v>40</v>
      </c>
      <c r="AH21">
        <v>-0.98899999999999999</v>
      </c>
      <c r="AI21">
        <f t="shared" si="0"/>
        <v>0.98899999999999999</v>
      </c>
    </row>
    <row r="22" spans="1:35" x14ac:dyDescent="0.25">
      <c r="A22">
        <v>112746</v>
      </c>
      <c r="B22">
        <v>3.9590000000000001</v>
      </c>
      <c r="C22">
        <v>3.97</v>
      </c>
      <c r="D22">
        <v>3.8889999999999998</v>
      </c>
      <c r="E22">
        <v>3.7970000000000002</v>
      </c>
      <c r="F22">
        <v>4.085</v>
      </c>
      <c r="G22">
        <v>3.9540000000000002</v>
      </c>
      <c r="H22">
        <v>3.8410000000000002</v>
      </c>
      <c r="I22">
        <v>3.9079999999999999</v>
      </c>
      <c r="J22">
        <v>31.402999999999999</v>
      </c>
      <c r="K22">
        <v>22.5</v>
      </c>
      <c r="L22">
        <v>-5.8000000000000003E-2</v>
      </c>
      <c r="Q22">
        <v>3.8170000000000002</v>
      </c>
      <c r="R22">
        <v>3.8290000000000002</v>
      </c>
      <c r="S22">
        <v>3.7639999999999998</v>
      </c>
      <c r="T22">
        <v>3.7040000000000002</v>
      </c>
      <c r="U22">
        <v>3.96</v>
      </c>
      <c r="V22">
        <v>3.8090000000000002</v>
      </c>
      <c r="W22">
        <v>3.7349999999999999</v>
      </c>
      <c r="X22">
        <v>3.698</v>
      </c>
      <c r="Y22">
        <v>30.315999999999999</v>
      </c>
      <c r="Z22">
        <v>21.2</v>
      </c>
      <c r="AD22">
        <v>368066</v>
      </c>
      <c r="AF22">
        <f t="shared" si="1"/>
        <v>45</v>
      </c>
      <c r="AH22">
        <v>-0.996</v>
      </c>
      <c r="AI22">
        <f t="shared" si="0"/>
        <v>0.996</v>
      </c>
    </row>
    <row r="23" spans="1:35" x14ac:dyDescent="0.25">
      <c r="A23">
        <v>117754</v>
      </c>
      <c r="B23">
        <v>3.964</v>
      </c>
      <c r="C23">
        <v>3.9649999999999999</v>
      </c>
      <c r="D23">
        <v>3.8889999999999998</v>
      </c>
      <c r="E23">
        <v>3.7970000000000002</v>
      </c>
      <c r="F23">
        <v>4.085</v>
      </c>
      <c r="G23">
        <v>3.9540000000000002</v>
      </c>
      <c r="H23">
        <v>3.8410000000000002</v>
      </c>
      <c r="I23">
        <v>3.9079999999999999</v>
      </c>
      <c r="J23">
        <v>31.402999999999999</v>
      </c>
      <c r="K23">
        <v>22.5</v>
      </c>
      <c r="L23">
        <v>-3.7999999999999999E-2</v>
      </c>
      <c r="Q23">
        <v>3.8170000000000002</v>
      </c>
      <c r="R23">
        <v>3.8290000000000002</v>
      </c>
      <c r="S23">
        <v>3.7639999999999998</v>
      </c>
      <c r="T23">
        <v>3.7040000000000002</v>
      </c>
      <c r="U23">
        <v>3.9329999999999998</v>
      </c>
      <c r="V23">
        <v>3.8079999999999998</v>
      </c>
      <c r="W23">
        <v>3.73</v>
      </c>
      <c r="X23">
        <v>3.7309999999999999</v>
      </c>
      <c r="Y23">
        <v>30.315999999999999</v>
      </c>
      <c r="Z23">
        <v>21.1</v>
      </c>
      <c r="AD23">
        <v>373066</v>
      </c>
      <c r="AF23">
        <f t="shared" si="1"/>
        <v>50</v>
      </c>
      <c r="AH23">
        <v>-0.99399999999999999</v>
      </c>
      <c r="AI23">
        <f t="shared" si="0"/>
        <v>0.99399999999999999</v>
      </c>
    </row>
    <row r="24" spans="1:35" x14ac:dyDescent="0.25">
      <c r="A24">
        <v>122754</v>
      </c>
      <c r="B24">
        <v>3.9590000000000001</v>
      </c>
      <c r="C24">
        <v>3.97</v>
      </c>
      <c r="D24">
        <v>3.8889999999999998</v>
      </c>
      <c r="E24">
        <v>3.7970000000000002</v>
      </c>
      <c r="F24">
        <v>4.085</v>
      </c>
      <c r="G24">
        <v>3.9540000000000002</v>
      </c>
      <c r="H24">
        <v>3.8410000000000002</v>
      </c>
      <c r="I24">
        <v>3.9079999999999999</v>
      </c>
      <c r="J24">
        <v>31.402999999999999</v>
      </c>
      <c r="K24">
        <v>22.5</v>
      </c>
      <c r="L24">
        <v>-6.8000000000000005E-2</v>
      </c>
      <c r="Q24">
        <v>3.8170000000000002</v>
      </c>
      <c r="R24">
        <v>3.82</v>
      </c>
      <c r="S24">
        <v>3.7730000000000001</v>
      </c>
      <c r="T24">
        <v>3.6859999999999999</v>
      </c>
      <c r="U24">
        <v>3.9510000000000001</v>
      </c>
      <c r="V24">
        <v>3.8079999999999998</v>
      </c>
      <c r="W24">
        <v>3.73</v>
      </c>
      <c r="X24">
        <v>3.7309999999999999</v>
      </c>
      <c r="Y24">
        <v>30.315999999999999</v>
      </c>
      <c r="Z24">
        <v>21.1</v>
      </c>
      <c r="AD24">
        <v>378073</v>
      </c>
      <c r="AF24">
        <f t="shared" si="1"/>
        <v>55</v>
      </c>
      <c r="AH24">
        <v>-0.99099999999999999</v>
      </c>
      <c r="AI24">
        <f t="shared" si="0"/>
        <v>0.99099999999999999</v>
      </c>
    </row>
    <row r="25" spans="1:35" x14ac:dyDescent="0.25">
      <c r="A25">
        <v>127811</v>
      </c>
      <c r="B25">
        <v>3.964</v>
      </c>
      <c r="C25">
        <v>3.9649999999999999</v>
      </c>
      <c r="D25">
        <v>3.8889999999999998</v>
      </c>
      <c r="E25">
        <v>3.8149999999999999</v>
      </c>
      <c r="F25">
        <v>4.085</v>
      </c>
      <c r="G25">
        <v>3.9540000000000002</v>
      </c>
      <c r="H25">
        <v>3.8410000000000002</v>
      </c>
      <c r="I25">
        <v>3.9079999999999999</v>
      </c>
      <c r="J25">
        <v>31.420999999999999</v>
      </c>
      <c r="K25">
        <v>22.5</v>
      </c>
      <c r="L25">
        <v>-6.0999999999999999E-2</v>
      </c>
      <c r="Q25">
        <v>3.8170000000000002</v>
      </c>
      <c r="R25">
        <v>3.82</v>
      </c>
      <c r="S25">
        <v>3.7730000000000001</v>
      </c>
      <c r="T25">
        <v>3.6859999999999999</v>
      </c>
      <c r="U25">
        <v>3.9329999999999998</v>
      </c>
      <c r="V25">
        <v>3.8079999999999998</v>
      </c>
      <c r="W25">
        <v>3.73</v>
      </c>
      <c r="X25">
        <v>3.7309999999999999</v>
      </c>
      <c r="Y25">
        <v>30.297999999999998</v>
      </c>
      <c r="Z25">
        <v>21.1</v>
      </c>
      <c r="AD25">
        <v>383079</v>
      </c>
      <c r="AF25">
        <f t="shared" si="1"/>
        <v>60</v>
      </c>
      <c r="AH25">
        <v>-0.98799999999999999</v>
      </c>
      <c r="AI25">
        <f t="shared" si="0"/>
        <v>0.98799999999999999</v>
      </c>
    </row>
    <row r="26" spans="1:35" x14ac:dyDescent="0.25">
      <c r="A26">
        <v>132812</v>
      </c>
      <c r="B26">
        <v>3.9590000000000001</v>
      </c>
      <c r="C26">
        <v>3.97</v>
      </c>
      <c r="D26">
        <v>3.8889999999999998</v>
      </c>
      <c r="E26">
        <v>3.8149999999999999</v>
      </c>
      <c r="F26">
        <v>4.085</v>
      </c>
      <c r="G26">
        <v>3.9540000000000002</v>
      </c>
      <c r="H26">
        <v>3.8410000000000002</v>
      </c>
      <c r="I26">
        <v>3.9079999999999999</v>
      </c>
      <c r="J26">
        <v>31.420999999999999</v>
      </c>
      <c r="K26">
        <v>22.5</v>
      </c>
      <c r="L26">
        <v>-6.4000000000000001E-2</v>
      </c>
      <c r="Q26">
        <v>3.8119999999999998</v>
      </c>
      <c r="R26">
        <v>3.8250000000000002</v>
      </c>
      <c r="S26">
        <v>3.7730000000000001</v>
      </c>
      <c r="T26">
        <v>3.6859999999999999</v>
      </c>
      <c r="U26">
        <v>3.9510000000000001</v>
      </c>
      <c r="V26">
        <v>3.8079999999999998</v>
      </c>
      <c r="W26">
        <v>3.73</v>
      </c>
      <c r="X26">
        <v>3.7309999999999999</v>
      </c>
      <c r="Y26">
        <v>30.315999999999999</v>
      </c>
      <c r="Z26">
        <v>21.1</v>
      </c>
      <c r="AD26">
        <v>388090</v>
      </c>
      <c r="AF26">
        <f t="shared" si="1"/>
        <v>65</v>
      </c>
      <c r="AH26">
        <v>-0.997</v>
      </c>
      <c r="AI26">
        <f t="shared" si="0"/>
        <v>0.997</v>
      </c>
    </row>
    <row r="27" spans="1:35" x14ac:dyDescent="0.25">
      <c r="A27">
        <v>137816</v>
      </c>
      <c r="B27">
        <v>3.9590000000000001</v>
      </c>
      <c r="C27">
        <v>3.97</v>
      </c>
      <c r="D27">
        <v>3.8889999999999998</v>
      </c>
      <c r="E27">
        <v>3.7970000000000002</v>
      </c>
      <c r="F27">
        <v>4.085</v>
      </c>
      <c r="G27">
        <v>3.9540000000000002</v>
      </c>
      <c r="H27">
        <v>3.8410000000000002</v>
      </c>
      <c r="I27">
        <v>3.9079999999999999</v>
      </c>
      <c r="J27">
        <v>31.402999999999999</v>
      </c>
      <c r="K27">
        <v>22.5</v>
      </c>
      <c r="L27">
        <v>-3.7999999999999999E-2</v>
      </c>
      <c r="Q27">
        <v>3.8119999999999998</v>
      </c>
      <c r="R27">
        <v>3.8250000000000002</v>
      </c>
      <c r="S27">
        <v>3.7730000000000001</v>
      </c>
      <c r="T27">
        <v>3.6859999999999999</v>
      </c>
      <c r="U27">
        <v>3.9510000000000001</v>
      </c>
      <c r="V27">
        <v>3.78</v>
      </c>
      <c r="W27">
        <v>3.7589999999999999</v>
      </c>
      <c r="X27">
        <v>3.7309999999999999</v>
      </c>
      <c r="Y27">
        <v>30.317</v>
      </c>
      <c r="Z27">
        <v>21.1</v>
      </c>
      <c r="AD27">
        <v>393101</v>
      </c>
      <c r="AF27">
        <f t="shared" si="1"/>
        <v>70</v>
      </c>
      <c r="AH27">
        <v>-0.98499999999999999</v>
      </c>
      <c r="AI27">
        <f t="shared" si="0"/>
        <v>0.98499999999999999</v>
      </c>
    </row>
    <row r="28" spans="1:35" x14ac:dyDescent="0.25">
      <c r="A28">
        <v>142822</v>
      </c>
      <c r="B28">
        <v>3.9590000000000001</v>
      </c>
      <c r="C28">
        <v>3.97</v>
      </c>
      <c r="D28">
        <v>3.8889999999999998</v>
      </c>
      <c r="E28">
        <v>3.7970000000000002</v>
      </c>
      <c r="F28">
        <v>4.085</v>
      </c>
      <c r="G28">
        <v>3.9540000000000002</v>
      </c>
      <c r="H28">
        <v>3.8410000000000002</v>
      </c>
      <c r="I28">
        <v>3.9079999999999999</v>
      </c>
      <c r="J28">
        <v>31.402999999999999</v>
      </c>
      <c r="K28">
        <v>22.5</v>
      </c>
      <c r="L28">
        <v>-6.0999999999999999E-2</v>
      </c>
      <c r="Q28">
        <v>3.8119999999999998</v>
      </c>
      <c r="R28">
        <v>3.8159999999999998</v>
      </c>
      <c r="S28">
        <v>3.7669999999999999</v>
      </c>
      <c r="T28">
        <v>3.7010000000000001</v>
      </c>
      <c r="U28">
        <v>3.9510000000000001</v>
      </c>
      <c r="V28">
        <v>3.78</v>
      </c>
      <c r="W28">
        <v>3.726</v>
      </c>
      <c r="X28">
        <v>3.7250000000000001</v>
      </c>
      <c r="Y28">
        <v>30.277999999999999</v>
      </c>
      <c r="Z28">
        <v>21.1</v>
      </c>
      <c r="AD28">
        <v>398163</v>
      </c>
      <c r="AF28">
        <f t="shared" si="1"/>
        <v>75</v>
      </c>
      <c r="AH28">
        <v>-0.98399999999999999</v>
      </c>
      <c r="AI28">
        <f t="shared" si="0"/>
        <v>0.98399999999999999</v>
      </c>
    </row>
    <row r="29" spans="1:35" x14ac:dyDescent="0.25">
      <c r="A29">
        <v>147829</v>
      </c>
      <c r="B29">
        <v>3.9590000000000001</v>
      </c>
      <c r="C29">
        <v>3.97</v>
      </c>
      <c r="D29">
        <v>3.8889999999999998</v>
      </c>
      <c r="E29">
        <v>3.7970000000000002</v>
      </c>
      <c r="F29">
        <v>4.085</v>
      </c>
      <c r="G29">
        <v>3.9540000000000002</v>
      </c>
      <c r="H29">
        <v>3.8410000000000002</v>
      </c>
      <c r="I29">
        <v>3.9079999999999999</v>
      </c>
      <c r="J29">
        <v>31.402999999999999</v>
      </c>
      <c r="K29">
        <v>22.5</v>
      </c>
      <c r="L29">
        <v>-5.2999999999999999E-2</v>
      </c>
      <c r="Q29">
        <v>3.8119999999999998</v>
      </c>
      <c r="R29">
        <v>3.8250000000000002</v>
      </c>
      <c r="S29">
        <v>3.758</v>
      </c>
      <c r="T29">
        <v>3.7010000000000001</v>
      </c>
      <c r="U29">
        <v>3.9510000000000001</v>
      </c>
      <c r="V29">
        <v>3.8079999999999998</v>
      </c>
      <c r="W29">
        <v>3.73</v>
      </c>
      <c r="X29">
        <v>3.6920000000000002</v>
      </c>
      <c r="Y29">
        <v>30.277000000000001</v>
      </c>
      <c r="Z29">
        <v>21.1</v>
      </c>
      <c r="AD29">
        <v>403174</v>
      </c>
      <c r="AF29">
        <f t="shared" si="1"/>
        <v>80</v>
      </c>
      <c r="AH29">
        <v>-1.0049999999999999</v>
      </c>
      <c r="AI29">
        <f t="shared" si="0"/>
        <v>1.0049999999999999</v>
      </c>
    </row>
    <row r="30" spans="1:35" x14ac:dyDescent="0.25">
      <c r="A30">
        <v>152830</v>
      </c>
      <c r="B30">
        <v>3.9590000000000001</v>
      </c>
      <c r="C30">
        <v>3.97</v>
      </c>
      <c r="D30">
        <v>3.8889999999999998</v>
      </c>
      <c r="E30">
        <v>3.7970000000000002</v>
      </c>
      <c r="F30">
        <v>4.085</v>
      </c>
      <c r="G30">
        <v>3.9540000000000002</v>
      </c>
      <c r="H30">
        <v>3.8410000000000002</v>
      </c>
      <c r="I30">
        <v>3.9079999999999999</v>
      </c>
      <c r="J30">
        <v>31.402999999999999</v>
      </c>
      <c r="K30">
        <v>22.5</v>
      </c>
      <c r="L30">
        <v>-6.9000000000000006E-2</v>
      </c>
      <c r="Q30">
        <v>3.8119999999999998</v>
      </c>
      <c r="R30">
        <v>3.8250000000000002</v>
      </c>
      <c r="S30">
        <v>3.758</v>
      </c>
      <c r="T30">
        <v>3.7010000000000001</v>
      </c>
      <c r="U30">
        <v>3.9510000000000001</v>
      </c>
      <c r="V30">
        <v>3.78</v>
      </c>
      <c r="W30">
        <v>3.726</v>
      </c>
      <c r="X30">
        <v>3.7250000000000001</v>
      </c>
      <c r="Y30">
        <v>30.277999999999999</v>
      </c>
      <c r="Z30">
        <v>21.2</v>
      </c>
      <c r="AD30">
        <v>408176</v>
      </c>
      <c r="AF30">
        <f t="shared" si="1"/>
        <v>85</v>
      </c>
      <c r="AH30">
        <v>-0.98699999999999999</v>
      </c>
      <c r="AI30">
        <f t="shared" si="0"/>
        <v>0.98699999999999999</v>
      </c>
    </row>
    <row r="31" spans="1:35" x14ac:dyDescent="0.25">
      <c r="A31">
        <v>157887</v>
      </c>
      <c r="B31">
        <v>3.9590000000000001</v>
      </c>
      <c r="C31">
        <v>3.97</v>
      </c>
      <c r="D31">
        <v>3.8889999999999998</v>
      </c>
      <c r="E31">
        <v>3.7970000000000002</v>
      </c>
      <c r="F31">
        <v>4.085</v>
      </c>
      <c r="G31">
        <v>3.9540000000000002</v>
      </c>
      <c r="H31">
        <v>3.8410000000000002</v>
      </c>
      <c r="I31">
        <v>3.9079999999999999</v>
      </c>
      <c r="J31">
        <v>31.402999999999999</v>
      </c>
      <c r="K31">
        <v>22.5</v>
      </c>
      <c r="L31">
        <v>-5.3999999999999999E-2</v>
      </c>
      <c r="Q31">
        <v>3.8069999999999999</v>
      </c>
      <c r="R31">
        <v>3.8210000000000002</v>
      </c>
      <c r="S31">
        <v>3.7530000000000001</v>
      </c>
      <c r="T31">
        <v>3.6970000000000001</v>
      </c>
      <c r="U31">
        <v>3.9319999999999999</v>
      </c>
      <c r="V31">
        <v>3.778</v>
      </c>
      <c r="W31">
        <v>3.7509999999999999</v>
      </c>
      <c r="X31">
        <v>3.718</v>
      </c>
      <c r="Y31">
        <v>30.257000000000001</v>
      </c>
      <c r="Z31">
        <v>21.1</v>
      </c>
      <c r="AD31">
        <v>413183</v>
      </c>
      <c r="AF31">
        <f t="shared" si="1"/>
        <v>90</v>
      </c>
      <c r="AH31">
        <v>-0.98899999999999999</v>
      </c>
      <c r="AI31">
        <f t="shared" si="0"/>
        <v>0.98899999999999999</v>
      </c>
    </row>
    <row r="32" spans="1:35" x14ac:dyDescent="0.25">
      <c r="A32">
        <v>162889</v>
      </c>
      <c r="B32">
        <v>3.9590000000000001</v>
      </c>
      <c r="C32">
        <v>3.97</v>
      </c>
      <c r="D32">
        <v>3.8889999999999998</v>
      </c>
      <c r="E32">
        <v>3.7970000000000002</v>
      </c>
      <c r="F32">
        <v>4.085</v>
      </c>
      <c r="G32">
        <v>3.9540000000000002</v>
      </c>
      <c r="H32">
        <v>3.8410000000000002</v>
      </c>
      <c r="I32">
        <v>3.9079999999999999</v>
      </c>
      <c r="J32">
        <v>31.402999999999999</v>
      </c>
      <c r="K32">
        <v>22.5</v>
      </c>
      <c r="L32">
        <v>-5.8999999999999997E-2</v>
      </c>
      <c r="Q32">
        <v>3.8119999999999998</v>
      </c>
      <c r="R32">
        <v>3.8250000000000002</v>
      </c>
      <c r="S32">
        <v>3.758</v>
      </c>
      <c r="T32">
        <v>3.6829999999999998</v>
      </c>
      <c r="U32">
        <v>3.923</v>
      </c>
      <c r="V32">
        <v>3.8069999999999999</v>
      </c>
      <c r="W32">
        <v>3.726</v>
      </c>
      <c r="X32">
        <v>3.7250000000000001</v>
      </c>
      <c r="Y32">
        <v>30.259</v>
      </c>
      <c r="Z32">
        <v>21.2</v>
      </c>
      <c r="AD32">
        <v>418189</v>
      </c>
      <c r="AF32">
        <f t="shared" si="1"/>
        <v>95</v>
      </c>
      <c r="AH32">
        <v>-0.98199999999999998</v>
      </c>
      <c r="AI32">
        <f t="shared" si="0"/>
        <v>0.98199999999999998</v>
      </c>
    </row>
    <row r="33" spans="1:35" x14ac:dyDescent="0.25">
      <c r="A33">
        <v>167892</v>
      </c>
      <c r="B33">
        <v>3.9590000000000001</v>
      </c>
      <c r="C33">
        <v>3.97</v>
      </c>
      <c r="D33">
        <v>3.8889999999999998</v>
      </c>
      <c r="E33">
        <v>3.7970000000000002</v>
      </c>
      <c r="F33">
        <v>4.085</v>
      </c>
      <c r="G33">
        <v>3.9540000000000002</v>
      </c>
      <c r="H33">
        <v>3.8410000000000002</v>
      </c>
      <c r="I33">
        <v>3.9079999999999999</v>
      </c>
      <c r="J33">
        <v>31.402999999999999</v>
      </c>
      <c r="K33">
        <v>22.5</v>
      </c>
      <c r="L33">
        <v>-0.06</v>
      </c>
      <c r="Q33">
        <v>3.8119999999999998</v>
      </c>
      <c r="R33">
        <v>3.8250000000000002</v>
      </c>
      <c r="S33">
        <v>3.758</v>
      </c>
      <c r="T33">
        <v>3.6829999999999998</v>
      </c>
      <c r="U33">
        <v>3.923</v>
      </c>
      <c r="V33">
        <v>3.8069999999999999</v>
      </c>
      <c r="W33">
        <v>3.726</v>
      </c>
      <c r="X33">
        <v>3.7250000000000001</v>
      </c>
      <c r="Y33">
        <v>30.259</v>
      </c>
      <c r="Z33">
        <v>21.1</v>
      </c>
      <c r="AD33">
        <v>423190</v>
      </c>
      <c r="AF33">
        <f t="shared" si="1"/>
        <v>100</v>
      </c>
      <c r="AH33">
        <v>-0.995</v>
      </c>
      <c r="AI33">
        <f t="shared" si="0"/>
        <v>0.995</v>
      </c>
    </row>
    <row r="34" spans="1:35" x14ac:dyDescent="0.25">
      <c r="A34">
        <v>172898</v>
      </c>
      <c r="B34">
        <v>3.9590000000000001</v>
      </c>
      <c r="C34">
        <v>3.97</v>
      </c>
      <c r="D34">
        <v>3.8889999999999998</v>
      </c>
      <c r="E34">
        <v>3.7970000000000002</v>
      </c>
      <c r="F34">
        <v>4.085</v>
      </c>
      <c r="G34">
        <v>3.9540000000000002</v>
      </c>
      <c r="H34">
        <v>3.8410000000000002</v>
      </c>
      <c r="I34">
        <v>3.9079999999999999</v>
      </c>
      <c r="J34">
        <v>31.402999999999999</v>
      </c>
      <c r="K34">
        <v>22.5</v>
      </c>
      <c r="L34">
        <v>-0.06</v>
      </c>
      <c r="Q34">
        <v>3.8119999999999998</v>
      </c>
      <c r="R34">
        <v>3.8159999999999998</v>
      </c>
      <c r="S34">
        <v>3.7669999999999999</v>
      </c>
      <c r="T34">
        <v>3.6829999999999998</v>
      </c>
      <c r="U34">
        <v>3.923</v>
      </c>
      <c r="V34">
        <v>3.8069999999999999</v>
      </c>
      <c r="W34">
        <v>3.726</v>
      </c>
      <c r="X34">
        <v>3.6859999999999999</v>
      </c>
      <c r="Y34">
        <v>30.22</v>
      </c>
      <c r="Z34">
        <v>21.1</v>
      </c>
      <c r="AD34">
        <v>428197</v>
      </c>
      <c r="AF34">
        <f t="shared" si="1"/>
        <v>105</v>
      </c>
      <c r="AH34">
        <v>-0.98499999999999999</v>
      </c>
      <c r="AI34">
        <f t="shared" si="0"/>
        <v>0.98499999999999999</v>
      </c>
    </row>
    <row r="35" spans="1:35" x14ac:dyDescent="0.25">
      <c r="A35">
        <v>177906</v>
      </c>
      <c r="B35">
        <v>3.9590000000000001</v>
      </c>
      <c r="C35">
        <v>3.97</v>
      </c>
      <c r="D35">
        <v>3.8889999999999998</v>
      </c>
      <c r="E35">
        <v>3.8149999999999999</v>
      </c>
      <c r="F35">
        <v>4.085</v>
      </c>
      <c r="G35">
        <v>3.9540000000000002</v>
      </c>
      <c r="H35">
        <v>3.8410000000000002</v>
      </c>
      <c r="I35">
        <v>3.9079999999999999</v>
      </c>
      <c r="J35">
        <v>31.420999999999999</v>
      </c>
      <c r="K35">
        <v>22.4</v>
      </c>
      <c r="L35">
        <v>-7.0999999999999994E-2</v>
      </c>
      <c r="Q35">
        <v>3.8119999999999998</v>
      </c>
      <c r="R35">
        <v>3.8159999999999998</v>
      </c>
      <c r="S35">
        <v>3.7669999999999999</v>
      </c>
      <c r="T35">
        <v>3.6829999999999998</v>
      </c>
      <c r="U35">
        <v>3.9409999999999998</v>
      </c>
      <c r="V35">
        <v>3.8069999999999999</v>
      </c>
      <c r="W35">
        <v>3.726</v>
      </c>
      <c r="X35">
        <v>3.7250000000000001</v>
      </c>
      <c r="Y35">
        <v>30.277000000000001</v>
      </c>
      <c r="Z35">
        <v>21.1</v>
      </c>
      <c r="AD35">
        <v>433202</v>
      </c>
      <c r="AF35">
        <f t="shared" si="1"/>
        <v>110</v>
      </c>
      <c r="AH35">
        <v>-0.97699999999999998</v>
      </c>
      <c r="AI35">
        <f t="shared" si="0"/>
        <v>0.97699999999999998</v>
      </c>
    </row>
    <row r="36" spans="1:35" x14ac:dyDescent="0.25">
      <c r="A36">
        <v>182906</v>
      </c>
      <c r="B36">
        <v>3.964</v>
      </c>
      <c r="C36">
        <v>3.9649999999999999</v>
      </c>
      <c r="D36">
        <v>3.8889999999999998</v>
      </c>
      <c r="E36">
        <v>3.8149999999999999</v>
      </c>
      <c r="F36">
        <v>4.085</v>
      </c>
      <c r="G36">
        <v>3.9540000000000002</v>
      </c>
      <c r="H36">
        <v>3.8410000000000002</v>
      </c>
      <c r="I36">
        <v>3.9079999999999999</v>
      </c>
      <c r="J36">
        <v>31.420999999999999</v>
      </c>
      <c r="K36">
        <v>22.5</v>
      </c>
      <c r="L36">
        <v>-7.8E-2</v>
      </c>
      <c r="Q36">
        <v>3.8119999999999998</v>
      </c>
      <c r="R36">
        <v>3.8159999999999998</v>
      </c>
      <c r="S36">
        <v>3.7669999999999999</v>
      </c>
      <c r="T36">
        <v>3.6829999999999998</v>
      </c>
      <c r="U36">
        <v>3.9409999999999998</v>
      </c>
      <c r="V36">
        <v>3.8069999999999999</v>
      </c>
      <c r="W36">
        <v>3.726</v>
      </c>
      <c r="X36">
        <v>3.6859999999999999</v>
      </c>
      <c r="Y36">
        <v>30.238</v>
      </c>
      <c r="Z36">
        <v>21.1</v>
      </c>
      <c r="AD36">
        <v>438209</v>
      </c>
      <c r="AF36">
        <f t="shared" si="1"/>
        <v>115</v>
      </c>
      <c r="AH36">
        <v>-0.98199999999999998</v>
      </c>
      <c r="AI36">
        <f t="shared" si="0"/>
        <v>0.98199999999999998</v>
      </c>
    </row>
    <row r="37" spans="1:35" x14ac:dyDescent="0.25">
      <c r="A37">
        <v>187963</v>
      </c>
      <c r="B37">
        <v>3.964</v>
      </c>
      <c r="C37">
        <v>3.9649999999999999</v>
      </c>
      <c r="D37">
        <v>3.8889999999999998</v>
      </c>
      <c r="E37">
        <v>3.8149999999999999</v>
      </c>
      <c r="F37">
        <v>4.085</v>
      </c>
      <c r="G37">
        <v>3.9540000000000002</v>
      </c>
      <c r="H37">
        <v>3.8410000000000002</v>
      </c>
      <c r="I37">
        <v>3.9079999999999999</v>
      </c>
      <c r="J37">
        <v>31.420999999999999</v>
      </c>
      <c r="K37">
        <v>22.5</v>
      </c>
      <c r="L37">
        <v>-6.0999999999999999E-2</v>
      </c>
      <c r="Q37">
        <v>3.8069999999999999</v>
      </c>
      <c r="R37">
        <v>3.8210000000000002</v>
      </c>
      <c r="S37">
        <v>3.7530000000000001</v>
      </c>
      <c r="T37">
        <v>3.68</v>
      </c>
      <c r="U37">
        <v>3.9590000000000001</v>
      </c>
      <c r="V37">
        <v>3.8069999999999999</v>
      </c>
      <c r="W37">
        <v>3.694</v>
      </c>
      <c r="X37">
        <v>3.7570000000000001</v>
      </c>
      <c r="Y37">
        <v>30.277999999999999</v>
      </c>
      <c r="Z37">
        <v>21.1</v>
      </c>
      <c r="AD37">
        <v>443209</v>
      </c>
      <c r="AF37">
        <f t="shared" si="1"/>
        <v>120</v>
      </c>
      <c r="AH37">
        <v>-1.02</v>
      </c>
      <c r="AI37">
        <f t="shared" si="0"/>
        <v>1.02</v>
      </c>
    </row>
    <row r="38" spans="1:35" x14ac:dyDescent="0.25">
      <c r="A38">
        <v>192964</v>
      </c>
      <c r="B38">
        <v>3.964</v>
      </c>
      <c r="C38">
        <v>3.9649999999999999</v>
      </c>
      <c r="D38">
        <v>3.8889999999999998</v>
      </c>
      <c r="E38">
        <v>3.8149999999999999</v>
      </c>
      <c r="F38">
        <v>4.085</v>
      </c>
      <c r="G38">
        <v>3.9540000000000002</v>
      </c>
      <c r="H38">
        <v>3.8410000000000002</v>
      </c>
      <c r="I38">
        <v>3.9079999999999999</v>
      </c>
      <c r="J38">
        <v>31.420999999999999</v>
      </c>
      <c r="K38">
        <v>22.5</v>
      </c>
      <c r="L38">
        <v>-7.5999999999999998E-2</v>
      </c>
      <c r="Q38">
        <v>3.8069999999999999</v>
      </c>
      <c r="R38">
        <v>3.8210000000000002</v>
      </c>
      <c r="S38">
        <v>3.7530000000000001</v>
      </c>
      <c r="T38">
        <v>3.6970000000000001</v>
      </c>
      <c r="U38">
        <v>3.9409999999999998</v>
      </c>
      <c r="V38">
        <v>3.8069999999999999</v>
      </c>
      <c r="W38">
        <v>3.726</v>
      </c>
      <c r="X38">
        <v>3.6859999999999999</v>
      </c>
      <c r="Y38">
        <v>30.238</v>
      </c>
      <c r="Z38">
        <v>21.1</v>
      </c>
      <c r="AD38">
        <v>448236</v>
      </c>
      <c r="AF38">
        <f t="shared" si="1"/>
        <v>125</v>
      </c>
      <c r="AH38">
        <v>-0.98199999999999998</v>
      </c>
      <c r="AI38">
        <f t="shared" si="0"/>
        <v>0.98199999999999998</v>
      </c>
    </row>
    <row r="39" spans="1:35" x14ac:dyDescent="0.25">
      <c r="A39">
        <v>197968</v>
      </c>
      <c r="B39">
        <v>3.9590000000000001</v>
      </c>
      <c r="C39">
        <v>3.97</v>
      </c>
      <c r="D39">
        <v>3.8889999999999998</v>
      </c>
      <c r="E39">
        <v>3.8149999999999999</v>
      </c>
      <c r="F39">
        <v>4.085</v>
      </c>
      <c r="G39">
        <v>3.9540000000000002</v>
      </c>
      <c r="H39">
        <v>3.8410000000000002</v>
      </c>
      <c r="I39">
        <v>3.9079999999999999</v>
      </c>
      <c r="J39">
        <v>31.420999999999999</v>
      </c>
      <c r="K39">
        <v>22.5</v>
      </c>
      <c r="L39">
        <v>-7.3999999999999996E-2</v>
      </c>
      <c r="Q39">
        <v>3.8119999999999998</v>
      </c>
      <c r="R39">
        <v>3.8159999999999998</v>
      </c>
      <c r="S39">
        <v>3.7669999999999999</v>
      </c>
      <c r="T39">
        <v>3.6829999999999998</v>
      </c>
      <c r="U39">
        <v>3.9409999999999998</v>
      </c>
      <c r="V39">
        <v>3.8069999999999999</v>
      </c>
      <c r="W39">
        <v>3.726</v>
      </c>
      <c r="X39">
        <v>3.6859999999999999</v>
      </c>
      <c r="Y39">
        <v>30.238</v>
      </c>
      <c r="Z39">
        <v>21.2</v>
      </c>
      <c r="AD39">
        <v>453236</v>
      </c>
      <c r="AF39">
        <f t="shared" si="1"/>
        <v>130</v>
      </c>
      <c r="AH39">
        <v>-0.98899999999999999</v>
      </c>
      <c r="AI39">
        <f t="shared" si="0"/>
        <v>0.98899999999999999</v>
      </c>
    </row>
    <row r="40" spans="1:35" x14ac:dyDescent="0.25">
      <c r="A40">
        <v>202974</v>
      </c>
      <c r="B40">
        <v>3.964</v>
      </c>
      <c r="C40">
        <v>3.9649999999999999</v>
      </c>
      <c r="D40">
        <v>3.8889999999999998</v>
      </c>
      <c r="E40">
        <v>3.8149999999999999</v>
      </c>
      <c r="F40">
        <v>4.085</v>
      </c>
      <c r="G40">
        <v>3.9540000000000002</v>
      </c>
      <c r="H40">
        <v>3.8410000000000002</v>
      </c>
      <c r="I40">
        <v>3.9079999999999999</v>
      </c>
      <c r="J40">
        <v>31.420999999999999</v>
      </c>
      <c r="K40">
        <v>22.5</v>
      </c>
      <c r="L40">
        <v>-7.1999999999999995E-2</v>
      </c>
      <c r="Q40">
        <v>3.8069999999999999</v>
      </c>
      <c r="R40">
        <v>3.8210000000000002</v>
      </c>
      <c r="S40">
        <v>3.7530000000000001</v>
      </c>
      <c r="T40">
        <v>3.6970000000000001</v>
      </c>
      <c r="U40">
        <v>3.9590000000000001</v>
      </c>
      <c r="V40">
        <v>3.8069999999999999</v>
      </c>
      <c r="W40">
        <v>3.726</v>
      </c>
      <c r="X40">
        <v>3.6859999999999999</v>
      </c>
      <c r="Y40">
        <v>30.256</v>
      </c>
      <c r="Z40">
        <v>21.2</v>
      </c>
      <c r="AD40">
        <v>458243</v>
      </c>
      <c r="AF40">
        <f t="shared" si="1"/>
        <v>135</v>
      </c>
      <c r="AH40">
        <v>-0.98899999999999999</v>
      </c>
      <c r="AI40">
        <f t="shared" si="0"/>
        <v>0.98899999999999999</v>
      </c>
    </row>
    <row r="41" spans="1:35" x14ac:dyDescent="0.25">
      <c r="A41">
        <v>207982</v>
      </c>
      <c r="B41">
        <v>3.9590000000000001</v>
      </c>
      <c r="C41">
        <v>3.97</v>
      </c>
      <c r="D41">
        <v>3.8889999999999998</v>
      </c>
      <c r="E41">
        <v>3.8149999999999999</v>
      </c>
      <c r="F41">
        <v>4.085</v>
      </c>
      <c r="G41">
        <v>3.9540000000000002</v>
      </c>
      <c r="H41">
        <v>3.8410000000000002</v>
      </c>
      <c r="I41">
        <v>3.9079999999999999</v>
      </c>
      <c r="J41">
        <v>31.420999999999999</v>
      </c>
      <c r="K41">
        <v>22.5</v>
      </c>
      <c r="L41">
        <v>-7.2999999999999995E-2</v>
      </c>
      <c r="Q41">
        <v>3.8069999999999999</v>
      </c>
      <c r="R41">
        <v>3.8210000000000002</v>
      </c>
      <c r="S41">
        <v>3.7530000000000001</v>
      </c>
      <c r="T41">
        <v>3.68</v>
      </c>
      <c r="U41">
        <v>3.9409999999999998</v>
      </c>
      <c r="V41">
        <v>3.7789999999999999</v>
      </c>
      <c r="W41">
        <v>3.722</v>
      </c>
      <c r="X41">
        <v>3.718</v>
      </c>
      <c r="Y41">
        <v>30.221</v>
      </c>
      <c r="Z41">
        <v>21.2</v>
      </c>
      <c r="AD41">
        <v>463249</v>
      </c>
      <c r="AF41">
        <f t="shared" si="1"/>
        <v>140</v>
      </c>
      <c r="AH41">
        <v>-0.97699999999999998</v>
      </c>
      <c r="AI41">
        <f t="shared" si="0"/>
        <v>0.97699999999999998</v>
      </c>
    </row>
    <row r="42" spans="1:35" x14ac:dyDescent="0.25">
      <c r="A42">
        <v>212982</v>
      </c>
      <c r="B42">
        <v>3.9590000000000001</v>
      </c>
      <c r="C42">
        <v>3.97</v>
      </c>
      <c r="D42">
        <v>3.8889999999999998</v>
      </c>
      <c r="E42">
        <v>3.8149999999999999</v>
      </c>
      <c r="F42">
        <v>4.085</v>
      </c>
      <c r="G42">
        <v>3.9540000000000002</v>
      </c>
      <c r="H42">
        <v>3.8410000000000002</v>
      </c>
      <c r="I42">
        <v>3.9079999999999999</v>
      </c>
      <c r="J42">
        <v>31.420999999999999</v>
      </c>
      <c r="K42">
        <v>22.5</v>
      </c>
      <c r="L42">
        <v>-7.9000000000000001E-2</v>
      </c>
      <c r="Q42">
        <v>3.8069999999999999</v>
      </c>
      <c r="R42">
        <v>3.8119999999999998</v>
      </c>
      <c r="S42">
        <v>3.762</v>
      </c>
      <c r="T42">
        <v>3.68</v>
      </c>
      <c r="U42">
        <v>3.9590000000000001</v>
      </c>
      <c r="V42">
        <v>3.7789999999999999</v>
      </c>
      <c r="W42">
        <v>3.722</v>
      </c>
      <c r="X42">
        <v>3.718</v>
      </c>
      <c r="Y42">
        <v>30.239000000000001</v>
      </c>
      <c r="Z42">
        <v>21.2</v>
      </c>
      <c r="AD42">
        <v>468256</v>
      </c>
      <c r="AF42">
        <f t="shared" si="1"/>
        <v>145</v>
      </c>
      <c r="AH42">
        <v>-0.97899999999999998</v>
      </c>
      <c r="AI42">
        <f t="shared" si="0"/>
        <v>0.97899999999999998</v>
      </c>
    </row>
    <row r="43" spans="1:35" x14ac:dyDescent="0.25">
      <c r="A43">
        <v>218039</v>
      </c>
      <c r="B43">
        <v>3.964</v>
      </c>
      <c r="C43">
        <v>3.9649999999999999</v>
      </c>
      <c r="D43">
        <v>3.8889999999999998</v>
      </c>
      <c r="E43">
        <v>3.8149999999999999</v>
      </c>
      <c r="F43">
        <v>4.085</v>
      </c>
      <c r="G43">
        <v>3.9540000000000002</v>
      </c>
      <c r="H43">
        <v>3.8410000000000002</v>
      </c>
      <c r="I43">
        <v>3.9079999999999999</v>
      </c>
      <c r="J43">
        <v>31.420999999999999</v>
      </c>
      <c r="K43">
        <v>22.5</v>
      </c>
      <c r="L43">
        <v>-8.5000000000000006E-2</v>
      </c>
      <c r="Q43">
        <v>3.8069999999999999</v>
      </c>
      <c r="R43">
        <v>3.8210000000000002</v>
      </c>
      <c r="S43">
        <v>3.7530000000000001</v>
      </c>
      <c r="T43">
        <v>3.68</v>
      </c>
      <c r="U43">
        <v>3.9319999999999999</v>
      </c>
      <c r="V43">
        <v>3.806</v>
      </c>
      <c r="W43">
        <v>3.722</v>
      </c>
      <c r="X43">
        <v>3.718</v>
      </c>
      <c r="Y43">
        <v>30.239000000000001</v>
      </c>
      <c r="Z43">
        <v>21.2</v>
      </c>
      <c r="AD43">
        <v>473256</v>
      </c>
      <c r="AF43">
        <f t="shared" si="1"/>
        <v>150</v>
      </c>
      <c r="AH43">
        <v>-0.98399999999999999</v>
      </c>
      <c r="AI43">
        <f t="shared" si="0"/>
        <v>0.98399999999999999</v>
      </c>
    </row>
    <row r="44" spans="1:35" x14ac:dyDescent="0.25">
      <c r="A44">
        <v>223050</v>
      </c>
      <c r="B44">
        <v>3.9590000000000001</v>
      </c>
      <c r="C44">
        <v>3.97</v>
      </c>
      <c r="D44">
        <v>3.8889999999999998</v>
      </c>
      <c r="E44">
        <v>3.8149999999999999</v>
      </c>
      <c r="F44">
        <v>4.085</v>
      </c>
      <c r="G44">
        <v>3.9540000000000002</v>
      </c>
      <c r="H44">
        <v>3.8410000000000002</v>
      </c>
      <c r="I44">
        <v>3.9079999999999999</v>
      </c>
      <c r="J44">
        <v>31.420999999999999</v>
      </c>
      <c r="K44">
        <v>22.5</v>
      </c>
      <c r="L44">
        <v>-7.5999999999999998E-2</v>
      </c>
      <c r="Q44">
        <v>3.8069999999999999</v>
      </c>
      <c r="R44">
        <v>3.8119999999999998</v>
      </c>
      <c r="S44">
        <v>3.762</v>
      </c>
      <c r="T44">
        <v>3.68</v>
      </c>
      <c r="U44">
        <v>3.9319999999999999</v>
      </c>
      <c r="V44">
        <v>3.806</v>
      </c>
      <c r="W44">
        <v>3.722</v>
      </c>
      <c r="X44">
        <v>3.718</v>
      </c>
      <c r="Y44">
        <v>30.239000000000001</v>
      </c>
      <c r="Z44">
        <v>21.2</v>
      </c>
      <c r="AD44">
        <v>478303</v>
      </c>
      <c r="AF44">
        <f t="shared" si="1"/>
        <v>155</v>
      </c>
      <c r="AH44">
        <v>-0.97799999999999998</v>
      </c>
      <c r="AI44">
        <f t="shared" si="0"/>
        <v>0.97799999999999998</v>
      </c>
    </row>
    <row r="45" spans="1:35" x14ac:dyDescent="0.25">
      <c r="A45">
        <v>228113</v>
      </c>
      <c r="B45">
        <v>3.9590000000000001</v>
      </c>
      <c r="C45">
        <v>3.97</v>
      </c>
      <c r="D45">
        <v>3.8889999999999998</v>
      </c>
      <c r="E45">
        <v>3.8149999999999999</v>
      </c>
      <c r="F45">
        <v>4.085</v>
      </c>
      <c r="G45">
        <v>3.9540000000000002</v>
      </c>
      <c r="H45">
        <v>3.8410000000000002</v>
      </c>
      <c r="I45">
        <v>3.9079999999999999</v>
      </c>
      <c r="J45">
        <v>31.420999999999999</v>
      </c>
      <c r="K45">
        <v>22.5</v>
      </c>
      <c r="L45">
        <v>-8.1000000000000003E-2</v>
      </c>
      <c r="AD45">
        <v>483310</v>
      </c>
      <c r="AF45">
        <f t="shared" si="1"/>
        <v>160</v>
      </c>
      <c r="AH45">
        <v>-0.98499999999999999</v>
      </c>
      <c r="AI45">
        <f t="shared" si="0"/>
        <v>0.98499999999999999</v>
      </c>
    </row>
    <row r="46" spans="1:35" x14ac:dyDescent="0.25">
      <c r="A46">
        <v>233124</v>
      </c>
      <c r="B46">
        <v>3.9590000000000001</v>
      </c>
      <c r="C46">
        <v>3.97</v>
      </c>
      <c r="D46">
        <v>3.8889999999999998</v>
      </c>
      <c r="E46">
        <v>3.8149999999999999</v>
      </c>
      <c r="F46">
        <v>4.085</v>
      </c>
      <c r="G46">
        <v>3.9540000000000002</v>
      </c>
      <c r="H46">
        <v>3.8410000000000002</v>
      </c>
      <c r="I46">
        <v>3.9079999999999999</v>
      </c>
      <c r="J46">
        <v>31.420999999999999</v>
      </c>
      <c r="K46">
        <v>22.5</v>
      </c>
      <c r="L46">
        <v>-7.1999999999999995E-2</v>
      </c>
      <c r="AD46">
        <v>488317</v>
      </c>
      <c r="AF46">
        <f t="shared" si="1"/>
        <v>165</v>
      </c>
      <c r="AH46">
        <v>-0.97899999999999998</v>
      </c>
      <c r="AI46">
        <f t="shared" si="0"/>
        <v>0.97899999999999998</v>
      </c>
    </row>
    <row r="47" spans="1:35" x14ac:dyDescent="0.25">
      <c r="A47">
        <v>238125</v>
      </c>
      <c r="B47">
        <v>3.9590000000000001</v>
      </c>
      <c r="C47">
        <v>3.97</v>
      </c>
      <c r="D47">
        <v>3.8889999999999998</v>
      </c>
      <c r="E47">
        <v>3.8149999999999999</v>
      </c>
      <c r="F47">
        <v>4.085</v>
      </c>
      <c r="G47">
        <v>3.9540000000000002</v>
      </c>
      <c r="H47">
        <v>3.8410000000000002</v>
      </c>
      <c r="I47">
        <v>3.9079999999999999</v>
      </c>
      <c r="J47">
        <v>31.420999999999999</v>
      </c>
      <c r="K47">
        <v>22.5</v>
      </c>
      <c r="L47">
        <v>-7.8E-2</v>
      </c>
      <c r="AD47">
        <v>493323</v>
      </c>
      <c r="AF47">
        <f t="shared" si="1"/>
        <v>170</v>
      </c>
      <c r="AH47">
        <v>-0.98599999999999999</v>
      </c>
      <c r="AI47">
        <f t="shared" si="0"/>
        <v>0.98599999999999999</v>
      </c>
    </row>
    <row r="48" spans="1:35" x14ac:dyDescent="0.25">
      <c r="A48">
        <v>243132</v>
      </c>
      <c r="B48">
        <v>3.964</v>
      </c>
      <c r="C48">
        <v>3.9649999999999999</v>
      </c>
      <c r="D48">
        <v>3.8889999999999998</v>
      </c>
      <c r="E48">
        <v>3.8149999999999999</v>
      </c>
      <c r="F48">
        <v>4.085</v>
      </c>
      <c r="G48">
        <v>3.9540000000000002</v>
      </c>
      <c r="H48">
        <v>3.8410000000000002</v>
      </c>
      <c r="I48">
        <v>3.9079999999999999</v>
      </c>
      <c r="J48">
        <v>31.420999999999999</v>
      </c>
      <c r="K48">
        <v>22.4</v>
      </c>
      <c r="L48">
        <v>-7.2999999999999995E-2</v>
      </c>
      <c r="AD48">
        <v>498330</v>
      </c>
      <c r="AF48">
        <f t="shared" si="1"/>
        <v>175</v>
      </c>
      <c r="AH48">
        <v>-0.98</v>
      </c>
      <c r="AI48">
        <f t="shared" si="0"/>
        <v>0.98</v>
      </c>
    </row>
    <row r="49" spans="1:35" x14ac:dyDescent="0.25">
      <c r="A49">
        <v>248140</v>
      </c>
      <c r="B49">
        <v>3.964</v>
      </c>
      <c r="C49">
        <v>3.9649999999999999</v>
      </c>
      <c r="D49">
        <v>3.8889999999999998</v>
      </c>
      <c r="E49">
        <v>3.8149999999999999</v>
      </c>
      <c r="F49">
        <v>4.085</v>
      </c>
      <c r="G49">
        <v>3.9540000000000002</v>
      </c>
      <c r="H49">
        <v>3.8410000000000002</v>
      </c>
      <c r="I49">
        <v>3.9079999999999999</v>
      </c>
      <c r="J49">
        <v>31.420999999999999</v>
      </c>
      <c r="K49">
        <v>22.5</v>
      </c>
      <c r="L49">
        <v>-0.09</v>
      </c>
      <c r="AD49">
        <v>503330</v>
      </c>
      <c r="AF49">
        <f t="shared" si="1"/>
        <v>180</v>
      </c>
      <c r="AH49">
        <v>-0.97699999999999998</v>
      </c>
      <c r="AI49">
        <f t="shared" si="0"/>
        <v>0.97699999999999998</v>
      </c>
    </row>
    <row r="50" spans="1:35" x14ac:dyDescent="0.25">
      <c r="A50">
        <v>253140</v>
      </c>
      <c r="B50">
        <v>3.964</v>
      </c>
      <c r="C50">
        <v>3.9649999999999999</v>
      </c>
      <c r="D50">
        <v>3.8889999999999998</v>
      </c>
      <c r="E50">
        <v>3.8149999999999999</v>
      </c>
      <c r="F50">
        <v>4.085</v>
      </c>
      <c r="G50">
        <v>3.9540000000000002</v>
      </c>
      <c r="H50">
        <v>3.8410000000000002</v>
      </c>
      <c r="I50">
        <v>3.9079999999999999</v>
      </c>
      <c r="J50">
        <v>31.420999999999999</v>
      </c>
      <c r="K50">
        <v>22.5</v>
      </c>
      <c r="L50">
        <v>-7.0000000000000007E-2</v>
      </c>
      <c r="AD50">
        <v>508377</v>
      </c>
      <c r="AF50">
        <f t="shared" si="1"/>
        <v>185</v>
      </c>
      <c r="AH50">
        <v>-0.97599999999999998</v>
      </c>
      <c r="AI50">
        <f t="shared" si="0"/>
        <v>0.97599999999999998</v>
      </c>
    </row>
    <row r="51" spans="1:35" x14ac:dyDescent="0.25">
      <c r="A51">
        <v>258177</v>
      </c>
      <c r="B51">
        <v>3.964</v>
      </c>
      <c r="C51">
        <v>3.9649999999999999</v>
      </c>
      <c r="D51">
        <v>3.8889999999999998</v>
      </c>
      <c r="E51">
        <v>3.8149999999999999</v>
      </c>
      <c r="F51">
        <v>4.085</v>
      </c>
      <c r="G51">
        <v>3.9540000000000002</v>
      </c>
      <c r="H51">
        <v>3.8410000000000002</v>
      </c>
      <c r="I51">
        <v>3.9079999999999999</v>
      </c>
      <c r="J51">
        <v>31.420999999999999</v>
      </c>
      <c r="K51">
        <v>22.5</v>
      </c>
      <c r="L51">
        <v>-7.3999999999999996E-2</v>
      </c>
    </row>
    <row r="52" spans="1:35" x14ac:dyDescent="0.25">
      <c r="A52">
        <v>263178</v>
      </c>
      <c r="B52">
        <v>3.964</v>
      </c>
      <c r="C52">
        <v>3.9649999999999999</v>
      </c>
      <c r="D52">
        <v>3.8889999999999998</v>
      </c>
      <c r="E52">
        <v>3.7970000000000002</v>
      </c>
      <c r="F52">
        <v>4.085</v>
      </c>
      <c r="G52">
        <v>3.9540000000000002</v>
      </c>
      <c r="H52">
        <v>3.8410000000000002</v>
      </c>
      <c r="I52">
        <v>3.9079999999999999</v>
      </c>
      <c r="J52">
        <v>31.402999999999999</v>
      </c>
      <c r="K52">
        <v>22.5</v>
      </c>
      <c r="L52">
        <v>-8.6999999999999994E-2</v>
      </c>
    </row>
    <row r="53" spans="1:35" x14ac:dyDescent="0.25">
      <c r="A53">
        <v>268182</v>
      </c>
      <c r="B53">
        <v>3.964</v>
      </c>
      <c r="C53">
        <v>3.9740000000000002</v>
      </c>
      <c r="D53">
        <v>3.88</v>
      </c>
      <c r="E53">
        <v>3.8149999999999999</v>
      </c>
      <c r="F53">
        <v>4.0670000000000002</v>
      </c>
      <c r="G53">
        <v>3.9540000000000002</v>
      </c>
      <c r="H53">
        <v>3.8410000000000002</v>
      </c>
      <c r="I53">
        <v>3.9079999999999999</v>
      </c>
      <c r="J53">
        <v>31.402999999999999</v>
      </c>
      <c r="K53">
        <v>22.5</v>
      </c>
      <c r="L53">
        <v>-9.2999999999999999E-2</v>
      </c>
    </row>
    <row r="54" spans="1:35" x14ac:dyDescent="0.25">
      <c r="A54">
        <v>273188</v>
      </c>
      <c r="B54">
        <v>3.964</v>
      </c>
      <c r="C54">
        <v>3.9649999999999999</v>
      </c>
      <c r="D54">
        <v>3.8889999999999998</v>
      </c>
      <c r="E54">
        <v>3.8149999999999999</v>
      </c>
      <c r="F54">
        <v>4.085</v>
      </c>
      <c r="G54">
        <v>3.9540000000000002</v>
      </c>
      <c r="H54">
        <v>3.8410000000000002</v>
      </c>
      <c r="I54">
        <v>3.9079999999999999</v>
      </c>
      <c r="J54">
        <v>31.420999999999999</v>
      </c>
      <c r="K54">
        <v>22.5</v>
      </c>
      <c r="L54">
        <v>-7.9000000000000001E-2</v>
      </c>
    </row>
    <row r="55" spans="1:35" x14ac:dyDescent="0.25">
      <c r="A55">
        <v>278196</v>
      </c>
      <c r="B55">
        <v>3.964</v>
      </c>
      <c r="C55">
        <v>3.9649999999999999</v>
      </c>
      <c r="D55">
        <v>3.8889999999999998</v>
      </c>
      <c r="E55">
        <v>3.8149999999999999</v>
      </c>
      <c r="F55">
        <v>4.0670000000000002</v>
      </c>
      <c r="G55">
        <v>3.9820000000000002</v>
      </c>
      <c r="H55">
        <v>3.8450000000000002</v>
      </c>
      <c r="I55">
        <v>3.8759999999999999</v>
      </c>
      <c r="J55">
        <v>31.402999999999999</v>
      </c>
      <c r="K55">
        <v>22.5</v>
      </c>
      <c r="L55">
        <v>-0.09</v>
      </c>
    </row>
    <row r="56" spans="1:35" x14ac:dyDescent="0.25">
      <c r="A56">
        <v>283196</v>
      </c>
      <c r="B56">
        <v>3.964</v>
      </c>
      <c r="C56">
        <v>3.9649999999999999</v>
      </c>
      <c r="D56">
        <v>3.8889999999999998</v>
      </c>
      <c r="E56">
        <v>3.8149999999999999</v>
      </c>
      <c r="F56">
        <v>4.085</v>
      </c>
      <c r="G56">
        <v>3.9540000000000002</v>
      </c>
      <c r="H56">
        <v>3.8410000000000002</v>
      </c>
      <c r="I56">
        <v>3.9079999999999999</v>
      </c>
      <c r="J56">
        <v>31.420999999999999</v>
      </c>
      <c r="K56">
        <v>22.5</v>
      </c>
      <c r="L56">
        <v>-6.8000000000000005E-2</v>
      </c>
    </row>
    <row r="57" spans="1:35" x14ac:dyDescent="0.25">
      <c r="A57">
        <v>288253</v>
      </c>
      <c r="B57">
        <v>3.964</v>
      </c>
      <c r="C57">
        <v>3.9649999999999999</v>
      </c>
      <c r="D57">
        <v>3.8889999999999998</v>
      </c>
      <c r="E57">
        <v>3.8149999999999999</v>
      </c>
      <c r="F57">
        <v>4.085</v>
      </c>
      <c r="G57">
        <v>3.9540000000000002</v>
      </c>
      <c r="H57">
        <v>3.8410000000000002</v>
      </c>
      <c r="I57">
        <v>3.9079999999999999</v>
      </c>
      <c r="J57">
        <v>31.420999999999999</v>
      </c>
      <c r="K57">
        <v>22.5</v>
      </c>
      <c r="L57">
        <v>-9.4E-2</v>
      </c>
    </row>
    <row r="58" spans="1:35" x14ac:dyDescent="0.25">
      <c r="A58">
        <v>293254</v>
      </c>
      <c r="B58">
        <v>3.964</v>
      </c>
      <c r="C58">
        <v>3.9649999999999999</v>
      </c>
      <c r="D58">
        <v>3.8889999999999998</v>
      </c>
      <c r="E58">
        <v>3.8149999999999999</v>
      </c>
      <c r="F58">
        <v>4.085</v>
      </c>
      <c r="G58">
        <v>3.9540000000000002</v>
      </c>
      <c r="H58">
        <v>3.8410000000000002</v>
      </c>
      <c r="I58">
        <v>3.9079999999999999</v>
      </c>
      <c r="J58">
        <v>31.420999999999999</v>
      </c>
      <c r="K58">
        <v>22.5</v>
      </c>
      <c r="L58">
        <v>-7.6999999999999999E-2</v>
      </c>
    </row>
    <row r="59" spans="1:35" x14ac:dyDescent="0.25">
      <c r="A59">
        <v>298259</v>
      </c>
      <c r="B59">
        <v>3.964</v>
      </c>
      <c r="C59">
        <v>3.9740000000000002</v>
      </c>
      <c r="D59">
        <v>3.88</v>
      </c>
      <c r="E59">
        <v>3.8149999999999999</v>
      </c>
      <c r="F59">
        <v>4.085</v>
      </c>
      <c r="G59">
        <v>3.9820000000000002</v>
      </c>
      <c r="H59">
        <v>3.8130000000000002</v>
      </c>
      <c r="I59">
        <v>3.9079999999999999</v>
      </c>
      <c r="J59">
        <v>31.420999999999999</v>
      </c>
      <c r="K59">
        <v>22.5</v>
      </c>
      <c r="L59">
        <v>-7.3999999999999996E-2</v>
      </c>
    </row>
    <row r="60" spans="1:35" x14ac:dyDescent="0.25">
      <c r="A60">
        <v>303265</v>
      </c>
      <c r="B60">
        <v>3.964</v>
      </c>
      <c r="C60">
        <v>3.9740000000000002</v>
      </c>
      <c r="D60">
        <v>3.88</v>
      </c>
      <c r="E60">
        <v>3.8149999999999999</v>
      </c>
      <c r="F60">
        <v>4.0670000000000002</v>
      </c>
      <c r="G60">
        <v>3.9820000000000002</v>
      </c>
      <c r="H60">
        <v>3.8450000000000002</v>
      </c>
      <c r="I60">
        <v>3.8759999999999999</v>
      </c>
      <c r="J60">
        <v>31.402999999999999</v>
      </c>
      <c r="K60">
        <v>22.5</v>
      </c>
      <c r="L60">
        <v>-7.9000000000000001E-2</v>
      </c>
    </row>
    <row r="61" spans="1:35" x14ac:dyDescent="0.25">
      <c r="A61">
        <v>308273</v>
      </c>
      <c r="B61">
        <v>3.964</v>
      </c>
      <c r="C61">
        <v>3.9740000000000002</v>
      </c>
      <c r="D61">
        <v>3.88</v>
      </c>
      <c r="E61">
        <v>3.8149999999999999</v>
      </c>
      <c r="F61">
        <v>4.085</v>
      </c>
      <c r="G61">
        <v>3.9820000000000002</v>
      </c>
      <c r="H61">
        <v>3.8450000000000002</v>
      </c>
      <c r="I61">
        <v>3.8759999999999999</v>
      </c>
      <c r="J61">
        <v>31.420999999999999</v>
      </c>
      <c r="K61">
        <v>22.5</v>
      </c>
      <c r="L61">
        <v>-5.6000000000000001E-2</v>
      </c>
    </row>
    <row r="62" spans="1:35" x14ac:dyDescent="0.25">
      <c r="A62">
        <v>313273</v>
      </c>
      <c r="B62">
        <v>3.964</v>
      </c>
      <c r="C62">
        <v>3.9740000000000002</v>
      </c>
      <c r="D62">
        <v>3.88</v>
      </c>
      <c r="E62">
        <v>3.8149999999999999</v>
      </c>
      <c r="F62">
        <v>4.0670000000000002</v>
      </c>
      <c r="G62">
        <v>3.9820000000000002</v>
      </c>
      <c r="H62">
        <v>3.8450000000000002</v>
      </c>
      <c r="I62">
        <v>3.8759999999999999</v>
      </c>
      <c r="J62">
        <v>31.402999999999999</v>
      </c>
      <c r="K62">
        <v>22.5</v>
      </c>
      <c r="L62">
        <v>-8.5999999999999993E-2</v>
      </c>
    </row>
    <row r="63" spans="1:35" x14ac:dyDescent="0.25">
      <c r="A63">
        <v>318331</v>
      </c>
      <c r="B63">
        <v>3.964</v>
      </c>
      <c r="C63">
        <v>3.9740000000000002</v>
      </c>
      <c r="D63">
        <v>3.88</v>
      </c>
      <c r="E63">
        <v>3.8149999999999999</v>
      </c>
      <c r="F63">
        <v>4.085</v>
      </c>
      <c r="G63">
        <v>3.9820000000000002</v>
      </c>
      <c r="H63">
        <v>3.8450000000000002</v>
      </c>
      <c r="I63">
        <v>3.8759999999999999</v>
      </c>
      <c r="J63">
        <v>31.420999999999999</v>
      </c>
      <c r="K63">
        <v>22.5</v>
      </c>
      <c r="L63">
        <v>-8.4000000000000005E-2</v>
      </c>
    </row>
    <row r="64" spans="1:35" x14ac:dyDescent="0.25">
      <c r="A64">
        <v>323342</v>
      </c>
      <c r="B64">
        <v>3.964</v>
      </c>
      <c r="C64">
        <v>3.9740000000000002</v>
      </c>
      <c r="D64">
        <v>3.88</v>
      </c>
      <c r="E64">
        <v>3.8149999999999999</v>
      </c>
      <c r="F64">
        <v>4.085</v>
      </c>
      <c r="G64">
        <v>3.9820000000000002</v>
      </c>
      <c r="H64">
        <v>3.8130000000000002</v>
      </c>
      <c r="I64">
        <v>3.9079999999999999</v>
      </c>
      <c r="J64">
        <v>31.420999999999999</v>
      </c>
      <c r="K64">
        <v>22.5</v>
      </c>
      <c r="L64">
        <v>-8.1000000000000003E-2</v>
      </c>
    </row>
    <row r="65" spans="1:12" x14ac:dyDescent="0.25">
      <c r="A65">
        <v>328404</v>
      </c>
      <c r="B65">
        <v>3.964</v>
      </c>
      <c r="C65">
        <v>3.9740000000000002</v>
      </c>
      <c r="D65">
        <v>3.88</v>
      </c>
      <c r="E65">
        <v>3.8149999999999999</v>
      </c>
      <c r="F65">
        <v>4.085</v>
      </c>
      <c r="G65">
        <v>3.9820000000000002</v>
      </c>
      <c r="H65">
        <v>3.8130000000000002</v>
      </c>
      <c r="I65">
        <v>3.9079999999999999</v>
      </c>
      <c r="J65">
        <v>31.420999999999999</v>
      </c>
      <c r="K65">
        <v>22.5</v>
      </c>
      <c r="L65">
        <v>-9.1999999999999998E-2</v>
      </c>
    </row>
    <row r="66" spans="1:12" x14ac:dyDescent="0.25">
      <c r="A66">
        <v>333416</v>
      </c>
      <c r="B66">
        <v>3.964</v>
      </c>
      <c r="C66">
        <v>3.9740000000000002</v>
      </c>
      <c r="D66">
        <v>3.88</v>
      </c>
      <c r="E66">
        <v>3.8149999999999999</v>
      </c>
      <c r="F66">
        <v>4.0670000000000002</v>
      </c>
      <c r="G66">
        <v>3.9820000000000002</v>
      </c>
      <c r="H66">
        <v>3.8450000000000002</v>
      </c>
      <c r="I66">
        <v>3.8759999999999999</v>
      </c>
      <c r="J66">
        <v>31.402999999999999</v>
      </c>
      <c r="K66">
        <v>22.5</v>
      </c>
      <c r="L66">
        <v>-7.5999999999999998E-2</v>
      </c>
    </row>
    <row r="67" spans="1:12" x14ac:dyDescent="0.25">
      <c r="A67">
        <v>338417</v>
      </c>
      <c r="B67">
        <v>3.964</v>
      </c>
      <c r="C67">
        <v>3.9740000000000002</v>
      </c>
      <c r="D67">
        <v>3.88</v>
      </c>
      <c r="E67">
        <v>3.8330000000000002</v>
      </c>
      <c r="F67">
        <v>4.0670000000000002</v>
      </c>
      <c r="G67">
        <v>3.9820000000000002</v>
      </c>
      <c r="H67">
        <v>3.8450000000000002</v>
      </c>
      <c r="I67">
        <v>3.8759999999999999</v>
      </c>
      <c r="J67">
        <v>31.420999999999999</v>
      </c>
      <c r="K67">
        <v>22.5</v>
      </c>
      <c r="L67">
        <v>-7.2999999999999995E-2</v>
      </c>
    </row>
    <row r="68" spans="1:12" x14ac:dyDescent="0.25">
      <c r="A68">
        <v>633678</v>
      </c>
      <c r="B68">
        <v>3.9590000000000001</v>
      </c>
      <c r="C68">
        <v>3.97</v>
      </c>
      <c r="D68">
        <v>3.8740000000000001</v>
      </c>
      <c r="E68">
        <v>3.8119999999999998</v>
      </c>
      <c r="F68">
        <v>4.0579999999999998</v>
      </c>
      <c r="G68">
        <v>3.9809999999999999</v>
      </c>
      <c r="H68">
        <v>3.8410000000000002</v>
      </c>
      <c r="I68">
        <v>3.8690000000000002</v>
      </c>
      <c r="J68">
        <v>31.364000000000001</v>
      </c>
      <c r="K68">
        <v>22.6</v>
      </c>
      <c r="L68">
        <v>-8.4000000000000005E-2</v>
      </c>
    </row>
    <row r="69" spans="1:12" x14ac:dyDescent="0.25">
      <c r="A69">
        <v>638745</v>
      </c>
      <c r="B69">
        <v>3.9540000000000002</v>
      </c>
      <c r="C69">
        <v>3.9660000000000002</v>
      </c>
      <c r="D69">
        <v>3.883</v>
      </c>
      <c r="E69">
        <v>3.794</v>
      </c>
      <c r="F69">
        <v>4.0759999999999996</v>
      </c>
      <c r="G69">
        <v>3.9529999999999998</v>
      </c>
      <c r="H69">
        <v>3.8370000000000002</v>
      </c>
      <c r="I69">
        <v>3.9020000000000001</v>
      </c>
      <c r="J69">
        <v>31.364999999999998</v>
      </c>
      <c r="K69">
        <v>22.6</v>
      </c>
      <c r="L69">
        <v>-7.5999999999999998E-2</v>
      </c>
    </row>
    <row r="70" spans="1:12" x14ac:dyDescent="0.25">
      <c r="A70">
        <v>643752</v>
      </c>
      <c r="B70">
        <v>3.9590000000000001</v>
      </c>
      <c r="C70">
        <v>3.9609999999999999</v>
      </c>
      <c r="D70">
        <v>3.883</v>
      </c>
      <c r="E70">
        <v>3.8119999999999998</v>
      </c>
      <c r="F70">
        <v>4.0759999999999996</v>
      </c>
      <c r="G70">
        <v>3.9529999999999998</v>
      </c>
      <c r="H70">
        <v>3.8370000000000002</v>
      </c>
      <c r="I70">
        <v>3.9020000000000001</v>
      </c>
      <c r="J70">
        <v>31.382999999999999</v>
      </c>
      <c r="K70">
        <v>22.5</v>
      </c>
      <c r="L70">
        <v>-8.7999999999999995E-2</v>
      </c>
    </row>
    <row r="71" spans="1:12" x14ac:dyDescent="0.25">
      <c r="A71">
        <v>648815</v>
      </c>
      <c r="B71">
        <v>3.9540000000000002</v>
      </c>
      <c r="C71">
        <v>3.9660000000000002</v>
      </c>
      <c r="D71">
        <v>3.883</v>
      </c>
      <c r="E71">
        <v>3.794</v>
      </c>
      <c r="F71">
        <v>4.0759999999999996</v>
      </c>
      <c r="G71">
        <v>3.9529999999999998</v>
      </c>
      <c r="H71">
        <v>3.8370000000000002</v>
      </c>
      <c r="I71">
        <v>3.9020000000000001</v>
      </c>
      <c r="J71">
        <v>31.364999999999998</v>
      </c>
      <c r="K71">
        <v>22.6</v>
      </c>
      <c r="L71">
        <v>-9.7000000000000003E-2</v>
      </c>
    </row>
    <row r="72" spans="1:12" x14ac:dyDescent="0.25">
      <c r="A72">
        <v>653826</v>
      </c>
      <c r="B72">
        <v>3.9540000000000002</v>
      </c>
      <c r="C72">
        <v>3.9660000000000002</v>
      </c>
      <c r="D72">
        <v>3.883</v>
      </c>
      <c r="E72">
        <v>3.794</v>
      </c>
      <c r="F72">
        <v>4.0759999999999996</v>
      </c>
      <c r="G72">
        <v>3.9529999999999998</v>
      </c>
      <c r="H72">
        <v>3.8370000000000002</v>
      </c>
      <c r="I72">
        <v>3.9020000000000001</v>
      </c>
      <c r="J72">
        <v>31.364999999999998</v>
      </c>
      <c r="K72">
        <v>22.6</v>
      </c>
      <c r="L72">
        <v>-9.4E-2</v>
      </c>
    </row>
    <row r="73" spans="1:12" x14ac:dyDescent="0.25">
      <c r="A73">
        <v>658827</v>
      </c>
      <c r="B73">
        <v>3.9540000000000002</v>
      </c>
      <c r="C73">
        <v>3.9660000000000002</v>
      </c>
      <c r="D73">
        <v>3.883</v>
      </c>
      <c r="E73">
        <v>3.8119999999999998</v>
      </c>
      <c r="F73">
        <v>4.0759999999999996</v>
      </c>
      <c r="G73">
        <v>3.9529999999999998</v>
      </c>
      <c r="H73">
        <v>3.8370000000000002</v>
      </c>
      <c r="I73">
        <v>3.9020000000000001</v>
      </c>
      <c r="J73">
        <v>31.382999999999999</v>
      </c>
      <c r="K73">
        <v>22.5</v>
      </c>
      <c r="L73">
        <v>-0.09</v>
      </c>
    </row>
    <row r="74" spans="1:12" x14ac:dyDescent="0.25">
      <c r="A74">
        <v>663834</v>
      </c>
      <c r="B74">
        <v>3.9540000000000002</v>
      </c>
      <c r="C74">
        <v>3.9660000000000002</v>
      </c>
      <c r="D74">
        <v>3.883</v>
      </c>
      <c r="E74">
        <v>3.794</v>
      </c>
      <c r="F74">
        <v>4.0759999999999996</v>
      </c>
      <c r="G74">
        <v>3.9529999999999998</v>
      </c>
      <c r="H74">
        <v>3.8370000000000002</v>
      </c>
      <c r="I74">
        <v>3.9020000000000001</v>
      </c>
      <c r="J74">
        <v>31.364999999999998</v>
      </c>
      <c r="K74">
        <v>22.5</v>
      </c>
      <c r="L74">
        <v>-8.8999999999999996E-2</v>
      </c>
    </row>
    <row r="75" spans="1:12" x14ac:dyDescent="0.25">
      <c r="A75">
        <v>668841</v>
      </c>
      <c r="B75">
        <v>3.9540000000000002</v>
      </c>
      <c r="C75">
        <v>3.9660000000000002</v>
      </c>
      <c r="D75">
        <v>3.883</v>
      </c>
      <c r="E75">
        <v>3.794</v>
      </c>
      <c r="F75">
        <v>4.0759999999999996</v>
      </c>
      <c r="G75">
        <v>3.9529999999999998</v>
      </c>
      <c r="H75">
        <v>3.8370000000000002</v>
      </c>
      <c r="I75">
        <v>3.9020000000000001</v>
      </c>
      <c r="J75">
        <v>31.364999999999998</v>
      </c>
      <c r="K75">
        <v>22.5</v>
      </c>
      <c r="L75">
        <v>-7.4999999999999997E-2</v>
      </c>
    </row>
    <row r="76" spans="1:12" x14ac:dyDescent="0.25">
      <c r="A76">
        <v>673841</v>
      </c>
      <c r="B76">
        <v>3.9540000000000002</v>
      </c>
      <c r="C76">
        <v>3.9660000000000002</v>
      </c>
      <c r="D76">
        <v>3.883</v>
      </c>
      <c r="E76">
        <v>3.794</v>
      </c>
      <c r="F76">
        <v>4.0759999999999996</v>
      </c>
      <c r="G76">
        <v>3.9529999999999998</v>
      </c>
      <c r="H76">
        <v>3.8370000000000002</v>
      </c>
      <c r="I76">
        <v>3.9020000000000001</v>
      </c>
      <c r="J76">
        <v>31.364999999999998</v>
      </c>
      <c r="K76">
        <v>22.6</v>
      </c>
      <c r="L76">
        <v>-8.1000000000000003E-2</v>
      </c>
    </row>
    <row r="77" spans="1:12" x14ac:dyDescent="0.25">
      <c r="A77">
        <v>678879</v>
      </c>
      <c r="B77">
        <v>3.9540000000000002</v>
      </c>
      <c r="C77">
        <v>3.9660000000000002</v>
      </c>
      <c r="D77">
        <v>3.883</v>
      </c>
      <c r="E77">
        <v>3.794</v>
      </c>
      <c r="F77">
        <v>4.0759999999999996</v>
      </c>
      <c r="G77">
        <v>3.9529999999999998</v>
      </c>
      <c r="H77">
        <v>3.8370000000000002</v>
      </c>
      <c r="I77">
        <v>3.9020000000000001</v>
      </c>
      <c r="J77">
        <v>31.364999999999998</v>
      </c>
      <c r="K77">
        <v>22.6</v>
      </c>
      <c r="L77">
        <v>-8.6999999999999994E-2</v>
      </c>
    </row>
    <row r="78" spans="1:12" x14ac:dyDescent="0.25">
      <c r="A78">
        <v>683890</v>
      </c>
      <c r="B78">
        <v>3.9540000000000002</v>
      </c>
      <c r="C78">
        <v>3.9660000000000002</v>
      </c>
      <c r="D78">
        <v>3.883</v>
      </c>
      <c r="E78">
        <v>3.794</v>
      </c>
      <c r="F78">
        <v>4.0759999999999996</v>
      </c>
      <c r="G78">
        <v>3.9529999999999998</v>
      </c>
      <c r="H78">
        <v>3.8370000000000002</v>
      </c>
      <c r="I78">
        <v>3.9020000000000001</v>
      </c>
      <c r="J78">
        <v>31.364999999999998</v>
      </c>
      <c r="K78">
        <v>22.6</v>
      </c>
      <c r="L78">
        <v>-8.6999999999999994E-2</v>
      </c>
    </row>
    <row r="79" spans="1:12" x14ac:dyDescent="0.25">
      <c r="A79">
        <v>688953</v>
      </c>
      <c r="B79">
        <v>3.9540000000000002</v>
      </c>
      <c r="C79">
        <v>3.9660000000000002</v>
      </c>
      <c r="D79">
        <v>3.883</v>
      </c>
      <c r="E79">
        <v>3.794</v>
      </c>
      <c r="F79">
        <v>4.0759999999999996</v>
      </c>
      <c r="G79">
        <v>3.9529999999999998</v>
      </c>
      <c r="H79">
        <v>3.8370000000000002</v>
      </c>
      <c r="I79">
        <v>3.9020000000000001</v>
      </c>
      <c r="J79">
        <v>31.364999999999998</v>
      </c>
      <c r="K79">
        <v>22.6</v>
      </c>
      <c r="L79">
        <v>-9.1999999999999998E-2</v>
      </c>
    </row>
    <row r="80" spans="1:12" x14ac:dyDescent="0.25">
      <c r="A80">
        <v>693964</v>
      </c>
      <c r="B80">
        <v>3.9540000000000002</v>
      </c>
      <c r="C80">
        <v>3.9660000000000002</v>
      </c>
      <c r="D80">
        <v>3.883</v>
      </c>
      <c r="E80">
        <v>3.794</v>
      </c>
      <c r="F80">
        <v>4.0759999999999996</v>
      </c>
      <c r="G80">
        <v>3.9529999999999998</v>
      </c>
      <c r="H80">
        <v>3.8370000000000002</v>
      </c>
      <c r="I80">
        <v>3.9020000000000001</v>
      </c>
      <c r="J80">
        <v>31.364999999999998</v>
      </c>
      <c r="K80">
        <v>22.6</v>
      </c>
      <c r="L80">
        <v>-0.10199999999999999</v>
      </c>
    </row>
    <row r="81" spans="1:12" x14ac:dyDescent="0.25">
      <c r="A81">
        <v>698968</v>
      </c>
      <c r="B81">
        <v>3.9540000000000002</v>
      </c>
      <c r="C81">
        <v>3.9660000000000002</v>
      </c>
      <c r="D81">
        <v>3.883</v>
      </c>
      <c r="E81">
        <v>3.794</v>
      </c>
      <c r="F81">
        <v>4.0759999999999996</v>
      </c>
      <c r="G81">
        <v>3.9529999999999998</v>
      </c>
      <c r="H81">
        <v>3.8370000000000002</v>
      </c>
      <c r="I81">
        <v>3.9020000000000001</v>
      </c>
      <c r="J81">
        <v>31.364999999999998</v>
      </c>
      <c r="K81">
        <v>22.6</v>
      </c>
      <c r="L81">
        <v>-7.3999999999999996E-2</v>
      </c>
    </row>
    <row r="82" spans="1:12" x14ac:dyDescent="0.25">
      <c r="A82">
        <v>703975</v>
      </c>
      <c r="B82">
        <v>3.9540000000000002</v>
      </c>
      <c r="C82">
        <v>3.9660000000000002</v>
      </c>
      <c r="D82">
        <v>3.883</v>
      </c>
      <c r="E82">
        <v>3.794</v>
      </c>
      <c r="F82">
        <v>4.0759999999999996</v>
      </c>
      <c r="G82">
        <v>3.9529999999999998</v>
      </c>
      <c r="H82">
        <v>3.8370000000000002</v>
      </c>
      <c r="I82">
        <v>3.9020000000000001</v>
      </c>
      <c r="J82">
        <v>31.364999999999998</v>
      </c>
      <c r="K82">
        <v>22.6</v>
      </c>
      <c r="L82">
        <v>-7.5999999999999998E-2</v>
      </c>
    </row>
    <row r="83" spans="1:12" x14ac:dyDescent="0.25">
      <c r="A83">
        <v>708982</v>
      </c>
      <c r="B83">
        <v>3.9540000000000002</v>
      </c>
      <c r="C83">
        <v>3.9660000000000002</v>
      </c>
      <c r="D83">
        <v>3.883</v>
      </c>
      <c r="E83">
        <v>3.794</v>
      </c>
      <c r="F83">
        <v>4.0759999999999996</v>
      </c>
      <c r="G83">
        <v>3.9529999999999998</v>
      </c>
      <c r="H83">
        <v>3.8370000000000002</v>
      </c>
      <c r="I83">
        <v>3.9020000000000001</v>
      </c>
      <c r="J83">
        <v>31.364999999999998</v>
      </c>
      <c r="K83">
        <v>22.6</v>
      </c>
      <c r="L83">
        <v>-7.5999999999999998E-2</v>
      </c>
    </row>
    <row r="84" spans="1:12" x14ac:dyDescent="0.25">
      <c r="A84">
        <v>713987</v>
      </c>
      <c r="B84">
        <v>3.9540000000000002</v>
      </c>
      <c r="C84">
        <v>3.9660000000000002</v>
      </c>
      <c r="D84">
        <v>3.883</v>
      </c>
      <c r="E84">
        <v>3.794</v>
      </c>
      <c r="F84">
        <v>4.0759999999999996</v>
      </c>
      <c r="G84">
        <v>3.9529999999999998</v>
      </c>
      <c r="H84">
        <v>3.8370000000000002</v>
      </c>
      <c r="I84">
        <v>3.9020000000000001</v>
      </c>
      <c r="J84">
        <v>31.364999999999998</v>
      </c>
      <c r="K84">
        <v>22.6</v>
      </c>
      <c r="L84">
        <v>-9.1999999999999998E-2</v>
      </c>
    </row>
    <row r="85" spans="1:12" x14ac:dyDescent="0.25">
      <c r="A85">
        <v>719030</v>
      </c>
      <c r="B85">
        <v>3.9540000000000002</v>
      </c>
      <c r="C85">
        <v>3.9660000000000002</v>
      </c>
      <c r="D85">
        <v>3.883</v>
      </c>
      <c r="E85">
        <v>3.794</v>
      </c>
      <c r="F85">
        <v>4.0759999999999996</v>
      </c>
      <c r="G85">
        <v>3.9529999999999998</v>
      </c>
      <c r="H85">
        <v>3.8370000000000002</v>
      </c>
      <c r="I85">
        <v>3.9020000000000001</v>
      </c>
      <c r="J85">
        <v>31.364999999999998</v>
      </c>
      <c r="K85">
        <v>22.6</v>
      </c>
      <c r="L85">
        <v>-0.1</v>
      </c>
    </row>
    <row r="86" spans="1:12" x14ac:dyDescent="0.25">
      <c r="A86">
        <v>724041</v>
      </c>
      <c r="B86">
        <v>3.9540000000000002</v>
      </c>
      <c r="C86">
        <v>3.9660000000000002</v>
      </c>
      <c r="D86">
        <v>3.883</v>
      </c>
      <c r="E86">
        <v>3.794</v>
      </c>
      <c r="F86">
        <v>4.0759999999999996</v>
      </c>
      <c r="G86">
        <v>3.9529999999999998</v>
      </c>
      <c r="H86">
        <v>3.8370000000000002</v>
      </c>
      <c r="I86">
        <v>3.9020000000000001</v>
      </c>
      <c r="J86">
        <v>31.364999999999998</v>
      </c>
      <c r="K86">
        <v>22.6</v>
      </c>
      <c r="L86">
        <v>-0.104</v>
      </c>
    </row>
    <row r="87" spans="1:12" x14ac:dyDescent="0.25">
      <c r="A87">
        <v>21939</v>
      </c>
      <c r="B87">
        <v>0</v>
      </c>
      <c r="C87">
        <v>-6.8000000000000005E-2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-6.8000000000000005E-2</v>
      </c>
      <c r="K87">
        <v>-273.10000000000002</v>
      </c>
      <c r="L87">
        <v>-3.9E-2</v>
      </c>
    </row>
    <row r="88" spans="1:12" x14ac:dyDescent="0.25">
      <c r="A88">
        <v>26941</v>
      </c>
      <c r="B88">
        <v>0.112</v>
      </c>
      <c r="C88">
        <v>-0.112</v>
      </c>
      <c r="D88">
        <v>0</v>
      </c>
      <c r="E88">
        <v>0</v>
      </c>
      <c r="F88">
        <v>4.0460000000000003</v>
      </c>
      <c r="G88">
        <v>3.9460000000000002</v>
      </c>
      <c r="H88">
        <v>3.8929999999999998</v>
      </c>
      <c r="I88">
        <v>3.879</v>
      </c>
      <c r="J88">
        <v>15.763999999999999</v>
      </c>
      <c r="K88">
        <v>-126.2</v>
      </c>
      <c r="L88">
        <v>-4.8000000000000001E-2</v>
      </c>
    </row>
    <row r="89" spans="1:12" x14ac:dyDescent="0.25">
      <c r="A89">
        <v>31981</v>
      </c>
      <c r="B89">
        <v>0.10299999999999999</v>
      </c>
      <c r="C89">
        <v>-0.10299999999999999</v>
      </c>
      <c r="D89">
        <v>0</v>
      </c>
      <c r="E89">
        <v>0</v>
      </c>
      <c r="F89">
        <v>4.0640000000000001</v>
      </c>
      <c r="G89">
        <v>3.9460000000000002</v>
      </c>
      <c r="H89">
        <v>3.8610000000000002</v>
      </c>
      <c r="I89">
        <v>3.9119999999999999</v>
      </c>
      <c r="J89">
        <v>15.782999999999999</v>
      </c>
      <c r="K89">
        <v>-126.1</v>
      </c>
      <c r="L89">
        <v>-5.6000000000000001E-2</v>
      </c>
    </row>
    <row r="90" spans="1:12" x14ac:dyDescent="0.25">
      <c r="A90">
        <v>36983</v>
      </c>
      <c r="B90">
        <v>3.9740000000000002</v>
      </c>
      <c r="C90">
        <v>3.9820000000000002</v>
      </c>
      <c r="D90">
        <v>3.8769999999999998</v>
      </c>
      <c r="E90">
        <v>3.819</v>
      </c>
      <c r="F90">
        <v>4.0590000000000002</v>
      </c>
      <c r="G90">
        <v>3.9260000000000002</v>
      </c>
      <c r="H90">
        <v>3.9060000000000001</v>
      </c>
      <c r="I90">
        <v>3.843</v>
      </c>
      <c r="J90">
        <v>31.385999999999999</v>
      </c>
      <c r="K90">
        <v>20.6</v>
      </c>
      <c r="L90">
        <v>-7.0000000000000007E-2</v>
      </c>
    </row>
    <row r="91" spans="1:12" x14ac:dyDescent="0.25">
      <c r="A91">
        <v>41984</v>
      </c>
      <c r="B91">
        <v>3.9740000000000002</v>
      </c>
      <c r="C91">
        <v>3.9729999999999999</v>
      </c>
      <c r="D91">
        <v>3.8860000000000001</v>
      </c>
      <c r="E91">
        <v>3.819</v>
      </c>
      <c r="F91">
        <v>4.0590000000000002</v>
      </c>
      <c r="G91">
        <v>3.9550000000000001</v>
      </c>
      <c r="H91">
        <v>3.8780000000000001</v>
      </c>
      <c r="I91">
        <v>3.8820000000000001</v>
      </c>
      <c r="J91">
        <v>31.425999999999998</v>
      </c>
      <c r="K91">
        <v>20.6</v>
      </c>
      <c r="L91">
        <v>-6.7000000000000004E-2</v>
      </c>
    </row>
    <row r="92" spans="1:12" x14ac:dyDescent="0.25">
      <c r="A92">
        <v>46990</v>
      </c>
      <c r="B92">
        <v>3.9740000000000002</v>
      </c>
      <c r="C92">
        <v>3.9820000000000002</v>
      </c>
      <c r="D92">
        <v>3.8769999999999998</v>
      </c>
      <c r="E92">
        <v>3.819</v>
      </c>
      <c r="F92">
        <v>4.077</v>
      </c>
      <c r="G92">
        <v>3.9550000000000001</v>
      </c>
      <c r="H92">
        <v>3.8780000000000001</v>
      </c>
      <c r="I92">
        <v>3.843</v>
      </c>
      <c r="J92">
        <v>31.405000000000001</v>
      </c>
      <c r="K92">
        <v>20.6</v>
      </c>
      <c r="L92">
        <v>-7.3999999999999996E-2</v>
      </c>
    </row>
    <row r="93" spans="1:12" x14ac:dyDescent="0.25">
      <c r="A93">
        <v>51996</v>
      </c>
      <c r="B93">
        <v>3.9689999999999999</v>
      </c>
      <c r="C93">
        <v>3.9780000000000002</v>
      </c>
      <c r="D93">
        <v>3.8860000000000001</v>
      </c>
      <c r="E93">
        <v>3.819</v>
      </c>
      <c r="F93">
        <v>4.077</v>
      </c>
      <c r="G93">
        <v>3.9260000000000002</v>
      </c>
      <c r="H93">
        <v>3.9060000000000001</v>
      </c>
      <c r="I93">
        <v>3.843</v>
      </c>
      <c r="J93">
        <v>31.404</v>
      </c>
      <c r="K93">
        <v>20.7</v>
      </c>
      <c r="L93">
        <v>-6.5000000000000002E-2</v>
      </c>
    </row>
    <row r="94" spans="1:12" x14ac:dyDescent="0.25">
      <c r="A94">
        <v>56996</v>
      </c>
      <c r="B94">
        <v>3.9689999999999999</v>
      </c>
      <c r="C94">
        <v>3.9780000000000002</v>
      </c>
      <c r="D94">
        <v>3.8860000000000001</v>
      </c>
      <c r="E94">
        <v>3.819</v>
      </c>
      <c r="F94">
        <v>4.077</v>
      </c>
      <c r="G94">
        <v>3.9260000000000002</v>
      </c>
      <c r="H94">
        <v>3.9060000000000001</v>
      </c>
      <c r="I94">
        <v>3.843</v>
      </c>
      <c r="J94">
        <v>31.404</v>
      </c>
      <c r="K94">
        <v>20.7</v>
      </c>
      <c r="L94">
        <v>-8.5999999999999993E-2</v>
      </c>
    </row>
    <row r="95" spans="1:12" x14ac:dyDescent="0.25">
      <c r="A95">
        <v>62032</v>
      </c>
      <c r="B95">
        <v>3.9689999999999999</v>
      </c>
      <c r="C95">
        <v>3.9780000000000002</v>
      </c>
      <c r="D95">
        <v>3.8860000000000001</v>
      </c>
      <c r="E95">
        <v>3.819</v>
      </c>
      <c r="F95">
        <v>4.077</v>
      </c>
      <c r="G95">
        <v>3.9260000000000002</v>
      </c>
      <c r="H95">
        <v>3.9060000000000001</v>
      </c>
      <c r="I95">
        <v>3.843</v>
      </c>
      <c r="J95">
        <v>31.404</v>
      </c>
      <c r="K95">
        <v>20.7</v>
      </c>
      <c r="L95">
        <v>-9.5000000000000001E-2</v>
      </c>
    </row>
    <row r="96" spans="1:12" x14ac:dyDescent="0.25">
      <c r="A96">
        <v>67033</v>
      </c>
      <c r="B96">
        <v>3.9689999999999999</v>
      </c>
      <c r="C96">
        <v>3.9780000000000002</v>
      </c>
      <c r="D96">
        <v>3.8860000000000001</v>
      </c>
      <c r="E96">
        <v>3.819</v>
      </c>
      <c r="F96">
        <v>4.077</v>
      </c>
      <c r="G96">
        <v>3.9260000000000002</v>
      </c>
      <c r="H96">
        <v>3.9060000000000001</v>
      </c>
      <c r="I96">
        <v>3.843</v>
      </c>
      <c r="J96">
        <v>31.404</v>
      </c>
      <c r="K96">
        <v>20.7</v>
      </c>
      <c r="L96">
        <v>-8.5999999999999993E-2</v>
      </c>
    </row>
    <row r="97" spans="1:12" x14ac:dyDescent="0.25">
      <c r="A97">
        <v>72036</v>
      </c>
      <c r="B97">
        <v>3.9689999999999999</v>
      </c>
      <c r="C97">
        <v>3.9689999999999999</v>
      </c>
      <c r="D97">
        <v>3.8940000000000001</v>
      </c>
      <c r="E97">
        <v>3.8010000000000002</v>
      </c>
      <c r="F97">
        <v>4.0490000000000004</v>
      </c>
      <c r="G97">
        <v>3.9540000000000002</v>
      </c>
      <c r="H97">
        <v>3.8740000000000001</v>
      </c>
      <c r="I97">
        <v>3.8759999999999999</v>
      </c>
      <c r="J97">
        <v>31.385999999999999</v>
      </c>
      <c r="K97">
        <v>20.7</v>
      </c>
      <c r="L97">
        <v>-9.0999999999999998E-2</v>
      </c>
    </row>
    <row r="98" spans="1:12" x14ac:dyDescent="0.25">
      <c r="A98">
        <v>77039</v>
      </c>
      <c r="B98">
        <v>3.9689999999999999</v>
      </c>
      <c r="C98">
        <v>3.9689999999999999</v>
      </c>
      <c r="D98">
        <v>3.8940000000000001</v>
      </c>
      <c r="E98">
        <v>3.8010000000000002</v>
      </c>
      <c r="F98">
        <v>4.077</v>
      </c>
      <c r="G98">
        <v>3.9260000000000002</v>
      </c>
      <c r="H98">
        <v>3.8740000000000001</v>
      </c>
      <c r="I98">
        <v>3.8759999999999999</v>
      </c>
      <c r="J98">
        <v>31.385999999999999</v>
      </c>
      <c r="K98">
        <v>20.7</v>
      </c>
      <c r="L98">
        <v>-0.1</v>
      </c>
    </row>
    <row r="99" spans="1:12" x14ac:dyDescent="0.25">
      <c r="A99">
        <v>82046</v>
      </c>
      <c r="B99">
        <v>3.9689999999999999</v>
      </c>
      <c r="C99">
        <v>3.9689999999999999</v>
      </c>
      <c r="D99">
        <v>3.8940000000000001</v>
      </c>
      <c r="E99">
        <v>3.8010000000000002</v>
      </c>
      <c r="F99">
        <v>4.077</v>
      </c>
      <c r="G99">
        <v>3.9260000000000002</v>
      </c>
      <c r="H99">
        <v>3.8740000000000001</v>
      </c>
      <c r="I99">
        <v>3.8759999999999999</v>
      </c>
      <c r="J99">
        <v>31.385999999999999</v>
      </c>
      <c r="K99">
        <v>20.7</v>
      </c>
      <c r="L99">
        <v>-8.8999999999999996E-2</v>
      </c>
    </row>
    <row r="100" spans="1:12" x14ac:dyDescent="0.25">
      <c r="A100">
        <v>87046</v>
      </c>
      <c r="B100">
        <v>3.9689999999999999</v>
      </c>
      <c r="C100">
        <v>3.9689999999999999</v>
      </c>
      <c r="D100">
        <v>3.8940000000000001</v>
      </c>
      <c r="E100">
        <v>3.8010000000000002</v>
      </c>
      <c r="F100">
        <v>4.077</v>
      </c>
      <c r="G100">
        <v>3.9260000000000002</v>
      </c>
      <c r="H100">
        <v>3.8740000000000001</v>
      </c>
      <c r="I100">
        <v>3.8759999999999999</v>
      </c>
      <c r="J100">
        <v>31.385999999999999</v>
      </c>
      <c r="K100">
        <v>20.7</v>
      </c>
      <c r="L100">
        <v>-0.104</v>
      </c>
    </row>
    <row r="101" spans="1:12" x14ac:dyDescent="0.25">
      <c r="A101">
        <v>92102</v>
      </c>
      <c r="B101">
        <v>3.9740000000000002</v>
      </c>
      <c r="C101">
        <v>3.9729999999999999</v>
      </c>
      <c r="D101">
        <v>3.8860000000000001</v>
      </c>
      <c r="E101">
        <v>3.819</v>
      </c>
      <c r="F101">
        <v>4.0590000000000002</v>
      </c>
      <c r="G101">
        <v>3.9550000000000001</v>
      </c>
      <c r="H101">
        <v>3.8780000000000001</v>
      </c>
      <c r="I101">
        <v>3.8820000000000001</v>
      </c>
      <c r="J101">
        <v>31.425999999999998</v>
      </c>
      <c r="K101">
        <v>20.7</v>
      </c>
      <c r="L101">
        <v>-9.7000000000000003E-2</v>
      </c>
    </row>
    <row r="102" spans="1:12" x14ac:dyDescent="0.25">
      <c r="A102">
        <v>97113</v>
      </c>
      <c r="B102">
        <v>3.9740000000000002</v>
      </c>
      <c r="C102">
        <v>3.9729999999999999</v>
      </c>
      <c r="D102">
        <v>3.8860000000000001</v>
      </c>
      <c r="E102">
        <v>3.819</v>
      </c>
      <c r="F102">
        <v>4.077</v>
      </c>
      <c r="G102">
        <v>3.9550000000000001</v>
      </c>
      <c r="H102">
        <v>3.8780000000000001</v>
      </c>
      <c r="I102">
        <v>3.8820000000000001</v>
      </c>
      <c r="J102">
        <v>31.443999999999999</v>
      </c>
      <c r="K102">
        <v>20.7</v>
      </c>
      <c r="L102">
        <v>-0.105</v>
      </c>
    </row>
    <row r="103" spans="1:12" x14ac:dyDescent="0.25">
      <c r="A103">
        <v>102175</v>
      </c>
      <c r="B103">
        <v>3.9740000000000002</v>
      </c>
      <c r="C103">
        <v>3.9729999999999999</v>
      </c>
      <c r="D103">
        <v>3.8860000000000001</v>
      </c>
      <c r="E103">
        <v>3.819</v>
      </c>
      <c r="F103">
        <v>4.077</v>
      </c>
      <c r="G103">
        <v>3.9550000000000001</v>
      </c>
      <c r="H103">
        <v>3.8780000000000001</v>
      </c>
      <c r="I103">
        <v>3.8820000000000001</v>
      </c>
      <c r="J103">
        <v>31.443999999999999</v>
      </c>
      <c r="K103">
        <v>20.7</v>
      </c>
      <c r="L103">
        <v>-9.5000000000000001E-2</v>
      </c>
    </row>
    <row r="104" spans="1:12" x14ac:dyDescent="0.25">
      <c r="A104">
        <v>107185</v>
      </c>
      <c r="B104">
        <v>3.9740000000000002</v>
      </c>
      <c r="C104">
        <v>3.9729999999999999</v>
      </c>
      <c r="D104">
        <v>3.8860000000000001</v>
      </c>
      <c r="E104">
        <v>3.819</v>
      </c>
      <c r="F104">
        <v>4.077</v>
      </c>
      <c r="G104">
        <v>3.9550000000000001</v>
      </c>
      <c r="H104">
        <v>3.8780000000000001</v>
      </c>
      <c r="I104">
        <v>3.8820000000000001</v>
      </c>
      <c r="J104">
        <v>31.443999999999999</v>
      </c>
      <c r="K104">
        <v>20.7</v>
      </c>
      <c r="L104">
        <v>-0.114</v>
      </c>
    </row>
    <row r="105" spans="1:12" x14ac:dyDescent="0.25">
      <c r="A105">
        <v>112186</v>
      </c>
      <c r="B105">
        <v>3.9689999999999999</v>
      </c>
      <c r="C105">
        <v>3.9780000000000002</v>
      </c>
      <c r="D105">
        <v>3.8860000000000001</v>
      </c>
      <c r="E105">
        <v>3.819</v>
      </c>
      <c r="F105">
        <v>4.077</v>
      </c>
      <c r="G105">
        <v>3.9550000000000001</v>
      </c>
      <c r="H105">
        <v>3.8780000000000001</v>
      </c>
      <c r="I105">
        <v>3.843</v>
      </c>
      <c r="J105">
        <v>31.405000000000001</v>
      </c>
      <c r="K105">
        <v>20.7</v>
      </c>
      <c r="L105">
        <v>-0.11700000000000001</v>
      </c>
    </row>
    <row r="106" spans="1:12" x14ac:dyDescent="0.25">
      <c r="A106">
        <v>117191</v>
      </c>
      <c r="B106">
        <v>3.9689999999999999</v>
      </c>
      <c r="C106">
        <v>3.9780000000000002</v>
      </c>
      <c r="D106">
        <v>3.8860000000000001</v>
      </c>
      <c r="E106">
        <v>3.819</v>
      </c>
      <c r="F106">
        <v>4.077</v>
      </c>
      <c r="G106">
        <v>3.9260000000000002</v>
      </c>
      <c r="H106">
        <v>3.8740000000000001</v>
      </c>
      <c r="I106">
        <v>3.8759999999999999</v>
      </c>
      <c r="J106">
        <v>31.405000000000001</v>
      </c>
      <c r="K106">
        <v>20.7</v>
      </c>
      <c r="L106">
        <v>-0.11899999999999999</v>
      </c>
    </row>
    <row r="107" spans="1:12" x14ac:dyDescent="0.25">
      <c r="A107">
        <v>122198</v>
      </c>
      <c r="B107">
        <v>3.9689999999999999</v>
      </c>
      <c r="C107">
        <v>3.9780000000000002</v>
      </c>
      <c r="D107">
        <v>3.8860000000000001</v>
      </c>
      <c r="E107">
        <v>3.819</v>
      </c>
      <c r="F107">
        <v>4.077</v>
      </c>
      <c r="G107">
        <v>3.9260000000000002</v>
      </c>
      <c r="H107">
        <v>3.8740000000000001</v>
      </c>
      <c r="I107">
        <v>3.8759999999999999</v>
      </c>
      <c r="J107">
        <v>31.405000000000001</v>
      </c>
      <c r="K107">
        <v>20.7</v>
      </c>
      <c r="L107">
        <v>-0.11899999999999999</v>
      </c>
    </row>
    <row r="108" spans="1:12" x14ac:dyDescent="0.25">
      <c r="A108">
        <v>127203</v>
      </c>
      <c r="B108">
        <v>3.9689999999999999</v>
      </c>
      <c r="C108">
        <v>3.9689999999999999</v>
      </c>
      <c r="D108">
        <v>3.88</v>
      </c>
      <c r="E108">
        <v>3.8149999999999999</v>
      </c>
      <c r="F108">
        <v>4.077</v>
      </c>
      <c r="G108">
        <v>3.9260000000000002</v>
      </c>
      <c r="H108">
        <v>3.8740000000000001</v>
      </c>
      <c r="I108">
        <v>3.8759999999999999</v>
      </c>
      <c r="J108">
        <v>31.385999999999999</v>
      </c>
      <c r="K108">
        <v>20.7</v>
      </c>
      <c r="L108">
        <v>-0.121</v>
      </c>
    </row>
    <row r="109" spans="1:12" x14ac:dyDescent="0.25">
      <c r="A109">
        <v>132244</v>
      </c>
      <c r="B109">
        <v>3.9689999999999999</v>
      </c>
      <c r="C109">
        <v>3.9689999999999999</v>
      </c>
      <c r="D109">
        <v>3.8940000000000001</v>
      </c>
      <c r="E109">
        <v>3.8010000000000002</v>
      </c>
      <c r="F109">
        <v>4.0949999999999998</v>
      </c>
      <c r="G109">
        <v>3.9260000000000002</v>
      </c>
      <c r="H109">
        <v>3.8740000000000001</v>
      </c>
      <c r="I109">
        <v>3.8759999999999999</v>
      </c>
      <c r="J109">
        <v>31.404</v>
      </c>
      <c r="K109">
        <v>20.7</v>
      </c>
      <c r="L109">
        <v>-0.13</v>
      </c>
    </row>
    <row r="110" spans="1:12" x14ac:dyDescent="0.25">
      <c r="A110">
        <v>137255</v>
      </c>
      <c r="B110">
        <v>3.9689999999999999</v>
      </c>
      <c r="C110">
        <v>3.9689999999999999</v>
      </c>
      <c r="D110">
        <v>3.88</v>
      </c>
      <c r="E110">
        <v>3.8149999999999999</v>
      </c>
      <c r="F110">
        <v>4.0670000000000002</v>
      </c>
      <c r="G110">
        <v>3.9540000000000002</v>
      </c>
      <c r="H110">
        <v>3.8740000000000001</v>
      </c>
      <c r="I110">
        <v>3.8759999999999999</v>
      </c>
      <c r="J110">
        <v>31.404</v>
      </c>
      <c r="K110">
        <v>20.7</v>
      </c>
      <c r="L110">
        <v>-0.11899999999999999</v>
      </c>
    </row>
    <row r="111" spans="1:12" x14ac:dyDescent="0.25">
      <c r="A111">
        <v>142256</v>
      </c>
      <c r="B111">
        <v>3.9740000000000002</v>
      </c>
      <c r="C111">
        <v>3.9820000000000002</v>
      </c>
      <c r="D111">
        <v>3.891</v>
      </c>
      <c r="E111">
        <v>3.8220000000000001</v>
      </c>
      <c r="F111">
        <v>4.0590000000000002</v>
      </c>
      <c r="G111">
        <v>3.9550000000000001</v>
      </c>
      <c r="H111">
        <v>3.8780000000000001</v>
      </c>
      <c r="I111">
        <v>3.8820000000000001</v>
      </c>
      <c r="J111">
        <v>31.443000000000001</v>
      </c>
      <c r="K111">
        <v>20.7</v>
      </c>
      <c r="L111">
        <v>-0.14599999999999999</v>
      </c>
    </row>
    <row r="112" spans="1:12" x14ac:dyDescent="0.25">
      <c r="A112">
        <v>147261</v>
      </c>
      <c r="B112">
        <v>3.9740000000000002</v>
      </c>
      <c r="C112">
        <v>3.9729999999999999</v>
      </c>
      <c r="D112">
        <v>3.8860000000000001</v>
      </c>
      <c r="E112">
        <v>3.819</v>
      </c>
      <c r="F112">
        <v>4.077</v>
      </c>
      <c r="G112">
        <v>3.9550000000000001</v>
      </c>
      <c r="H112">
        <v>3.8780000000000001</v>
      </c>
      <c r="I112">
        <v>3.8820000000000001</v>
      </c>
      <c r="J112">
        <v>31.443999999999999</v>
      </c>
      <c r="K112">
        <v>20.7</v>
      </c>
      <c r="L112">
        <v>-0.13500000000000001</v>
      </c>
    </row>
    <row r="113" spans="1:12" x14ac:dyDescent="0.25">
      <c r="A113">
        <v>152268</v>
      </c>
      <c r="B113">
        <v>3.9740000000000002</v>
      </c>
      <c r="C113">
        <v>3.9729999999999999</v>
      </c>
      <c r="D113">
        <v>3.8860000000000001</v>
      </c>
      <c r="E113">
        <v>3.819</v>
      </c>
      <c r="F113">
        <v>4.077</v>
      </c>
      <c r="G113">
        <v>3.9550000000000001</v>
      </c>
      <c r="H113">
        <v>3.8780000000000001</v>
      </c>
      <c r="I113">
        <v>3.8820000000000001</v>
      </c>
      <c r="J113">
        <v>31.443999999999999</v>
      </c>
      <c r="K113">
        <v>20.7</v>
      </c>
      <c r="L113">
        <v>-0.14399999999999999</v>
      </c>
    </row>
    <row r="114" spans="1:12" x14ac:dyDescent="0.25">
      <c r="A114">
        <v>157273</v>
      </c>
      <c r="B114">
        <v>3.9689999999999999</v>
      </c>
      <c r="C114">
        <v>3.9780000000000002</v>
      </c>
      <c r="D114">
        <v>3.8860000000000001</v>
      </c>
      <c r="E114">
        <v>3.819</v>
      </c>
      <c r="F114">
        <v>4.077</v>
      </c>
      <c r="G114">
        <v>3.9550000000000001</v>
      </c>
      <c r="H114">
        <v>3.8780000000000001</v>
      </c>
      <c r="I114">
        <v>3.843</v>
      </c>
      <c r="J114">
        <v>31.405000000000001</v>
      </c>
      <c r="K114">
        <v>20.7</v>
      </c>
      <c r="L114">
        <v>-0.14099999999999999</v>
      </c>
    </row>
    <row r="115" spans="1:12" x14ac:dyDescent="0.25">
      <c r="A115">
        <v>162315</v>
      </c>
      <c r="B115">
        <v>3.9689999999999999</v>
      </c>
      <c r="C115">
        <v>3.9780000000000002</v>
      </c>
      <c r="D115">
        <v>3.8860000000000001</v>
      </c>
      <c r="E115">
        <v>3.819</v>
      </c>
      <c r="F115">
        <v>4.077</v>
      </c>
      <c r="G115">
        <v>3.9260000000000002</v>
      </c>
      <c r="H115">
        <v>3.8740000000000001</v>
      </c>
      <c r="I115">
        <v>3.8759999999999999</v>
      </c>
      <c r="J115">
        <v>31.405000000000001</v>
      </c>
      <c r="K115">
        <v>20.7</v>
      </c>
      <c r="L115">
        <v>-0.154</v>
      </c>
    </row>
    <row r="116" spans="1:12" x14ac:dyDescent="0.25">
      <c r="A116">
        <v>167325</v>
      </c>
      <c r="B116">
        <v>3.9689999999999999</v>
      </c>
      <c r="C116">
        <v>3.9780000000000002</v>
      </c>
      <c r="D116">
        <v>3.8860000000000001</v>
      </c>
      <c r="E116">
        <v>3.8010000000000002</v>
      </c>
      <c r="F116">
        <v>4.077</v>
      </c>
      <c r="G116">
        <v>3.9260000000000002</v>
      </c>
      <c r="H116">
        <v>3.8740000000000001</v>
      </c>
      <c r="I116">
        <v>3.8759999999999999</v>
      </c>
      <c r="J116">
        <v>31.387</v>
      </c>
      <c r="K116">
        <v>20.7</v>
      </c>
      <c r="L116">
        <v>-0.155</v>
      </c>
    </row>
    <row r="117" spans="1:12" x14ac:dyDescent="0.25">
      <c r="A117">
        <v>172332</v>
      </c>
      <c r="B117">
        <v>3.9689999999999999</v>
      </c>
      <c r="C117">
        <v>3.9689999999999999</v>
      </c>
      <c r="D117">
        <v>3.8940000000000001</v>
      </c>
      <c r="E117">
        <v>3.8010000000000002</v>
      </c>
      <c r="F117">
        <v>4.077</v>
      </c>
      <c r="G117">
        <v>3.9260000000000002</v>
      </c>
      <c r="H117">
        <v>3.8740000000000001</v>
      </c>
      <c r="I117">
        <v>3.8759999999999999</v>
      </c>
      <c r="J117">
        <v>31.385999999999999</v>
      </c>
      <c r="K117">
        <v>20.7</v>
      </c>
      <c r="L117">
        <v>-0.15</v>
      </c>
    </row>
    <row r="118" spans="1:12" x14ac:dyDescent="0.25">
      <c r="A118">
        <v>177332</v>
      </c>
      <c r="B118">
        <v>3.9740000000000002</v>
      </c>
      <c r="C118">
        <v>3.9820000000000002</v>
      </c>
      <c r="D118">
        <v>3.891</v>
      </c>
      <c r="E118">
        <v>3.8220000000000001</v>
      </c>
      <c r="F118">
        <v>4.0860000000000003</v>
      </c>
      <c r="G118">
        <v>3.956</v>
      </c>
      <c r="H118">
        <v>3.85</v>
      </c>
      <c r="I118">
        <v>3.8820000000000001</v>
      </c>
      <c r="J118">
        <v>31.443000000000001</v>
      </c>
      <c r="K118">
        <v>20.7</v>
      </c>
      <c r="L118">
        <v>-0.14399999999999999</v>
      </c>
    </row>
    <row r="119" spans="1:12" x14ac:dyDescent="0.25">
      <c r="A119">
        <v>182334</v>
      </c>
      <c r="B119">
        <v>3.9689999999999999</v>
      </c>
      <c r="C119">
        <v>3.9780000000000002</v>
      </c>
      <c r="D119">
        <v>3.8860000000000001</v>
      </c>
      <c r="E119">
        <v>3.819</v>
      </c>
      <c r="F119">
        <v>4.077</v>
      </c>
      <c r="G119">
        <v>3.9550000000000001</v>
      </c>
      <c r="H119">
        <v>3.8450000000000002</v>
      </c>
      <c r="I119">
        <v>3.8759999999999999</v>
      </c>
      <c r="J119">
        <v>31.405000000000001</v>
      </c>
      <c r="K119">
        <v>20.7</v>
      </c>
      <c r="L119">
        <v>-0.14399999999999999</v>
      </c>
    </row>
    <row r="120" spans="1:12" x14ac:dyDescent="0.25">
      <c r="A120">
        <v>187343</v>
      </c>
      <c r="B120">
        <v>3.9689999999999999</v>
      </c>
      <c r="C120">
        <v>3.9780000000000002</v>
      </c>
      <c r="D120">
        <v>3.8860000000000001</v>
      </c>
      <c r="E120">
        <v>3.819</v>
      </c>
      <c r="F120">
        <v>4.077</v>
      </c>
      <c r="G120">
        <v>3.9260000000000002</v>
      </c>
      <c r="H120">
        <v>3.8740000000000001</v>
      </c>
      <c r="I120">
        <v>3.8759999999999999</v>
      </c>
      <c r="J120">
        <v>31.405000000000001</v>
      </c>
      <c r="K120">
        <v>20.7</v>
      </c>
      <c r="L120">
        <v>-0.14899999999999999</v>
      </c>
    </row>
    <row r="121" spans="1:12" x14ac:dyDescent="0.25">
      <c r="A121">
        <v>8424</v>
      </c>
      <c r="B121">
        <v>0</v>
      </c>
      <c r="C121">
        <v>-0.156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-0.156</v>
      </c>
      <c r="K121">
        <v>-273.10000000000002</v>
      </c>
      <c r="L121">
        <v>-0.02</v>
      </c>
    </row>
    <row r="122" spans="1:12" x14ac:dyDescent="0.25">
      <c r="A122">
        <v>13430</v>
      </c>
      <c r="B122">
        <v>0.23</v>
      </c>
      <c r="C122">
        <v>-0.23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-273.10000000000002</v>
      </c>
      <c r="L122">
        <v>-1.2E-2</v>
      </c>
    </row>
    <row r="123" spans="1:12" x14ac:dyDescent="0.25">
      <c r="A123">
        <v>18466</v>
      </c>
      <c r="B123">
        <v>0.156</v>
      </c>
      <c r="C123">
        <v>-0.156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-273.10000000000002</v>
      </c>
      <c r="L123">
        <v>-1.2999999999999999E-2</v>
      </c>
    </row>
    <row r="124" spans="1:12" x14ac:dyDescent="0.25">
      <c r="A124">
        <v>23470</v>
      </c>
      <c r="B124">
        <v>0.17100000000000001</v>
      </c>
      <c r="C124">
        <v>-0.17100000000000001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-273.10000000000002</v>
      </c>
      <c r="L124">
        <v>-6.0000000000000001E-3</v>
      </c>
    </row>
    <row r="125" spans="1:12" x14ac:dyDescent="0.25">
      <c r="A125">
        <v>28482</v>
      </c>
      <c r="B125">
        <v>0.191</v>
      </c>
      <c r="C125">
        <v>-0.191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-273.10000000000002</v>
      </c>
      <c r="L125">
        <v>-1.6E-2</v>
      </c>
    </row>
    <row r="126" spans="1:12" x14ac:dyDescent="0.25">
      <c r="A126">
        <v>7705</v>
      </c>
      <c r="B126">
        <v>0</v>
      </c>
      <c r="C126">
        <v>-0.18099999999999999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-0.18099999999999999</v>
      </c>
      <c r="K126">
        <v>-273.10000000000002</v>
      </c>
      <c r="L126">
        <v>1E-3</v>
      </c>
    </row>
    <row r="127" spans="1:12" x14ac:dyDescent="0.25">
      <c r="A127">
        <v>12714</v>
      </c>
      <c r="B127">
        <v>0.152</v>
      </c>
      <c r="C127">
        <v>-0.152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-273.10000000000002</v>
      </c>
      <c r="L127">
        <v>-2E-3</v>
      </c>
    </row>
    <row r="128" spans="1:12" x14ac:dyDescent="0.25">
      <c r="A128">
        <v>17757</v>
      </c>
      <c r="B128">
        <v>0.215</v>
      </c>
      <c r="C128">
        <v>-0.215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-273.10000000000002</v>
      </c>
      <c r="L128">
        <v>-4.0000000000000001E-3</v>
      </c>
    </row>
    <row r="129" spans="1:12" x14ac:dyDescent="0.25">
      <c r="A129">
        <v>7747</v>
      </c>
      <c r="B129">
        <v>0</v>
      </c>
      <c r="C129">
        <v>-0.215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-0.215</v>
      </c>
      <c r="K129">
        <v>-273.10000000000002</v>
      </c>
      <c r="L129">
        <v>-7.0000000000000001E-3</v>
      </c>
    </row>
    <row r="130" spans="1:12" x14ac:dyDescent="0.25">
      <c r="A130">
        <v>12756</v>
      </c>
      <c r="B130">
        <v>0.156</v>
      </c>
      <c r="C130">
        <v>-0.156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-273.10000000000002</v>
      </c>
      <c r="L130">
        <v>-1.0999999999999999E-2</v>
      </c>
    </row>
    <row r="131" spans="1:12" x14ac:dyDescent="0.25">
      <c r="A131">
        <v>17799</v>
      </c>
      <c r="B131">
        <v>0.23</v>
      </c>
      <c r="C131">
        <v>-0.23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-273.10000000000002</v>
      </c>
      <c r="L131">
        <v>-1.4999999999999999E-2</v>
      </c>
    </row>
    <row r="132" spans="1:12" x14ac:dyDescent="0.25">
      <c r="A132">
        <v>7833</v>
      </c>
      <c r="B132">
        <v>0</v>
      </c>
      <c r="C132">
        <v>-0.152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-0.152</v>
      </c>
      <c r="K132">
        <v>-273.10000000000002</v>
      </c>
      <c r="L132">
        <v>-1.4999999999999999E-2</v>
      </c>
    </row>
    <row r="133" spans="1:12" x14ac:dyDescent="0.25">
      <c r="A133">
        <v>12837</v>
      </c>
      <c r="B133">
        <v>0.23</v>
      </c>
      <c r="C133">
        <v>-0.23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-273.10000000000002</v>
      </c>
      <c r="L133">
        <v>-2E-3</v>
      </c>
    </row>
    <row r="134" spans="1:12" x14ac:dyDescent="0.25">
      <c r="A134">
        <v>17840</v>
      </c>
      <c r="B134">
        <v>0.18099999999999999</v>
      </c>
      <c r="C134">
        <v>-0.18099999999999999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-273.10000000000002</v>
      </c>
      <c r="L134">
        <v>-7.0000000000000001E-3</v>
      </c>
    </row>
    <row r="135" spans="1:12" x14ac:dyDescent="0.25">
      <c r="A135">
        <v>22849</v>
      </c>
      <c r="B135">
        <v>0.186</v>
      </c>
      <c r="C135">
        <v>-0.186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-273.10000000000002</v>
      </c>
      <c r="L135">
        <v>-1.6E-2</v>
      </c>
    </row>
    <row r="136" spans="1:12" x14ac:dyDescent="0.25">
      <c r="A136">
        <v>27851</v>
      </c>
      <c r="B136">
        <v>0.161</v>
      </c>
      <c r="C136">
        <v>-0.161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-273.10000000000002</v>
      </c>
      <c r="L136">
        <v>-1.7999999999999999E-2</v>
      </c>
    </row>
    <row r="137" spans="1:12" x14ac:dyDescent="0.25">
      <c r="A137">
        <v>32856</v>
      </c>
      <c r="B137">
        <v>0.17599999999999999</v>
      </c>
      <c r="C137">
        <v>-0.17599999999999999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-273.10000000000002</v>
      </c>
      <c r="L137">
        <v>-1.2E-2</v>
      </c>
    </row>
    <row r="138" spans="1:12" x14ac:dyDescent="0.25">
      <c r="A138">
        <v>37856</v>
      </c>
      <c r="B138">
        <v>0.2</v>
      </c>
      <c r="C138">
        <v>-0.2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-273.10000000000002</v>
      </c>
      <c r="L138">
        <v>-2.3E-2</v>
      </c>
    </row>
    <row r="139" spans="1:12" x14ac:dyDescent="0.25">
      <c r="A139">
        <v>42863</v>
      </c>
      <c r="B139">
        <v>0.16600000000000001</v>
      </c>
      <c r="C139">
        <v>-0.16600000000000001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-273.10000000000002</v>
      </c>
      <c r="L139">
        <v>-1.4E-2</v>
      </c>
    </row>
    <row r="140" spans="1:12" x14ac:dyDescent="0.25">
      <c r="A140">
        <v>47889</v>
      </c>
      <c r="B140">
        <v>0.156</v>
      </c>
      <c r="C140">
        <v>-0.156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-273.10000000000002</v>
      </c>
      <c r="L140">
        <v>-1.7999999999999999E-2</v>
      </c>
    </row>
    <row r="141" spans="1:12" x14ac:dyDescent="0.25">
      <c r="A141">
        <v>52895</v>
      </c>
      <c r="B141">
        <v>0.186</v>
      </c>
      <c r="C141">
        <v>-0.186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-273.10000000000002</v>
      </c>
      <c r="L141">
        <v>-1.4999999999999999E-2</v>
      </c>
    </row>
    <row r="142" spans="1:12" x14ac:dyDescent="0.25">
      <c r="A142">
        <v>57907</v>
      </c>
      <c r="B142">
        <v>0.215</v>
      </c>
      <c r="C142">
        <v>-0.215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-273.10000000000002</v>
      </c>
      <c r="L142">
        <v>-1.4E-2</v>
      </c>
    </row>
    <row r="143" spans="1:12" x14ac:dyDescent="0.25">
      <c r="A143">
        <v>62916</v>
      </c>
      <c r="B143">
        <v>0.215</v>
      </c>
      <c r="C143">
        <v>-0.215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-273.10000000000002</v>
      </c>
      <c r="L143">
        <v>-3.0000000000000001E-3</v>
      </c>
    </row>
    <row r="144" spans="1:12" x14ac:dyDescent="0.25">
      <c r="A144">
        <v>67919</v>
      </c>
      <c r="B144">
        <v>0.17100000000000001</v>
      </c>
      <c r="C144">
        <v>-0.17100000000000001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-273.10000000000002</v>
      </c>
      <c r="L144">
        <v>-2.3E-2</v>
      </c>
    </row>
    <row r="145" spans="1:12" x14ac:dyDescent="0.25">
      <c r="A145">
        <v>72923</v>
      </c>
      <c r="B145">
        <v>0.14699999999999999</v>
      </c>
      <c r="C145">
        <v>-0.14699999999999999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-273.10000000000002</v>
      </c>
      <c r="L145">
        <v>-1.7999999999999999E-2</v>
      </c>
    </row>
    <row r="146" spans="1:12" x14ac:dyDescent="0.25">
      <c r="A146">
        <v>77924</v>
      </c>
      <c r="B146">
        <v>0.23</v>
      </c>
      <c r="C146">
        <v>-0.23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-273.10000000000002</v>
      </c>
      <c r="L146">
        <v>-1.9E-2</v>
      </c>
    </row>
    <row r="147" spans="1:12" x14ac:dyDescent="0.25">
      <c r="A147">
        <v>82930</v>
      </c>
      <c r="B147">
        <v>0.152</v>
      </c>
      <c r="C147">
        <v>-0.152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-273.10000000000002</v>
      </c>
      <c r="L147">
        <v>-3.5999999999999997E-2</v>
      </c>
    </row>
    <row r="148" spans="1:12" x14ac:dyDescent="0.25">
      <c r="A148">
        <v>87955</v>
      </c>
      <c r="B148">
        <v>0.152</v>
      </c>
      <c r="C148">
        <v>-0.152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-273.10000000000002</v>
      </c>
      <c r="L148">
        <v>-0.03</v>
      </c>
    </row>
    <row r="149" spans="1:12" x14ac:dyDescent="0.25">
      <c r="A149">
        <v>92961</v>
      </c>
      <c r="B149">
        <v>0.186</v>
      </c>
      <c r="C149">
        <v>-0.186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-273.10000000000002</v>
      </c>
      <c r="L149">
        <v>-0.02</v>
      </c>
    </row>
    <row r="150" spans="1:12" x14ac:dyDescent="0.25">
      <c r="A150">
        <v>97973</v>
      </c>
      <c r="B150">
        <v>0.21</v>
      </c>
      <c r="C150">
        <v>-0.21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-273.10000000000002</v>
      </c>
      <c r="L150">
        <v>-3.1E-2</v>
      </c>
    </row>
    <row r="151" spans="1:12" x14ac:dyDescent="0.25">
      <c r="A151">
        <v>102982</v>
      </c>
      <c r="B151">
        <v>0.21</v>
      </c>
      <c r="C151">
        <v>-0.21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-273.10000000000002</v>
      </c>
      <c r="L151">
        <v>-3.5999999999999997E-2</v>
      </c>
    </row>
    <row r="152" spans="1:12" x14ac:dyDescent="0.25">
      <c r="A152">
        <v>107985</v>
      </c>
      <c r="B152">
        <v>0.21</v>
      </c>
      <c r="C152">
        <v>-0.21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-273.10000000000002</v>
      </c>
      <c r="L152">
        <v>-2.5999999999999999E-2</v>
      </c>
    </row>
    <row r="153" spans="1:12" x14ac:dyDescent="0.25">
      <c r="A153">
        <v>112989</v>
      </c>
      <c r="B153">
        <v>0.23</v>
      </c>
      <c r="C153">
        <v>-0.23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-273.10000000000002</v>
      </c>
      <c r="L153">
        <v>-0.02</v>
      </c>
    </row>
    <row r="154" spans="1:12" x14ac:dyDescent="0.25">
      <c r="A154">
        <v>117992</v>
      </c>
      <c r="B154">
        <v>0.22</v>
      </c>
      <c r="C154">
        <v>-0.22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-273.10000000000002</v>
      </c>
      <c r="L154">
        <v>-2.1999999999999999E-2</v>
      </c>
    </row>
    <row r="155" spans="1:12" x14ac:dyDescent="0.25">
      <c r="A155">
        <v>122998</v>
      </c>
      <c r="B155">
        <v>0.161</v>
      </c>
      <c r="C155">
        <v>-0.161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-273.10000000000002</v>
      </c>
      <c r="L155">
        <v>-2.7E-2</v>
      </c>
    </row>
    <row r="156" spans="1:12" x14ac:dyDescent="0.25">
      <c r="A156">
        <v>128003</v>
      </c>
      <c r="B156">
        <v>0.19600000000000001</v>
      </c>
      <c r="C156">
        <v>-0.19600000000000001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-273.10000000000002</v>
      </c>
      <c r="L156">
        <v>-2.3E-2</v>
      </c>
    </row>
    <row r="157" spans="1:12" x14ac:dyDescent="0.25">
      <c r="A157">
        <v>133007</v>
      </c>
      <c r="B157">
        <v>0.17599999999999999</v>
      </c>
      <c r="C157">
        <v>-0.17599999999999999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-273.10000000000002</v>
      </c>
      <c r="L157">
        <v>-1.9E-2</v>
      </c>
    </row>
    <row r="158" spans="1:12" x14ac:dyDescent="0.25">
      <c r="A158">
        <v>138020</v>
      </c>
      <c r="B158">
        <v>0.14699999999999999</v>
      </c>
      <c r="C158">
        <v>-0.14699999999999999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-273.10000000000002</v>
      </c>
      <c r="L158">
        <v>-0.03</v>
      </c>
    </row>
    <row r="159" spans="1:12" x14ac:dyDescent="0.25">
      <c r="A159">
        <v>143029</v>
      </c>
      <c r="B159">
        <v>0.152</v>
      </c>
      <c r="C159">
        <v>-0.152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-273.10000000000002</v>
      </c>
      <c r="L159">
        <v>-3.4000000000000002E-2</v>
      </c>
    </row>
    <row r="160" spans="1:12" x14ac:dyDescent="0.25">
      <c r="A160">
        <v>148032</v>
      </c>
      <c r="B160">
        <v>0.186</v>
      </c>
      <c r="C160">
        <v>-0.186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-273.10000000000002</v>
      </c>
      <c r="L160">
        <v>-3.3000000000000002E-2</v>
      </c>
    </row>
    <row r="161" spans="1:12" x14ac:dyDescent="0.25">
      <c r="A161">
        <v>153036</v>
      </c>
      <c r="B161">
        <v>0.18099999999999999</v>
      </c>
      <c r="C161">
        <v>-0.18099999999999999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-273.10000000000002</v>
      </c>
      <c r="L161">
        <v>-2.9000000000000001E-2</v>
      </c>
    </row>
    <row r="162" spans="1:12" x14ac:dyDescent="0.25">
      <c r="A162">
        <v>158037</v>
      </c>
      <c r="B162">
        <v>0.28299999999999997</v>
      </c>
      <c r="C162">
        <v>-0.28299999999999997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-273.10000000000002</v>
      </c>
      <c r="L162">
        <v>-3.5999999999999997E-2</v>
      </c>
    </row>
    <row r="163" spans="1:12" x14ac:dyDescent="0.25">
      <c r="A163">
        <v>163043</v>
      </c>
      <c r="B163">
        <v>0.18099999999999999</v>
      </c>
      <c r="C163">
        <v>-0.18099999999999999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-273.10000000000002</v>
      </c>
      <c r="L163">
        <v>-3.4000000000000002E-2</v>
      </c>
    </row>
    <row r="164" spans="1:12" x14ac:dyDescent="0.25">
      <c r="A164">
        <v>168068</v>
      </c>
      <c r="B164">
        <v>0.22</v>
      </c>
      <c r="C164">
        <v>-0.22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-273.10000000000002</v>
      </c>
      <c r="L164">
        <v>-3.3000000000000002E-2</v>
      </c>
    </row>
    <row r="165" spans="1:12" x14ac:dyDescent="0.25">
      <c r="A165">
        <v>173073</v>
      </c>
      <c r="B165">
        <v>0.23</v>
      </c>
      <c r="C165">
        <v>-0.23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-273.10000000000002</v>
      </c>
      <c r="L165">
        <v>-3.2000000000000001E-2</v>
      </c>
    </row>
    <row r="166" spans="1:12" x14ac:dyDescent="0.25">
      <c r="A166">
        <v>178085</v>
      </c>
      <c r="B166">
        <v>0.17599999999999999</v>
      </c>
      <c r="C166">
        <v>-0.17599999999999999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-273.10000000000002</v>
      </c>
      <c r="L166">
        <v>-3.1E-2</v>
      </c>
    </row>
    <row r="167" spans="1:12" x14ac:dyDescent="0.25">
      <c r="A167">
        <v>183090</v>
      </c>
      <c r="B167">
        <v>0.17599999999999999</v>
      </c>
      <c r="C167">
        <v>-0.17599999999999999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-273.10000000000002</v>
      </c>
      <c r="L167">
        <v>-0.02</v>
      </c>
    </row>
    <row r="168" spans="1:12" x14ac:dyDescent="0.25">
      <c r="A168">
        <v>188091</v>
      </c>
      <c r="B168">
        <v>0.24399999999999999</v>
      </c>
      <c r="C168">
        <v>-0.24399999999999999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-273.10000000000002</v>
      </c>
      <c r="L168">
        <v>-3.5000000000000003E-2</v>
      </c>
    </row>
    <row r="169" spans="1:12" x14ac:dyDescent="0.25">
      <c r="A169">
        <v>193100</v>
      </c>
      <c r="B169">
        <v>0.17599999999999999</v>
      </c>
      <c r="C169">
        <v>-0.17599999999999999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-273.10000000000002</v>
      </c>
      <c r="L169">
        <v>-2.1000000000000001E-2</v>
      </c>
    </row>
    <row r="170" spans="1:12" x14ac:dyDescent="0.25">
      <c r="A170">
        <v>198103</v>
      </c>
      <c r="B170">
        <v>0.20499999999999999</v>
      </c>
      <c r="C170">
        <v>-0.20499999999999999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-273.10000000000002</v>
      </c>
      <c r="L170">
        <v>-3.7999999999999999E-2</v>
      </c>
    </row>
    <row r="171" spans="1:12" x14ac:dyDescent="0.25">
      <c r="A171">
        <v>203117</v>
      </c>
      <c r="B171">
        <v>0.23899999999999999</v>
      </c>
      <c r="C171">
        <v>-0.23899999999999999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-273.10000000000002</v>
      </c>
      <c r="L171">
        <v>-1.2E-2</v>
      </c>
    </row>
    <row r="172" spans="1:12" x14ac:dyDescent="0.25">
      <c r="A172">
        <v>208124</v>
      </c>
      <c r="B172">
        <v>0.16600000000000001</v>
      </c>
      <c r="C172">
        <v>-0.16600000000000001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-273.10000000000002</v>
      </c>
      <c r="L172">
        <v>-2.9000000000000001E-2</v>
      </c>
    </row>
    <row r="173" spans="1:12" x14ac:dyDescent="0.25">
      <c r="A173">
        <v>213127</v>
      </c>
      <c r="B173">
        <v>0.161</v>
      </c>
      <c r="C173">
        <v>-0.161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-273.10000000000002</v>
      </c>
      <c r="L173">
        <v>-3.4000000000000002E-2</v>
      </c>
    </row>
    <row r="174" spans="1:12" x14ac:dyDescent="0.25">
      <c r="A174">
        <v>218173</v>
      </c>
      <c r="B174">
        <v>0.23499999999999999</v>
      </c>
      <c r="C174">
        <v>-0.23499999999999999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-273.10000000000002</v>
      </c>
      <c r="L174">
        <v>-3.5999999999999997E-2</v>
      </c>
    </row>
    <row r="175" spans="1:12" x14ac:dyDescent="0.25">
      <c r="A175">
        <v>223180</v>
      </c>
      <c r="B175">
        <v>0.156</v>
      </c>
      <c r="C175">
        <v>-0.156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-273.10000000000002</v>
      </c>
      <c r="L175">
        <v>-3.4000000000000002E-2</v>
      </c>
    </row>
    <row r="176" spans="1:12" x14ac:dyDescent="0.25">
      <c r="A176">
        <v>228186</v>
      </c>
      <c r="B176">
        <v>0.17100000000000001</v>
      </c>
      <c r="C176">
        <v>-0.17100000000000001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-273.10000000000002</v>
      </c>
      <c r="L176">
        <v>-3.2000000000000001E-2</v>
      </c>
    </row>
    <row r="177" spans="1:12" x14ac:dyDescent="0.25">
      <c r="A177">
        <v>233191</v>
      </c>
      <c r="B177">
        <v>0.18099999999999999</v>
      </c>
      <c r="C177">
        <v>-0.18099999999999999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-273.10000000000002</v>
      </c>
      <c r="L177">
        <v>-3.9E-2</v>
      </c>
    </row>
    <row r="178" spans="1:12" x14ac:dyDescent="0.25">
      <c r="A178">
        <v>238197</v>
      </c>
      <c r="B178">
        <v>0.161</v>
      </c>
      <c r="C178">
        <v>-0.161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-273.10000000000002</v>
      </c>
      <c r="L178">
        <v>-0.03</v>
      </c>
    </row>
    <row r="179" spans="1:12" x14ac:dyDescent="0.25">
      <c r="A179">
        <v>243197</v>
      </c>
      <c r="B179">
        <v>0.23499999999999999</v>
      </c>
      <c r="C179">
        <v>-0.23499999999999999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-273.10000000000002</v>
      </c>
      <c r="L179">
        <v>-2.3E-2</v>
      </c>
    </row>
    <row r="180" spans="1:12" x14ac:dyDescent="0.25">
      <c r="A180">
        <v>248200</v>
      </c>
      <c r="B180">
        <v>0.14699999999999999</v>
      </c>
      <c r="C180">
        <v>-0.14699999999999999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-273.10000000000002</v>
      </c>
      <c r="L180">
        <v>-3.6999999999999998E-2</v>
      </c>
    </row>
    <row r="181" spans="1:12" x14ac:dyDescent="0.25">
      <c r="A181">
        <v>253209</v>
      </c>
      <c r="B181">
        <v>0.17599999999999999</v>
      </c>
      <c r="C181">
        <v>-0.17599999999999999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-273.10000000000002</v>
      </c>
      <c r="L181">
        <v>-3.3000000000000002E-2</v>
      </c>
    </row>
    <row r="182" spans="1:12" x14ac:dyDescent="0.25">
      <c r="A182">
        <v>258229</v>
      </c>
      <c r="B182">
        <v>0.23499999999999999</v>
      </c>
      <c r="C182">
        <v>-0.23499999999999999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-273.10000000000002</v>
      </c>
      <c r="L182">
        <v>-3.5999999999999997E-2</v>
      </c>
    </row>
    <row r="183" spans="1:12" x14ac:dyDescent="0.25">
      <c r="A183">
        <v>7975</v>
      </c>
      <c r="B183">
        <v>0</v>
      </c>
      <c r="C183">
        <v>-0.156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-0.156</v>
      </c>
      <c r="K183">
        <v>-273.10000000000002</v>
      </c>
      <c r="L183">
        <v>-8.9999999999999993E-3</v>
      </c>
    </row>
    <row r="184" spans="1:12" x14ac:dyDescent="0.25">
      <c r="A184">
        <v>12979</v>
      </c>
      <c r="B184">
        <v>0.21</v>
      </c>
      <c r="C184">
        <v>-0.21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-273.10000000000002</v>
      </c>
      <c r="L184">
        <v>5.0000000000000001E-3</v>
      </c>
    </row>
    <row r="185" spans="1:12" x14ac:dyDescent="0.25">
      <c r="A185">
        <v>17982</v>
      </c>
      <c r="B185">
        <v>0.152</v>
      </c>
      <c r="C185">
        <v>-0.152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-273.10000000000002</v>
      </c>
      <c r="L185">
        <v>0</v>
      </c>
    </row>
    <row r="186" spans="1:12" x14ac:dyDescent="0.25">
      <c r="A186">
        <v>22991</v>
      </c>
      <c r="B186">
        <v>0.152</v>
      </c>
      <c r="C186">
        <v>-0.152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-273.10000000000002</v>
      </c>
      <c r="L186">
        <v>-1E-3</v>
      </c>
    </row>
    <row r="187" spans="1:12" x14ac:dyDescent="0.25">
      <c r="A187">
        <v>27995</v>
      </c>
      <c r="B187">
        <v>0.2</v>
      </c>
      <c r="C187">
        <v>-0.2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-273.10000000000002</v>
      </c>
      <c r="L187">
        <v>-1.2999999999999999E-2</v>
      </c>
    </row>
    <row r="188" spans="1:12" x14ac:dyDescent="0.25">
      <c r="A188">
        <v>33000</v>
      </c>
      <c r="B188">
        <v>0.156</v>
      </c>
      <c r="C188">
        <v>-0.156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-273.10000000000002</v>
      </c>
      <c r="L188">
        <v>-1.2E-2</v>
      </c>
    </row>
    <row r="189" spans="1:12" x14ac:dyDescent="0.25">
      <c r="A189">
        <v>38003</v>
      </c>
      <c r="B189">
        <v>0.22500000000000001</v>
      </c>
      <c r="C189">
        <v>-0.22500000000000001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-273.10000000000002</v>
      </c>
      <c r="L189">
        <v>-1.0999999999999999E-2</v>
      </c>
    </row>
    <row r="190" spans="1:12" x14ac:dyDescent="0.25">
      <c r="A190">
        <v>43009</v>
      </c>
      <c r="B190">
        <v>0.215</v>
      </c>
      <c r="C190">
        <v>-0.215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-273.10000000000002</v>
      </c>
      <c r="L190">
        <v>-5.0000000000000001E-3</v>
      </c>
    </row>
    <row r="191" spans="1:12" x14ac:dyDescent="0.25">
      <c r="A191">
        <v>48035</v>
      </c>
      <c r="B191">
        <v>0.22500000000000001</v>
      </c>
      <c r="C191">
        <v>-0.22500000000000001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-273.10000000000002</v>
      </c>
      <c r="L191">
        <v>0</v>
      </c>
    </row>
    <row r="192" spans="1:12" x14ac:dyDescent="0.25">
      <c r="A192">
        <v>53045</v>
      </c>
      <c r="B192">
        <v>0.18099999999999999</v>
      </c>
      <c r="C192">
        <v>-0.18099999999999999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-273.10000000000002</v>
      </c>
      <c r="L192">
        <v>-6.0000000000000001E-3</v>
      </c>
    </row>
    <row r="193" spans="1:12" x14ac:dyDescent="0.25">
      <c r="A193">
        <v>58051</v>
      </c>
      <c r="B193">
        <v>0.152</v>
      </c>
      <c r="C193">
        <v>-0.152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-273.10000000000002</v>
      </c>
      <c r="L193">
        <v>-2.1000000000000001E-2</v>
      </c>
    </row>
    <row r="194" spans="1:12" x14ac:dyDescent="0.25">
      <c r="A194">
        <v>63056</v>
      </c>
      <c r="B194">
        <v>0.22500000000000001</v>
      </c>
      <c r="C194">
        <v>-0.22500000000000001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-273.10000000000002</v>
      </c>
      <c r="L194">
        <v>4.0000000000000001E-3</v>
      </c>
    </row>
    <row r="195" spans="1:12" x14ac:dyDescent="0.25">
      <c r="A195">
        <v>68058</v>
      </c>
      <c r="B195">
        <v>0.17599999999999999</v>
      </c>
      <c r="C195">
        <v>-0.17599999999999999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-273.10000000000002</v>
      </c>
      <c r="L195">
        <v>-3.5999999999999997E-2</v>
      </c>
    </row>
    <row r="196" spans="1:12" x14ac:dyDescent="0.25">
      <c r="A196">
        <v>73064</v>
      </c>
      <c r="B196">
        <v>0.249</v>
      </c>
      <c r="C196">
        <v>-0.249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-273.10000000000002</v>
      </c>
      <c r="L196">
        <v>-3.5999999999999997E-2</v>
      </c>
    </row>
    <row r="197" spans="1:12" x14ac:dyDescent="0.25">
      <c r="A197">
        <v>78064</v>
      </c>
      <c r="B197">
        <v>0.17100000000000001</v>
      </c>
      <c r="C197">
        <v>-0.17100000000000001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-273.10000000000002</v>
      </c>
      <c r="L197">
        <v>-4.5999999999999999E-2</v>
      </c>
    </row>
    <row r="198" spans="1:12" x14ac:dyDescent="0.25">
      <c r="A198">
        <v>83073</v>
      </c>
      <c r="B198">
        <v>0.156</v>
      </c>
      <c r="C198">
        <v>-0.156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-273.10000000000002</v>
      </c>
      <c r="L198">
        <v>-4.1000000000000002E-2</v>
      </c>
    </row>
    <row r="199" spans="1:12" x14ac:dyDescent="0.25">
      <c r="A199">
        <v>88093</v>
      </c>
      <c r="B199">
        <v>0.215</v>
      </c>
      <c r="C199">
        <v>-0.215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-273.10000000000002</v>
      </c>
      <c r="L199">
        <v>-5.5E-2</v>
      </c>
    </row>
    <row r="200" spans="1:12" x14ac:dyDescent="0.25">
      <c r="A200">
        <v>93096</v>
      </c>
      <c r="B200">
        <v>0.156</v>
      </c>
      <c r="C200">
        <v>-0.156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-273.10000000000002</v>
      </c>
      <c r="L200">
        <v>-4.9000000000000002E-2</v>
      </c>
    </row>
    <row r="201" spans="1:12" x14ac:dyDescent="0.25">
      <c r="A201">
        <v>98141</v>
      </c>
      <c r="B201">
        <v>0.18099999999999999</v>
      </c>
      <c r="C201">
        <v>-0.18099999999999999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-273.10000000000002</v>
      </c>
      <c r="L201">
        <v>-5.2999999999999999E-2</v>
      </c>
    </row>
    <row r="202" spans="1:12" x14ac:dyDescent="0.25">
      <c r="A202">
        <v>103151</v>
      </c>
      <c r="B202">
        <v>0.161</v>
      </c>
      <c r="C202">
        <v>-0.161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-273.10000000000002</v>
      </c>
      <c r="L202">
        <v>-6.4000000000000001E-2</v>
      </c>
    </row>
    <row r="203" spans="1:12" x14ac:dyDescent="0.25">
      <c r="A203">
        <v>108158</v>
      </c>
      <c r="B203">
        <v>0.16600000000000001</v>
      </c>
      <c r="C203">
        <v>-0.16600000000000001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-273.10000000000002</v>
      </c>
      <c r="L203">
        <v>-7.0999999999999994E-2</v>
      </c>
    </row>
    <row r="204" spans="1:12" x14ac:dyDescent="0.25">
      <c r="A204">
        <v>113163</v>
      </c>
      <c r="B204">
        <v>0.215</v>
      </c>
      <c r="C204">
        <v>-0.215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-273.10000000000002</v>
      </c>
      <c r="L204">
        <v>-6.2E-2</v>
      </c>
    </row>
    <row r="205" spans="1:12" x14ac:dyDescent="0.25">
      <c r="A205">
        <v>118170</v>
      </c>
      <c r="B205">
        <v>0.152</v>
      </c>
      <c r="C205">
        <v>-0.152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-273.10000000000002</v>
      </c>
      <c r="L205">
        <v>-6.8000000000000005E-2</v>
      </c>
    </row>
    <row r="206" spans="1:12" x14ac:dyDescent="0.25">
      <c r="A206">
        <v>123179</v>
      </c>
      <c r="B206">
        <v>0.16600000000000001</v>
      </c>
      <c r="C206">
        <v>-0.16600000000000001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-273.10000000000002</v>
      </c>
      <c r="L206">
        <v>-8.3000000000000004E-2</v>
      </c>
    </row>
    <row r="207" spans="1:12" x14ac:dyDescent="0.25">
      <c r="A207">
        <v>128182</v>
      </c>
      <c r="B207">
        <v>0.17599999999999999</v>
      </c>
      <c r="C207">
        <v>-0.17599999999999999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-273.10000000000002</v>
      </c>
      <c r="L207">
        <v>-8.1000000000000003E-2</v>
      </c>
    </row>
    <row r="208" spans="1:12" x14ac:dyDescent="0.25">
      <c r="A208">
        <v>133196</v>
      </c>
      <c r="B208">
        <v>0.23</v>
      </c>
      <c r="C208">
        <v>-0.23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-273.10000000000002</v>
      </c>
      <c r="L208">
        <v>-8.3000000000000004E-2</v>
      </c>
    </row>
    <row r="209" spans="1:12" x14ac:dyDescent="0.25">
      <c r="A209">
        <v>138201</v>
      </c>
      <c r="B209">
        <v>0.156</v>
      </c>
      <c r="C209">
        <v>-0.156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-273.10000000000002</v>
      </c>
      <c r="L209">
        <v>-0.08</v>
      </c>
    </row>
    <row r="210" spans="1:12" x14ac:dyDescent="0.25">
      <c r="A210">
        <v>143203</v>
      </c>
      <c r="B210">
        <v>0.21</v>
      </c>
      <c r="C210">
        <v>-0.21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-273.10000000000002</v>
      </c>
      <c r="L210">
        <v>-8.8999999999999996E-2</v>
      </c>
    </row>
    <row r="211" spans="1:12" x14ac:dyDescent="0.25">
      <c r="A211">
        <v>148248</v>
      </c>
      <c r="B211">
        <v>0.249</v>
      </c>
      <c r="C211">
        <v>-0.249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-273.10000000000002</v>
      </c>
      <c r="L211">
        <v>-8.5000000000000006E-2</v>
      </c>
    </row>
    <row r="212" spans="1:12" x14ac:dyDescent="0.25">
      <c r="A212">
        <v>153259</v>
      </c>
      <c r="B212">
        <v>0.25900000000000001</v>
      </c>
      <c r="C212">
        <v>-0.25900000000000001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-273.10000000000002</v>
      </c>
      <c r="L212">
        <v>-9.5000000000000001E-2</v>
      </c>
    </row>
    <row r="213" spans="1:12" x14ac:dyDescent="0.25">
      <c r="A213">
        <v>158265</v>
      </c>
      <c r="B213">
        <v>0.249</v>
      </c>
      <c r="C213">
        <v>-0.249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-273.10000000000002</v>
      </c>
      <c r="L213">
        <v>-8.7999999999999995E-2</v>
      </c>
    </row>
    <row r="214" spans="1:12" x14ac:dyDescent="0.25">
      <c r="A214">
        <v>163270</v>
      </c>
      <c r="B214">
        <v>0.156</v>
      </c>
      <c r="C214">
        <v>-0.156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-273.10000000000002</v>
      </c>
      <c r="L214">
        <v>-7.3999999999999996E-2</v>
      </c>
    </row>
    <row r="215" spans="1:12" x14ac:dyDescent="0.25">
      <c r="A215">
        <v>168273</v>
      </c>
      <c r="B215">
        <v>0.23899999999999999</v>
      </c>
      <c r="C215">
        <v>-0.23899999999999999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-273.10000000000002</v>
      </c>
      <c r="L215">
        <v>-9.9000000000000005E-2</v>
      </c>
    </row>
    <row r="216" spans="1:12" x14ac:dyDescent="0.25">
      <c r="A216">
        <v>173277</v>
      </c>
      <c r="B216">
        <v>0.254</v>
      </c>
      <c r="C216">
        <v>-0.254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-273.10000000000002</v>
      </c>
      <c r="L216">
        <v>-8.5000000000000006E-2</v>
      </c>
    </row>
    <row r="217" spans="1:12" x14ac:dyDescent="0.25">
      <c r="A217">
        <v>178278</v>
      </c>
      <c r="B217">
        <v>0.24399999999999999</v>
      </c>
      <c r="C217">
        <v>-0.24399999999999999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-273.10000000000002</v>
      </c>
      <c r="L217">
        <v>-9.2999999999999999E-2</v>
      </c>
    </row>
    <row r="218" spans="1:12" x14ac:dyDescent="0.25">
      <c r="A218">
        <v>183287</v>
      </c>
      <c r="B218">
        <v>0.23</v>
      </c>
      <c r="C218">
        <v>-0.23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-273.10000000000002</v>
      </c>
      <c r="L218">
        <v>-9.9000000000000005E-2</v>
      </c>
    </row>
    <row r="219" spans="1:12" x14ac:dyDescent="0.25">
      <c r="A219">
        <v>188310</v>
      </c>
      <c r="B219">
        <v>0.24399999999999999</v>
      </c>
      <c r="C219">
        <v>-0.24399999999999999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-273.10000000000002</v>
      </c>
      <c r="L219">
        <v>-9.4E-2</v>
      </c>
    </row>
    <row r="220" spans="1:12" x14ac:dyDescent="0.25">
      <c r="A220">
        <v>193323</v>
      </c>
      <c r="B220">
        <v>0.161</v>
      </c>
      <c r="C220">
        <v>-0.161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-273.10000000000002</v>
      </c>
      <c r="L220">
        <v>-9.0999999999999998E-2</v>
      </c>
    </row>
    <row r="221" spans="1:12" x14ac:dyDescent="0.25">
      <c r="A221">
        <v>198368</v>
      </c>
      <c r="B221">
        <v>0.21</v>
      </c>
      <c r="C221">
        <v>-0.21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-273.10000000000002</v>
      </c>
      <c r="L221">
        <v>-9.1999999999999998E-2</v>
      </c>
    </row>
    <row r="222" spans="1:12" x14ac:dyDescent="0.25">
      <c r="A222">
        <v>203379</v>
      </c>
      <c r="B222">
        <v>0.249</v>
      </c>
      <c r="C222">
        <v>-0.249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-273.10000000000002</v>
      </c>
      <c r="L222">
        <v>-8.8999999999999996E-2</v>
      </c>
    </row>
    <row r="223" spans="1:12" x14ac:dyDescent="0.25">
      <c r="A223">
        <v>208386</v>
      </c>
      <c r="B223">
        <v>0.249</v>
      </c>
      <c r="C223">
        <v>-0.249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-273.10000000000002</v>
      </c>
      <c r="L223">
        <v>-0.111</v>
      </c>
    </row>
    <row r="224" spans="1:12" x14ac:dyDescent="0.25">
      <c r="A224">
        <v>213391</v>
      </c>
      <c r="B224">
        <v>0.16600000000000001</v>
      </c>
      <c r="C224">
        <v>-0.16600000000000001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-273.10000000000002</v>
      </c>
      <c r="L224">
        <v>-9.0999999999999998E-2</v>
      </c>
    </row>
    <row r="225" spans="1:12" x14ac:dyDescent="0.25">
      <c r="A225">
        <v>218397</v>
      </c>
      <c r="B225">
        <v>0.17100000000000001</v>
      </c>
      <c r="C225">
        <v>-0.17100000000000001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-273.10000000000002</v>
      </c>
      <c r="L225">
        <v>-0.114</v>
      </c>
    </row>
    <row r="226" spans="1:12" x14ac:dyDescent="0.25">
      <c r="A226">
        <v>223397</v>
      </c>
      <c r="B226">
        <v>0.161</v>
      </c>
      <c r="C226">
        <v>-0.161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-273.10000000000002</v>
      </c>
      <c r="L226">
        <v>-9.0999999999999998E-2</v>
      </c>
    </row>
    <row r="227" spans="1:12" x14ac:dyDescent="0.25">
      <c r="A227">
        <v>228400</v>
      </c>
      <c r="B227">
        <v>0.156</v>
      </c>
      <c r="C227">
        <v>-0.156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-273.10000000000002</v>
      </c>
      <c r="L227">
        <v>-9.6000000000000002E-2</v>
      </c>
    </row>
    <row r="228" spans="1:12" x14ac:dyDescent="0.25">
      <c r="A228">
        <v>233408</v>
      </c>
      <c r="B228">
        <v>0.14699999999999999</v>
      </c>
      <c r="C228">
        <v>-0.14699999999999999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-273.10000000000002</v>
      </c>
      <c r="L228">
        <v>-9.7000000000000003E-2</v>
      </c>
    </row>
    <row r="229" spans="1:12" x14ac:dyDescent="0.25">
      <c r="A229">
        <v>238445</v>
      </c>
      <c r="B229">
        <v>0.24399999999999999</v>
      </c>
      <c r="C229">
        <v>-0.24399999999999999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-273.10000000000002</v>
      </c>
      <c r="L229">
        <v>-9.4E-2</v>
      </c>
    </row>
    <row r="230" spans="1:12" x14ac:dyDescent="0.25">
      <c r="A230">
        <v>243452</v>
      </c>
      <c r="B230">
        <v>0.161</v>
      </c>
      <c r="C230">
        <v>-0.161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-273.10000000000002</v>
      </c>
      <c r="L230">
        <v>-0.108</v>
      </c>
    </row>
    <row r="231" spans="1:12" x14ac:dyDescent="0.25">
      <c r="A231">
        <v>248497</v>
      </c>
      <c r="B231">
        <v>0.23499999999999999</v>
      </c>
      <c r="C231">
        <v>-0.23499999999999999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-273.10000000000002</v>
      </c>
      <c r="L231">
        <v>-0.11799999999999999</v>
      </c>
    </row>
    <row r="232" spans="1:12" x14ac:dyDescent="0.25">
      <c r="A232">
        <v>253508</v>
      </c>
      <c r="B232">
        <v>0.23</v>
      </c>
      <c r="C232">
        <v>-0.23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-273.10000000000002</v>
      </c>
      <c r="L232">
        <v>-0.122</v>
      </c>
    </row>
    <row r="233" spans="1:12" x14ac:dyDescent="0.25">
      <c r="A233">
        <v>258514</v>
      </c>
      <c r="B233">
        <v>0.18099999999999999</v>
      </c>
      <c r="C233">
        <v>-0.18099999999999999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-273.10000000000002</v>
      </c>
      <c r="L233">
        <v>-0.111</v>
      </c>
    </row>
    <row r="234" spans="1:12" x14ac:dyDescent="0.25">
      <c r="A234">
        <v>263519</v>
      </c>
      <c r="B234">
        <v>0.24399999999999999</v>
      </c>
      <c r="C234">
        <v>-0.24399999999999999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-273.10000000000002</v>
      </c>
      <c r="L234">
        <v>-0.10100000000000001</v>
      </c>
    </row>
    <row r="235" spans="1:12" x14ac:dyDescent="0.25">
      <c r="A235">
        <v>268522</v>
      </c>
      <c r="B235">
        <v>0.23</v>
      </c>
      <c r="C235">
        <v>-0.23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-273.10000000000002</v>
      </c>
      <c r="L235">
        <v>-0.11799999999999999</v>
      </c>
    </row>
    <row r="236" spans="1:12" x14ac:dyDescent="0.25">
      <c r="A236">
        <v>273527</v>
      </c>
      <c r="B236">
        <v>0.23899999999999999</v>
      </c>
      <c r="C236">
        <v>-0.23899999999999999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-273.10000000000002</v>
      </c>
      <c r="L236">
        <v>-0.109</v>
      </c>
    </row>
    <row r="237" spans="1:12" x14ac:dyDescent="0.25">
      <c r="A237">
        <v>278527</v>
      </c>
      <c r="B237">
        <v>0.23899999999999999</v>
      </c>
      <c r="C237">
        <v>-0.23899999999999999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-273.10000000000002</v>
      </c>
      <c r="L237">
        <v>-0.114</v>
      </c>
    </row>
    <row r="238" spans="1:12" x14ac:dyDescent="0.25">
      <c r="A238">
        <v>283527</v>
      </c>
      <c r="B238">
        <v>0.23899999999999999</v>
      </c>
      <c r="C238">
        <v>-0.23899999999999999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-273.10000000000002</v>
      </c>
      <c r="L238">
        <v>-0.106</v>
      </c>
    </row>
    <row r="239" spans="1:12" x14ac:dyDescent="0.25">
      <c r="A239">
        <v>288566</v>
      </c>
      <c r="B239">
        <v>0.152</v>
      </c>
      <c r="C239">
        <v>-0.152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-273.10000000000002</v>
      </c>
      <c r="L239">
        <v>-0.104</v>
      </c>
    </row>
    <row r="240" spans="1:12" x14ac:dyDescent="0.25">
      <c r="A240">
        <v>293572</v>
      </c>
      <c r="B240">
        <v>0.23899999999999999</v>
      </c>
      <c r="C240">
        <v>-0.23899999999999999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-273.10000000000002</v>
      </c>
      <c r="L240">
        <v>-0.10199999999999999</v>
      </c>
    </row>
    <row r="241" spans="1:12" x14ac:dyDescent="0.25">
      <c r="A241">
        <v>298617</v>
      </c>
      <c r="B241">
        <v>0.16600000000000001</v>
      </c>
      <c r="C241">
        <v>-0.16600000000000001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-273.10000000000002</v>
      </c>
      <c r="L241">
        <v>-9.4E-2</v>
      </c>
    </row>
    <row r="242" spans="1:12" x14ac:dyDescent="0.25">
      <c r="A242">
        <v>7239</v>
      </c>
      <c r="B242">
        <v>0</v>
      </c>
      <c r="C242">
        <v>-0.22500000000000001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-0.22500000000000001</v>
      </c>
      <c r="K242">
        <v>-273.10000000000002</v>
      </c>
      <c r="L242">
        <v>-1.2999999999999999E-2</v>
      </c>
    </row>
    <row r="243" spans="1:12" x14ac:dyDescent="0.25">
      <c r="A243">
        <v>12248</v>
      </c>
      <c r="B243">
        <v>0.23499999999999999</v>
      </c>
      <c r="C243">
        <v>-0.23499999999999999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-273.10000000000002</v>
      </c>
      <c r="L243">
        <v>-6.0000000000000001E-3</v>
      </c>
    </row>
    <row r="244" spans="1:12" x14ac:dyDescent="0.25">
      <c r="A244">
        <v>17284</v>
      </c>
      <c r="B244">
        <v>0.23899999999999999</v>
      </c>
      <c r="C244">
        <v>-0.23899999999999999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-273.10000000000002</v>
      </c>
      <c r="L244">
        <v>-2E-3</v>
      </c>
    </row>
    <row r="245" spans="1:12" x14ac:dyDescent="0.25">
      <c r="A245">
        <v>22292</v>
      </c>
      <c r="B245">
        <v>0.186</v>
      </c>
      <c r="C245">
        <v>-0.186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-273.10000000000002</v>
      </c>
      <c r="L245">
        <v>1.4E-2</v>
      </c>
    </row>
    <row r="246" spans="1:12" x14ac:dyDescent="0.25">
      <c r="A246">
        <v>27337</v>
      </c>
      <c r="B246">
        <v>0.22</v>
      </c>
      <c r="C246">
        <v>-0.22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-273.10000000000002</v>
      </c>
      <c r="L246">
        <v>8.0000000000000002E-3</v>
      </c>
    </row>
    <row r="247" spans="1:12" x14ac:dyDescent="0.25">
      <c r="A247">
        <v>32348</v>
      </c>
      <c r="B247">
        <v>0.156</v>
      </c>
      <c r="C247">
        <v>-0.156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-273.10000000000002</v>
      </c>
      <c r="L247">
        <v>5.0000000000000001E-3</v>
      </c>
    </row>
    <row r="248" spans="1:12" x14ac:dyDescent="0.25">
      <c r="A248">
        <v>37354</v>
      </c>
      <c r="B248">
        <v>0.161</v>
      </c>
      <c r="C248">
        <v>-0.161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-273.10000000000002</v>
      </c>
      <c r="L248">
        <v>2.8000000000000001E-2</v>
      </c>
    </row>
    <row r="249" spans="1:12" x14ac:dyDescent="0.25">
      <c r="A249">
        <v>42359</v>
      </c>
      <c r="B249">
        <v>0.156</v>
      </c>
      <c r="C249">
        <v>-0.156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-273.10000000000002</v>
      </c>
      <c r="L249">
        <v>2E-3</v>
      </c>
    </row>
    <row r="250" spans="1:12" x14ac:dyDescent="0.25">
      <c r="A250">
        <v>47362</v>
      </c>
      <c r="B250">
        <v>0.17599999999999999</v>
      </c>
      <c r="C250">
        <v>-0.17599999999999999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-273.10000000000002</v>
      </c>
      <c r="L250">
        <v>7.0000000000000001E-3</v>
      </c>
    </row>
    <row r="251" spans="1:12" x14ac:dyDescent="0.25">
      <c r="A251">
        <v>52366</v>
      </c>
      <c r="B251">
        <v>0.161</v>
      </c>
      <c r="C251">
        <v>-0.161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-273.10000000000002</v>
      </c>
      <c r="L251">
        <v>1.7999999999999999E-2</v>
      </c>
    </row>
    <row r="252" spans="1:12" x14ac:dyDescent="0.25">
      <c r="A252">
        <v>57372</v>
      </c>
      <c r="B252">
        <v>0.23</v>
      </c>
      <c r="C252">
        <v>-0.23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-273.10000000000002</v>
      </c>
      <c r="L252">
        <v>2.5999999999999999E-2</v>
      </c>
    </row>
    <row r="253" spans="1:12" x14ac:dyDescent="0.25">
      <c r="A253">
        <v>62378</v>
      </c>
      <c r="B253">
        <v>0.156</v>
      </c>
      <c r="C253">
        <v>-0.156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-273.10000000000002</v>
      </c>
      <c r="L253">
        <v>1.6E-2</v>
      </c>
    </row>
    <row r="254" spans="1:12" x14ac:dyDescent="0.25">
      <c r="A254">
        <v>67413</v>
      </c>
      <c r="B254">
        <v>0.23</v>
      </c>
      <c r="C254">
        <v>-0.23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-273.10000000000002</v>
      </c>
      <c r="L254">
        <v>1.4E-2</v>
      </c>
    </row>
    <row r="255" spans="1:12" x14ac:dyDescent="0.25">
      <c r="A255">
        <v>72426</v>
      </c>
      <c r="B255">
        <v>0.17599999999999999</v>
      </c>
      <c r="C255">
        <v>-0.17599999999999999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-273.10000000000002</v>
      </c>
      <c r="L255">
        <v>3.1E-2</v>
      </c>
    </row>
    <row r="256" spans="1:12" x14ac:dyDescent="0.25">
      <c r="A256">
        <v>77432</v>
      </c>
      <c r="B256">
        <v>0.156</v>
      </c>
      <c r="C256">
        <v>-0.156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-273.10000000000002</v>
      </c>
      <c r="L256">
        <v>3.1E-2</v>
      </c>
    </row>
    <row r="257" spans="1:12" x14ac:dyDescent="0.25">
      <c r="A257">
        <v>82437</v>
      </c>
      <c r="B257">
        <v>0.16600000000000001</v>
      </c>
      <c r="C257">
        <v>-0.16600000000000001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-273.10000000000002</v>
      </c>
      <c r="L257">
        <v>2.5999999999999999E-2</v>
      </c>
    </row>
    <row r="258" spans="1:12" x14ac:dyDescent="0.25">
      <c r="A258">
        <v>87440</v>
      </c>
      <c r="B258">
        <v>0.20499999999999999</v>
      </c>
      <c r="C258">
        <v>-0.20499999999999999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-273.10000000000002</v>
      </c>
      <c r="L258">
        <v>3.1E-2</v>
      </c>
    </row>
    <row r="259" spans="1:12" x14ac:dyDescent="0.25">
      <c r="A259">
        <v>92444</v>
      </c>
      <c r="B259">
        <v>0.17599999999999999</v>
      </c>
      <c r="C259">
        <v>-0.17599999999999999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-273.10000000000002</v>
      </c>
      <c r="L259">
        <v>3.5999999999999997E-2</v>
      </c>
    </row>
    <row r="260" spans="1:12" x14ac:dyDescent="0.25">
      <c r="A260">
        <v>97451</v>
      </c>
      <c r="B260">
        <v>0.215</v>
      </c>
      <c r="C260">
        <v>-0.215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-273.10000000000002</v>
      </c>
      <c r="L260">
        <v>3.7999999999999999E-2</v>
      </c>
    </row>
    <row r="261" spans="1:12" x14ac:dyDescent="0.25">
      <c r="A261">
        <v>102457</v>
      </c>
      <c r="B261">
        <v>0.152</v>
      </c>
      <c r="C261">
        <v>-0.152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-273.10000000000002</v>
      </c>
      <c r="L261">
        <v>2.4E-2</v>
      </c>
    </row>
    <row r="262" spans="1:12" x14ac:dyDescent="0.25">
      <c r="A262">
        <v>107493</v>
      </c>
      <c r="B262">
        <v>0.215</v>
      </c>
      <c r="C262">
        <v>-0.215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-273.10000000000002</v>
      </c>
      <c r="L262">
        <v>4.2999999999999997E-2</v>
      </c>
    </row>
    <row r="263" spans="1:12" x14ac:dyDescent="0.25">
      <c r="A263">
        <v>112493</v>
      </c>
      <c r="B263">
        <v>0.156</v>
      </c>
      <c r="C263">
        <v>-0.156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-273.10000000000002</v>
      </c>
      <c r="L263">
        <v>3.4000000000000002E-2</v>
      </c>
    </row>
    <row r="264" spans="1:12" x14ac:dyDescent="0.25">
      <c r="A264">
        <v>117538</v>
      </c>
      <c r="B264">
        <v>0.23899999999999999</v>
      </c>
      <c r="C264">
        <v>-0.23899999999999999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-273.10000000000002</v>
      </c>
      <c r="L264">
        <v>3.2000000000000001E-2</v>
      </c>
    </row>
    <row r="265" spans="1:12" x14ac:dyDescent="0.25">
      <c r="A265">
        <v>122538</v>
      </c>
      <c r="B265">
        <v>0.17100000000000001</v>
      </c>
      <c r="C265">
        <v>-0.17100000000000001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-273.10000000000002</v>
      </c>
      <c r="L265">
        <v>4.2999999999999997E-2</v>
      </c>
    </row>
    <row r="266" spans="1:12" x14ac:dyDescent="0.25">
      <c r="A266">
        <v>127545</v>
      </c>
      <c r="B266">
        <v>0.22</v>
      </c>
      <c r="C266">
        <v>-0.22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-273.10000000000002</v>
      </c>
      <c r="L266">
        <v>3.6999999999999998E-2</v>
      </c>
    </row>
    <row r="267" spans="1:12" x14ac:dyDescent="0.25">
      <c r="A267">
        <v>132550</v>
      </c>
      <c r="B267">
        <v>0.156</v>
      </c>
      <c r="C267">
        <v>-0.156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-273.10000000000002</v>
      </c>
      <c r="L267">
        <v>5.1999999999999998E-2</v>
      </c>
    </row>
    <row r="268" spans="1:12" x14ac:dyDescent="0.25">
      <c r="A268">
        <v>137553</v>
      </c>
      <c r="B268">
        <v>0.152</v>
      </c>
      <c r="C268">
        <v>-0.152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-273.10000000000002</v>
      </c>
      <c r="L268">
        <v>4.1000000000000002E-2</v>
      </c>
    </row>
    <row r="269" spans="1:12" x14ac:dyDescent="0.25">
      <c r="A269">
        <v>142557</v>
      </c>
      <c r="B269">
        <v>0.156</v>
      </c>
      <c r="C269">
        <v>-0.156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-273.10000000000002</v>
      </c>
      <c r="L269">
        <v>3.5999999999999997E-2</v>
      </c>
    </row>
    <row r="270" spans="1:12" x14ac:dyDescent="0.25">
      <c r="A270">
        <v>147564</v>
      </c>
      <c r="B270">
        <v>0.215</v>
      </c>
      <c r="C270">
        <v>-0.215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-273.10000000000002</v>
      </c>
      <c r="L270">
        <v>2.5000000000000001E-2</v>
      </c>
    </row>
    <row r="271" spans="1:12" x14ac:dyDescent="0.25">
      <c r="A271">
        <v>152571</v>
      </c>
      <c r="B271">
        <v>0.19600000000000001</v>
      </c>
      <c r="C271">
        <v>-0.19600000000000001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-273.10000000000002</v>
      </c>
      <c r="L271">
        <v>3.3000000000000002E-2</v>
      </c>
    </row>
    <row r="272" spans="1:12" x14ac:dyDescent="0.25">
      <c r="A272">
        <v>157606</v>
      </c>
      <c r="B272">
        <v>0.22</v>
      </c>
      <c r="C272">
        <v>-0.22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-273.10000000000002</v>
      </c>
      <c r="L272">
        <v>3.6999999999999998E-2</v>
      </c>
    </row>
    <row r="273" spans="1:12" x14ac:dyDescent="0.25">
      <c r="A273">
        <v>162607</v>
      </c>
      <c r="B273">
        <v>0.18099999999999999</v>
      </c>
      <c r="C273">
        <v>-0.18099999999999999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-273.10000000000002</v>
      </c>
      <c r="L273">
        <v>1.9E-2</v>
      </c>
    </row>
    <row r="274" spans="1:12" x14ac:dyDescent="0.25">
      <c r="A274">
        <v>167652</v>
      </c>
      <c r="B274">
        <v>0.16600000000000001</v>
      </c>
      <c r="C274">
        <v>-0.16600000000000001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-273.10000000000002</v>
      </c>
      <c r="L274">
        <v>4.7E-2</v>
      </c>
    </row>
    <row r="275" spans="1:12" x14ac:dyDescent="0.25">
      <c r="A275">
        <v>172653</v>
      </c>
      <c r="B275">
        <v>0.249</v>
      </c>
      <c r="C275">
        <v>-0.249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-273.10000000000002</v>
      </c>
      <c r="L275">
        <v>3.5000000000000003E-2</v>
      </c>
    </row>
    <row r="276" spans="1:12" x14ac:dyDescent="0.25">
      <c r="A276">
        <v>177660</v>
      </c>
      <c r="B276">
        <v>0.22</v>
      </c>
      <c r="C276">
        <v>-0.22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-273.10000000000002</v>
      </c>
      <c r="L276">
        <v>5.0999999999999997E-2</v>
      </c>
    </row>
    <row r="277" spans="1:12" x14ac:dyDescent="0.25">
      <c r="A277">
        <v>182665</v>
      </c>
      <c r="B277">
        <v>0.24399999999999999</v>
      </c>
      <c r="C277">
        <v>-0.24399999999999999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-273.10000000000002</v>
      </c>
      <c r="L277">
        <v>0.05</v>
      </c>
    </row>
    <row r="278" spans="1:12" x14ac:dyDescent="0.25">
      <c r="A278">
        <v>187669</v>
      </c>
      <c r="B278">
        <v>0.22500000000000001</v>
      </c>
      <c r="C278">
        <v>-0.22500000000000001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-273.10000000000002</v>
      </c>
      <c r="L278">
        <v>0.05</v>
      </c>
    </row>
    <row r="279" spans="1:12" x14ac:dyDescent="0.25">
      <c r="A279">
        <v>192673</v>
      </c>
      <c r="B279">
        <v>0.22500000000000001</v>
      </c>
      <c r="C279">
        <v>-0.22500000000000001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-273.10000000000002</v>
      </c>
      <c r="L279">
        <v>4.2000000000000003E-2</v>
      </c>
    </row>
    <row r="280" spans="1:12" x14ac:dyDescent="0.25">
      <c r="A280">
        <v>197680</v>
      </c>
      <c r="B280">
        <v>0.24399999999999999</v>
      </c>
      <c r="C280">
        <v>-0.24399999999999999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-273.10000000000002</v>
      </c>
      <c r="L280">
        <v>4.1000000000000002E-2</v>
      </c>
    </row>
    <row r="281" spans="1:12" x14ac:dyDescent="0.25">
      <c r="A281">
        <v>202683</v>
      </c>
      <c r="B281">
        <v>0.24399999999999999</v>
      </c>
      <c r="C281">
        <v>-0.24399999999999999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-273.10000000000002</v>
      </c>
      <c r="L281">
        <v>4.5999999999999999E-2</v>
      </c>
    </row>
    <row r="282" spans="1:12" x14ac:dyDescent="0.25">
      <c r="A282">
        <v>207703</v>
      </c>
      <c r="B282">
        <v>0.24399999999999999</v>
      </c>
      <c r="C282">
        <v>-0.24399999999999999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-273.10000000000002</v>
      </c>
      <c r="L282">
        <v>4.5999999999999999E-2</v>
      </c>
    </row>
    <row r="283" spans="1:12" x14ac:dyDescent="0.25">
      <c r="A283">
        <v>212706</v>
      </c>
      <c r="B283">
        <v>0.17599999999999999</v>
      </c>
      <c r="C283">
        <v>-0.17599999999999999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-273.10000000000002</v>
      </c>
      <c r="L283">
        <v>4.5999999999999999E-2</v>
      </c>
    </row>
    <row r="284" spans="1:12" x14ac:dyDescent="0.25">
      <c r="A284">
        <v>217751</v>
      </c>
      <c r="B284">
        <v>0.156</v>
      </c>
      <c r="C284">
        <v>-0.156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-273.10000000000002</v>
      </c>
      <c r="L284">
        <v>2.8000000000000001E-2</v>
      </c>
    </row>
    <row r="285" spans="1:12" x14ac:dyDescent="0.25">
      <c r="A285">
        <v>222762</v>
      </c>
      <c r="B285">
        <v>0.17100000000000001</v>
      </c>
      <c r="C285">
        <v>-0.17100000000000001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-273.10000000000002</v>
      </c>
      <c r="L285">
        <v>3.9E-2</v>
      </c>
    </row>
    <row r="286" spans="1:12" x14ac:dyDescent="0.25">
      <c r="A286">
        <v>227768</v>
      </c>
      <c r="B286">
        <v>0.22</v>
      </c>
      <c r="C286">
        <v>-0.22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-273.10000000000002</v>
      </c>
      <c r="L286">
        <v>5.6000000000000001E-2</v>
      </c>
    </row>
    <row r="287" spans="1:12" x14ac:dyDescent="0.25">
      <c r="A287">
        <v>232773</v>
      </c>
      <c r="B287">
        <v>0.156</v>
      </c>
      <c r="C287">
        <v>-0.156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-273.10000000000002</v>
      </c>
      <c r="L287">
        <v>4.3999999999999997E-2</v>
      </c>
    </row>
    <row r="288" spans="1:12" x14ac:dyDescent="0.25">
      <c r="A288">
        <v>237776</v>
      </c>
      <c r="B288">
        <v>0.152</v>
      </c>
      <c r="C288">
        <v>-0.152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-273.10000000000002</v>
      </c>
      <c r="L288">
        <v>2.7E-2</v>
      </c>
    </row>
    <row r="289" spans="1:12" x14ac:dyDescent="0.25">
      <c r="A289">
        <v>242780</v>
      </c>
      <c r="B289">
        <v>0.156</v>
      </c>
      <c r="C289">
        <v>-0.156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-273.10000000000002</v>
      </c>
      <c r="L289">
        <v>4.2000000000000003E-2</v>
      </c>
    </row>
    <row r="290" spans="1:12" x14ac:dyDescent="0.25">
      <c r="A290">
        <v>247787</v>
      </c>
      <c r="B290">
        <v>0.22500000000000001</v>
      </c>
      <c r="C290">
        <v>-0.22500000000000001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-273.10000000000002</v>
      </c>
      <c r="L290">
        <v>3.3000000000000002E-2</v>
      </c>
    </row>
    <row r="291" spans="1:12" x14ac:dyDescent="0.25">
      <c r="A291">
        <v>252793</v>
      </c>
      <c r="B291">
        <v>0.156</v>
      </c>
      <c r="C291">
        <v>-0.156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-273.10000000000002</v>
      </c>
      <c r="L291">
        <v>5.2999999999999999E-2</v>
      </c>
    </row>
    <row r="292" spans="1:12" x14ac:dyDescent="0.25">
      <c r="A292">
        <v>257828</v>
      </c>
      <c r="B292">
        <v>0.18099999999999999</v>
      </c>
      <c r="C292">
        <v>-0.18099999999999999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-273.10000000000002</v>
      </c>
      <c r="L292">
        <v>5.7000000000000002E-2</v>
      </c>
    </row>
    <row r="293" spans="1:12" x14ac:dyDescent="0.25">
      <c r="A293">
        <v>262839</v>
      </c>
      <c r="B293">
        <v>0.23</v>
      </c>
      <c r="C293">
        <v>-0.23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-273.10000000000002</v>
      </c>
      <c r="L293">
        <v>0.05</v>
      </c>
    </row>
    <row r="294" spans="1:12" x14ac:dyDescent="0.25">
      <c r="A294">
        <v>267845</v>
      </c>
      <c r="B294">
        <v>0.23899999999999999</v>
      </c>
      <c r="C294">
        <v>-0.23899999999999999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-273.10000000000002</v>
      </c>
      <c r="L294">
        <v>3.9E-2</v>
      </c>
    </row>
    <row r="295" spans="1:12" x14ac:dyDescent="0.25">
      <c r="A295">
        <v>272850</v>
      </c>
      <c r="B295">
        <v>0.18099999999999999</v>
      </c>
      <c r="C295">
        <v>-0.18099999999999999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-273.10000000000002</v>
      </c>
      <c r="L295">
        <v>3.9E-2</v>
      </c>
    </row>
    <row r="296" spans="1:12" x14ac:dyDescent="0.25">
      <c r="A296">
        <v>277854</v>
      </c>
      <c r="B296">
        <v>0.152</v>
      </c>
      <c r="C296">
        <v>-0.152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-273.10000000000002</v>
      </c>
      <c r="L296">
        <v>4.2000000000000003E-2</v>
      </c>
    </row>
    <row r="297" spans="1:12" x14ac:dyDescent="0.25">
      <c r="A297">
        <v>282860</v>
      </c>
      <c r="B297">
        <v>0.152</v>
      </c>
      <c r="C297">
        <v>-0.152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-273.10000000000002</v>
      </c>
      <c r="L297">
        <v>4.2000000000000003E-2</v>
      </c>
    </row>
    <row r="298" spans="1:12" x14ac:dyDescent="0.25">
      <c r="A298">
        <v>287872</v>
      </c>
      <c r="B298">
        <v>0.152</v>
      </c>
      <c r="C298">
        <v>-0.152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-273.10000000000002</v>
      </c>
      <c r="L298">
        <v>3.7999999999999999E-2</v>
      </c>
    </row>
    <row r="299" spans="1:12" x14ac:dyDescent="0.25">
      <c r="A299">
        <v>292878</v>
      </c>
      <c r="B299">
        <v>0.24399999999999999</v>
      </c>
      <c r="C299">
        <v>-0.24399999999999999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-273.10000000000002</v>
      </c>
      <c r="L299">
        <v>4.9000000000000002E-2</v>
      </c>
    </row>
    <row r="300" spans="1:12" x14ac:dyDescent="0.25">
      <c r="A300">
        <v>297913</v>
      </c>
      <c r="B300">
        <v>0.18099999999999999</v>
      </c>
      <c r="C300">
        <v>-0.18099999999999999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-273.10000000000002</v>
      </c>
      <c r="L300">
        <v>2.5000000000000001E-2</v>
      </c>
    </row>
    <row r="301" spans="1:12" x14ac:dyDescent="0.25">
      <c r="A301">
        <v>302924</v>
      </c>
      <c r="B301">
        <v>0.14699999999999999</v>
      </c>
      <c r="C301">
        <v>-0.14699999999999999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-273.10000000000002</v>
      </c>
      <c r="L301">
        <v>3.2000000000000001E-2</v>
      </c>
    </row>
    <row r="302" spans="1:12" x14ac:dyDescent="0.25">
      <c r="A302">
        <v>307930</v>
      </c>
      <c r="B302">
        <v>0.156</v>
      </c>
      <c r="C302">
        <v>-0.156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-273.10000000000002</v>
      </c>
      <c r="L302">
        <v>4.2999999999999997E-2</v>
      </c>
    </row>
    <row r="303" spans="1:12" x14ac:dyDescent="0.25">
      <c r="A303">
        <v>312935</v>
      </c>
      <c r="B303">
        <v>0.23899999999999999</v>
      </c>
      <c r="C303">
        <v>-0.23899999999999999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-273.10000000000002</v>
      </c>
      <c r="L303">
        <v>4.3999999999999997E-2</v>
      </c>
    </row>
    <row r="304" spans="1:12" x14ac:dyDescent="0.25">
      <c r="A304">
        <v>317938</v>
      </c>
      <c r="B304">
        <v>0.23</v>
      </c>
      <c r="C304">
        <v>-0.23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-273.10000000000002</v>
      </c>
      <c r="L304">
        <v>3.5000000000000003E-2</v>
      </c>
    </row>
    <row r="305" spans="1:12" x14ac:dyDescent="0.25">
      <c r="A305">
        <v>322942</v>
      </c>
      <c r="B305">
        <v>0.23899999999999999</v>
      </c>
      <c r="C305">
        <v>-0.23899999999999999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-273.10000000000002</v>
      </c>
      <c r="L305">
        <v>3.1E-2</v>
      </c>
    </row>
    <row r="306" spans="1:12" x14ac:dyDescent="0.25">
      <c r="A306">
        <v>327949</v>
      </c>
      <c r="B306">
        <v>0.249</v>
      </c>
      <c r="C306">
        <v>-0.249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-273.10000000000002</v>
      </c>
      <c r="L306">
        <v>2.8000000000000001E-2</v>
      </c>
    </row>
    <row r="307" spans="1:12" x14ac:dyDescent="0.25">
      <c r="A307">
        <v>332950</v>
      </c>
      <c r="B307">
        <v>0.161</v>
      </c>
      <c r="C307">
        <v>-0.161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-273.10000000000002</v>
      </c>
      <c r="L307">
        <v>5.2999999999999999E-2</v>
      </c>
    </row>
    <row r="308" spans="1:12" x14ac:dyDescent="0.25">
      <c r="A308">
        <v>337985</v>
      </c>
      <c r="B308">
        <v>0.215</v>
      </c>
      <c r="C308">
        <v>-0.215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-273.10000000000002</v>
      </c>
      <c r="L308">
        <v>5.8000000000000003E-2</v>
      </c>
    </row>
    <row r="309" spans="1:12" x14ac:dyDescent="0.25">
      <c r="A309">
        <v>342997</v>
      </c>
      <c r="B309">
        <v>0.24399999999999999</v>
      </c>
      <c r="C309">
        <v>-0.24399999999999999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-273.10000000000002</v>
      </c>
      <c r="L309">
        <v>4.9000000000000002E-2</v>
      </c>
    </row>
    <row r="310" spans="1:12" x14ac:dyDescent="0.25">
      <c r="A310">
        <v>348010</v>
      </c>
      <c r="B310">
        <v>0.249</v>
      </c>
      <c r="C310">
        <v>-0.249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-273.10000000000002</v>
      </c>
      <c r="L310">
        <v>4.5999999999999999E-2</v>
      </c>
    </row>
    <row r="311" spans="1:12" x14ac:dyDescent="0.25">
      <c r="A311">
        <v>353019</v>
      </c>
      <c r="B311">
        <v>0.21</v>
      </c>
      <c r="C311">
        <v>-0.21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-273.10000000000002</v>
      </c>
      <c r="L311">
        <v>5.5E-2</v>
      </c>
    </row>
    <row r="312" spans="1:12" x14ac:dyDescent="0.25">
      <c r="A312">
        <v>7732</v>
      </c>
      <c r="B312">
        <v>0</v>
      </c>
      <c r="C312">
        <v>-0.23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-0.23</v>
      </c>
      <c r="K312">
        <v>-273.10000000000002</v>
      </c>
      <c r="L312">
        <v>-1.4999999999999999E-2</v>
      </c>
    </row>
    <row r="313" spans="1:12" x14ac:dyDescent="0.25">
      <c r="A313">
        <v>12741</v>
      </c>
      <c r="B313">
        <v>0.2</v>
      </c>
      <c r="C313">
        <v>-0.2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-273.10000000000002</v>
      </c>
      <c r="L313">
        <v>0</v>
      </c>
    </row>
    <row r="314" spans="1:12" x14ac:dyDescent="0.25">
      <c r="A314">
        <v>17777</v>
      </c>
      <c r="B314">
        <v>0.186</v>
      </c>
      <c r="C314">
        <v>-0.186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-273.10000000000002</v>
      </c>
      <c r="L314">
        <v>-1.7999999999999999E-2</v>
      </c>
    </row>
    <row r="315" spans="1:12" x14ac:dyDescent="0.25">
      <c r="A315">
        <v>22784</v>
      </c>
      <c r="B315">
        <v>0.17599999999999999</v>
      </c>
      <c r="C315">
        <v>-0.17599999999999999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-273.10000000000002</v>
      </c>
      <c r="L315">
        <v>-6.0000000000000001E-3</v>
      </c>
    </row>
    <row r="316" spans="1:12" x14ac:dyDescent="0.25">
      <c r="A316">
        <v>27829</v>
      </c>
      <c r="B316">
        <v>0.161</v>
      </c>
      <c r="C316">
        <v>-0.161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-273.10000000000002</v>
      </c>
      <c r="L316">
        <v>-2E-3</v>
      </c>
    </row>
    <row r="317" spans="1:12" x14ac:dyDescent="0.25">
      <c r="A317">
        <v>32833</v>
      </c>
      <c r="B317">
        <v>0.25900000000000001</v>
      </c>
      <c r="C317">
        <v>-0.25900000000000001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-273.10000000000002</v>
      </c>
      <c r="L317">
        <v>4.0000000000000001E-3</v>
      </c>
    </row>
    <row r="318" spans="1:12" x14ac:dyDescent="0.25">
      <c r="A318">
        <v>37845</v>
      </c>
      <c r="B318">
        <v>0.249</v>
      </c>
      <c r="C318">
        <v>-0.249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-273.10000000000002</v>
      </c>
      <c r="L318">
        <v>-2.1000000000000001E-2</v>
      </c>
    </row>
    <row r="319" spans="1:12" x14ac:dyDescent="0.25">
      <c r="A319">
        <v>42854</v>
      </c>
      <c r="B319">
        <v>0.254</v>
      </c>
      <c r="C319">
        <v>-0.254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-273.10000000000002</v>
      </c>
      <c r="L319">
        <v>-4.0000000000000001E-3</v>
      </c>
    </row>
    <row r="320" spans="1:12" x14ac:dyDescent="0.25">
      <c r="A320">
        <v>47857</v>
      </c>
      <c r="B320">
        <v>0.156</v>
      </c>
      <c r="C320">
        <v>-0.156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-273.10000000000002</v>
      </c>
      <c r="L320">
        <v>-2E-3</v>
      </c>
    </row>
    <row r="321" spans="1:12" x14ac:dyDescent="0.25">
      <c r="A321">
        <v>52861</v>
      </c>
      <c r="B321">
        <v>0.161</v>
      </c>
      <c r="C321">
        <v>-0.161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-273.10000000000002</v>
      </c>
      <c r="L321">
        <v>-3.0000000000000001E-3</v>
      </c>
    </row>
    <row r="322" spans="1:12" x14ac:dyDescent="0.25">
      <c r="A322">
        <v>57868</v>
      </c>
      <c r="B322">
        <v>0.17599999999999999</v>
      </c>
      <c r="C322">
        <v>-0.17599999999999999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-273.10000000000002</v>
      </c>
      <c r="L322">
        <v>3.0000000000000001E-3</v>
      </c>
    </row>
    <row r="323" spans="1:12" x14ac:dyDescent="0.25">
      <c r="A323">
        <v>62868</v>
      </c>
      <c r="B323">
        <v>0.186</v>
      </c>
      <c r="C323">
        <v>-0.186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-273.10000000000002</v>
      </c>
      <c r="L323">
        <v>-1.9E-2</v>
      </c>
    </row>
    <row r="324" spans="1:12" x14ac:dyDescent="0.25">
      <c r="A324">
        <v>67883</v>
      </c>
      <c r="B324">
        <v>0.156</v>
      </c>
      <c r="C324">
        <v>-0.156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-273.10000000000002</v>
      </c>
      <c r="L324">
        <v>8.0000000000000002E-3</v>
      </c>
    </row>
    <row r="325" spans="1:12" x14ac:dyDescent="0.25">
      <c r="A325">
        <v>72884</v>
      </c>
      <c r="B325">
        <v>0.249</v>
      </c>
      <c r="C325">
        <v>-0.249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-273.10000000000002</v>
      </c>
      <c r="L325">
        <v>-3.0000000000000001E-3</v>
      </c>
    </row>
    <row r="326" spans="1:12" x14ac:dyDescent="0.25">
      <c r="A326">
        <v>77929</v>
      </c>
      <c r="B326">
        <v>0.23499999999999999</v>
      </c>
      <c r="C326">
        <v>-0.23499999999999999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-273.10000000000002</v>
      </c>
      <c r="L326">
        <v>-1.4E-2</v>
      </c>
    </row>
    <row r="327" spans="1:12" x14ac:dyDescent="0.25">
      <c r="A327">
        <v>82931</v>
      </c>
      <c r="B327">
        <v>0.156</v>
      </c>
      <c r="C327">
        <v>-0.156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-273.10000000000002</v>
      </c>
      <c r="L327">
        <v>-3.0000000000000001E-3</v>
      </c>
    </row>
    <row r="328" spans="1:12" x14ac:dyDescent="0.25">
      <c r="A328">
        <v>87943</v>
      </c>
      <c r="B328">
        <v>0.17100000000000001</v>
      </c>
      <c r="C328">
        <v>-0.17100000000000001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-273.10000000000002</v>
      </c>
      <c r="L328">
        <v>5.0000000000000001E-3</v>
      </c>
    </row>
    <row r="329" spans="1:12" x14ac:dyDescent="0.25">
      <c r="A329">
        <v>92952</v>
      </c>
      <c r="B329">
        <v>0.215</v>
      </c>
      <c r="C329">
        <v>-0.215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-273.10000000000002</v>
      </c>
      <c r="L329">
        <v>-6.0000000000000001E-3</v>
      </c>
    </row>
    <row r="330" spans="1:12" x14ac:dyDescent="0.25">
      <c r="A330">
        <v>97956</v>
      </c>
      <c r="B330">
        <v>0.17599999999999999</v>
      </c>
      <c r="C330">
        <v>-0.17599999999999999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-273.10000000000002</v>
      </c>
      <c r="L330">
        <v>-1.0999999999999999E-2</v>
      </c>
    </row>
    <row r="331" spans="1:12" x14ac:dyDescent="0.25">
      <c r="A331">
        <v>102960</v>
      </c>
      <c r="B331">
        <v>0.156</v>
      </c>
      <c r="C331">
        <v>-0.156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-273.10000000000002</v>
      </c>
      <c r="L331">
        <v>-6.0000000000000001E-3</v>
      </c>
    </row>
    <row r="332" spans="1:12" x14ac:dyDescent="0.25">
      <c r="A332">
        <v>107967</v>
      </c>
      <c r="B332">
        <v>0.23499999999999999</v>
      </c>
      <c r="C332">
        <v>-0.23499999999999999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-273.10000000000002</v>
      </c>
      <c r="L332">
        <v>-1.7000000000000001E-2</v>
      </c>
    </row>
    <row r="333" spans="1:12" x14ac:dyDescent="0.25">
      <c r="A333">
        <v>112976</v>
      </c>
      <c r="B333">
        <v>0.23</v>
      </c>
      <c r="C333">
        <v>-0.23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-273.10000000000002</v>
      </c>
      <c r="L333">
        <v>-1.0999999999999999E-2</v>
      </c>
    </row>
    <row r="334" spans="1:12" x14ac:dyDescent="0.25">
      <c r="A334">
        <v>117987</v>
      </c>
      <c r="B334">
        <v>0.16600000000000001</v>
      </c>
      <c r="C334">
        <v>-0.16600000000000001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-273.10000000000002</v>
      </c>
      <c r="L334">
        <v>-8.9999999999999993E-3</v>
      </c>
    </row>
    <row r="335" spans="1:12" x14ac:dyDescent="0.25">
      <c r="A335">
        <v>122993</v>
      </c>
      <c r="B335">
        <v>0.186</v>
      </c>
      <c r="C335">
        <v>-0.186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-273.10000000000002</v>
      </c>
      <c r="L335">
        <v>-0.01</v>
      </c>
    </row>
    <row r="336" spans="1:12" x14ac:dyDescent="0.25">
      <c r="A336">
        <v>128028</v>
      </c>
      <c r="B336">
        <v>0.156</v>
      </c>
      <c r="C336">
        <v>-0.156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-273.10000000000002</v>
      </c>
      <c r="L336">
        <v>-7.0000000000000001E-3</v>
      </c>
    </row>
    <row r="337" spans="1:12" x14ac:dyDescent="0.25">
      <c r="A337">
        <v>133034</v>
      </c>
      <c r="B337">
        <v>0.254</v>
      </c>
      <c r="C337">
        <v>-0.254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-273.10000000000002</v>
      </c>
      <c r="L337">
        <v>-8.0000000000000002E-3</v>
      </c>
    </row>
    <row r="338" spans="1:12" x14ac:dyDescent="0.25">
      <c r="A338">
        <v>138041</v>
      </c>
      <c r="B338">
        <v>0.161</v>
      </c>
      <c r="C338">
        <v>-0.161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-273.10000000000002</v>
      </c>
      <c r="L338">
        <v>-6.0000000000000001E-3</v>
      </c>
    </row>
    <row r="339" spans="1:12" x14ac:dyDescent="0.25">
      <c r="A339">
        <v>143046</v>
      </c>
      <c r="B339">
        <v>0.249</v>
      </c>
      <c r="C339">
        <v>-0.249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-273.10000000000002</v>
      </c>
      <c r="L339">
        <v>-4.0000000000000001E-3</v>
      </c>
    </row>
    <row r="340" spans="1:12" x14ac:dyDescent="0.25">
      <c r="A340">
        <v>148050</v>
      </c>
      <c r="B340">
        <v>0.17100000000000001</v>
      </c>
      <c r="C340">
        <v>-0.17100000000000001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-273.10000000000002</v>
      </c>
      <c r="L340">
        <v>0</v>
      </c>
    </row>
    <row r="341" spans="1:12" x14ac:dyDescent="0.25">
      <c r="A341">
        <v>153054</v>
      </c>
      <c r="B341">
        <v>0.25900000000000001</v>
      </c>
      <c r="C341">
        <v>-0.25900000000000001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-273.10000000000002</v>
      </c>
      <c r="L341">
        <v>2.8000000000000001E-2</v>
      </c>
    </row>
    <row r="342" spans="1:12" x14ac:dyDescent="0.25">
      <c r="A342">
        <v>158060</v>
      </c>
      <c r="B342">
        <v>0.2</v>
      </c>
      <c r="C342">
        <v>-0.2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-273.10000000000002</v>
      </c>
      <c r="L342">
        <v>-2.4E-2</v>
      </c>
    </row>
    <row r="343" spans="1:12" x14ac:dyDescent="0.25">
      <c r="A343">
        <v>163067</v>
      </c>
      <c r="B343">
        <v>0.254</v>
      </c>
      <c r="C343">
        <v>-0.254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-273.10000000000002</v>
      </c>
      <c r="L343">
        <v>-1E-3</v>
      </c>
    </row>
    <row r="344" spans="1:12" x14ac:dyDescent="0.25">
      <c r="A344">
        <v>168103</v>
      </c>
      <c r="B344">
        <v>0.17100000000000001</v>
      </c>
      <c r="C344">
        <v>-0.17100000000000001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-273.10000000000002</v>
      </c>
      <c r="L344">
        <v>6.0000000000000001E-3</v>
      </c>
    </row>
    <row r="345" spans="1:12" x14ac:dyDescent="0.25">
      <c r="A345">
        <v>7416</v>
      </c>
      <c r="B345">
        <v>0</v>
      </c>
      <c r="C345">
        <v>-0.25900000000000001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-0.25900000000000001</v>
      </c>
      <c r="K345">
        <v>-273.10000000000002</v>
      </c>
      <c r="L345">
        <v>-5.0000000000000001E-3</v>
      </c>
    </row>
    <row r="346" spans="1:12" x14ac:dyDescent="0.25">
      <c r="A346">
        <v>7712</v>
      </c>
      <c r="B346">
        <v>0</v>
      </c>
      <c r="C346">
        <v>-0.17599999999999999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-0.17599999999999999</v>
      </c>
      <c r="K346">
        <v>-273.10000000000002</v>
      </c>
      <c r="L346">
        <v>-5.0000000000000001E-3</v>
      </c>
    </row>
    <row r="347" spans="1:12" x14ac:dyDescent="0.25">
      <c r="A347">
        <v>12721</v>
      </c>
      <c r="B347">
        <v>0.25900000000000001</v>
      </c>
      <c r="C347">
        <v>-0.25900000000000001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-273.10000000000002</v>
      </c>
      <c r="L347">
        <v>7.0000000000000001E-3</v>
      </c>
    </row>
    <row r="348" spans="1:12" x14ac:dyDescent="0.25">
      <c r="A348">
        <v>17764</v>
      </c>
      <c r="B348">
        <v>0.17599999999999999</v>
      </c>
      <c r="C348">
        <v>-0.17599999999999999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-273.10000000000002</v>
      </c>
      <c r="L348">
        <v>-7.0000000000000001E-3</v>
      </c>
    </row>
    <row r="349" spans="1:12" x14ac:dyDescent="0.25">
      <c r="A349">
        <v>22769</v>
      </c>
      <c r="B349">
        <v>0.25900000000000001</v>
      </c>
      <c r="C349">
        <v>-0.25900000000000001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-273.10000000000002</v>
      </c>
      <c r="L349">
        <v>-1.4E-2</v>
      </c>
    </row>
    <row r="350" spans="1:12" x14ac:dyDescent="0.25">
      <c r="A350">
        <v>27810</v>
      </c>
      <c r="B350">
        <v>0.16600000000000001</v>
      </c>
      <c r="C350">
        <v>-0.16600000000000001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-273.10000000000002</v>
      </c>
      <c r="L350">
        <v>-8.0000000000000002E-3</v>
      </c>
    </row>
    <row r="351" spans="1:12" x14ac:dyDescent="0.25">
      <c r="A351">
        <v>32815</v>
      </c>
      <c r="B351">
        <v>0.19600000000000001</v>
      </c>
      <c r="C351">
        <v>-0.19600000000000001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-273.10000000000002</v>
      </c>
      <c r="L351">
        <v>-1.9E-2</v>
      </c>
    </row>
    <row r="352" spans="1:12" x14ac:dyDescent="0.25">
      <c r="A352">
        <v>37862</v>
      </c>
      <c r="B352">
        <v>0.186</v>
      </c>
      <c r="C352">
        <v>-0.186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-273.10000000000002</v>
      </c>
      <c r="L352">
        <v>-2.4E-2</v>
      </c>
    </row>
    <row r="353" spans="1:12" x14ac:dyDescent="0.25">
      <c r="A353">
        <v>42874</v>
      </c>
      <c r="B353">
        <v>0.152</v>
      </c>
      <c r="C353">
        <v>-0.152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-273.10000000000002</v>
      </c>
      <c r="L353">
        <v>-1E-3</v>
      </c>
    </row>
    <row r="354" spans="1:12" x14ac:dyDescent="0.25">
      <c r="A354">
        <v>47919</v>
      </c>
      <c r="B354">
        <v>0.191</v>
      </c>
      <c r="C354">
        <v>-0.191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-273.10000000000002</v>
      </c>
      <c r="L354">
        <v>-1E-3</v>
      </c>
    </row>
    <row r="355" spans="1:12" x14ac:dyDescent="0.25">
      <c r="A355">
        <v>52932</v>
      </c>
      <c r="B355">
        <v>0.191</v>
      </c>
      <c r="C355">
        <v>-0.191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-273.10000000000002</v>
      </c>
      <c r="L355">
        <v>-2.5000000000000001E-2</v>
      </c>
    </row>
    <row r="356" spans="1:12" x14ac:dyDescent="0.25">
      <c r="A356">
        <v>57938</v>
      </c>
      <c r="B356">
        <v>0.22500000000000001</v>
      </c>
      <c r="C356">
        <v>-0.22500000000000001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-273.10000000000002</v>
      </c>
      <c r="L356">
        <v>-1.2E-2</v>
      </c>
    </row>
    <row r="357" spans="1:12" x14ac:dyDescent="0.25">
      <c r="A357">
        <v>62943</v>
      </c>
      <c r="B357">
        <v>0.17100000000000001</v>
      </c>
      <c r="C357">
        <v>-0.17100000000000001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-273.10000000000002</v>
      </c>
      <c r="L357">
        <v>0</v>
      </c>
    </row>
    <row r="358" spans="1:12" x14ac:dyDescent="0.25">
      <c r="A358">
        <v>67947</v>
      </c>
      <c r="B358">
        <v>0.18099999999999999</v>
      </c>
      <c r="C358">
        <v>-0.18099999999999999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-273.10000000000002</v>
      </c>
      <c r="L358">
        <v>-2.8000000000000001E-2</v>
      </c>
    </row>
    <row r="359" spans="1:12" x14ac:dyDescent="0.25">
      <c r="A359">
        <v>72951</v>
      </c>
      <c r="B359">
        <v>0.156</v>
      </c>
      <c r="C359">
        <v>-0.156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-273.10000000000002</v>
      </c>
      <c r="L359">
        <v>1E-3</v>
      </c>
    </row>
    <row r="360" spans="1:12" x14ac:dyDescent="0.25">
      <c r="A360">
        <v>77958</v>
      </c>
      <c r="B360">
        <v>0.14699999999999999</v>
      </c>
      <c r="C360">
        <v>-0.14699999999999999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-273.10000000000002</v>
      </c>
      <c r="L360">
        <v>-1.2E-2</v>
      </c>
    </row>
    <row r="361" spans="1:12" x14ac:dyDescent="0.25">
      <c r="A361">
        <v>82964</v>
      </c>
      <c r="B361">
        <v>0.22</v>
      </c>
      <c r="C361">
        <v>-0.22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-273.10000000000002</v>
      </c>
      <c r="L361">
        <v>-4.0000000000000001E-3</v>
      </c>
    </row>
    <row r="362" spans="1:12" x14ac:dyDescent="0.25">
      <c r="A362">
        <v>87999</v>
      </c>
      <c r="B362">
        <v>0.18099999999999999</v>
      </c>
      <c r="C362">
        <v>-0.18099999999999999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-273.10000000000002</v>
      </c>
      <c r="L362">
        <v>-1.7999999999999999E-2</v>
      </c>
    </row>
    <row r="363" spans="1:12" x14ac:dyDescent="0.25">
      <c r="A363">
        <v>93010</v>
      </c>
      <c r="B363">
        <v>0.16600000000000001</v>
      </c>
      <c r="C363">
        <v>-0.16600000000000001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-273.10000000000002</v>
      </c>
      <c r="L363">
        <v>-1.4999999999999999E-2</v>
      </c>
    </row>
    <row r="364" spans="1:12" x14ac:dyDescent="0.25">
      <c r="A364">
        <v>98017</v>
      </c>
      <c r="B364">
        <v>0.152</v>
      </c>
      <c r="C364">
        <v>-0.152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-273.10000000000002</v>
      </c>
      <c r="L364">
        <v>-1.6E-2</v>
      </c>
    </row>
    <row r="365" spans="1:12" x14ac:dyDescent="0.25">
      <c r="A365">
        <v>103022</v>
      </c>
      <c r="B365">
        <v>0.24399999999999999</v>
      </c>
      <c r="C365">
        <v>-0.24399999999999999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-273.10000000000002</v>
      </c>
      <c r="L365">
        <v>-7.0000000000000001E-3</v>
      </c>
    </row>
    <row r="366" spans="1:12" x14ac:dyDescent="0.25">
      <c r="A366">
        <v>108025</v>
      </c>
      <c r="B366">
        <v>0.156</v>
      </c>
      <c r="C366">
        <v>-0.156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-273.10000000000002</v>
      </c>
      <c r="L366">
        <v>-4.0000000000000001E-3</v>
      </c>
    </row>
    <row r="367" spans="1:12" x14ac:dyDescent="0.25">
      <c r="A367">
        <v>113029</v>
      </c>
      <c r="B367">
        <v>0.17599999999999999</v>
      </c>
      <c r="C367">
        <v>-0.17599999999999999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-273.10000000000002</v>
      </c>
      <c r="L367">
        <v>4.0000000000000001E-3</v>
      </c>
    </row>
    <row r="368" spans="1:12" x14ac:dyDescent="0.25">
      <c r="A368">
        <v>118030</v>
      </c>
      <c r="B368">
        <v>0.23899999999999999</v>
      </c>
      <c r="C368">
        <v>-0.23899999999999999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-273.10000000000002</v>
      </c>
      <c r="L368">
        <v>-1.2E-2</v>
      </c>
    </row>
    <row r="369" spans="1:12" x14ac:dyDescent="0.25">
      <c r="A369">
        <v>123039</v>
      </c>
      <c r="B369">
        <v>0.2</v>
      </c>
      <c r="C369">
        <v>-0.2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-273.10000000000002</v>
      </c>
      <c r="L369">
        <v>-2.4E-2</v>
      </c>
    </row>
    <row r="370" spans="1:12" x14ac:dyDescent="0.25">
      <c r="A370">
        <v>128076</v>
      </c>
      <c r="B370">
        <v>0.24399999999999999</v>
      </c>
      <c r="C370">
        <v>-0.24399999999999999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-273.10000000000002</v>
      </c>
      <c r="L370">
        <v>-1E-3</v>
      </c>
    </row>
    <row r="371" spans="1:12" x14ac:dyDescent="0.25">
      <c r="A371">
        <v>133083</v>
      </c>
      <c r="B371">
        <v>0.152</v>
      </c>
      <c r="C371">
        <v>-0.152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-273.10000000000002</v>
      </c>
      <c r="L371">
        <v>-2.3E-2</v>
      </c>
    </row>
    <row r="372" spans="1:12" x14ac:dyDescent="0.25">
      <c r="A372">
        <v>138129</v>
      </c>
      <c r="B372">
        <v>0.20499999999999999</v>
      </c>
      <c r="C372">
        <v>-0.20499999999999999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-273.10000000000002</v>
      </c>
      <c r="L372">
        <v>-2.9000000000000001E-2</v>
      </c>
    </row>
    <row r="373" spans="1:12" x14ac:dyDescent="0.25">
      <c r="A373">
        <v>143134</v>
      </c>
      <c r="B373">
        <v>0.21</v>
      </c>
      <c r="C373">
        <v>-0.21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-273.10000000000002</v>
      </c>
      <c r="L373">
        <v>-1.9E-2</v>
      </c>
    </row>
    <row r="374" spans="1:12" x14ac:dyDescent="0.25">
      <c r="A374">
        <v>148141</v>
      </c>
      <c r="B374">
        <v>0.161</v>
      </c>
      <c r="C374">
        <v>-0.161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-273.10000000000002</v>
      </c>
      <c r="L374">
        <v>-8.9999999999999993E-3</v>
      </c>
    </row>
    <row r="375" spans="1:12" x14ac:dyDescent="0.25">
      <c r="A375">
        <v>153146</v>
      </c>
      <c r="B375">
        <v>0.24399999999999999</v>
      </c>
      <c r="C375">
        <v>-0.24399999999999999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-273.10000000000002</v>
      </c>
      <c r="L375">
        <v>-0.03</v>
      </c>
    </row>
    <row r="376" spans="1:12" x14ac:dyDescent="0.25">
      <c r="A376">
        <v>158149</v>
      </c>
      <c r="B376">
        <v>0.17599999999999999</v>
      </c>
      <c r="C376">
        <v>-0.17599999999999999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-273.10000000000002</v>
      </c>
      <c r="L376">
        <v>-1.2E-2</v>
      </c>
    </row>
    <row r="377" spans="1:12" x14ac:dyDescent="0.25">
      <c r="A377">
        <v>163153</v>
      </c>
      <c r="B377">
        <v>0.25900000000000001</v>
      </c>
      <c r="C377">
        <v>-0.25900000000000001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-273.10000000000002</v>
      </c>
      <c r="L377">
        <v>-1.7999999999999999E-2</v>
      </c>
    </row>
    <row r="378" spans="1:12" x14ac:dyDescent="0.25">
      <c r="A378">
        <v>168162</v>
      </c>
      <c r="B378">
        <v>0.249</v>
      </c>
      <c r="C378">
        <v>-0.249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-273.10000000000002</v>
      </c>
      <c r="L378">
        <v>-2.3E-2</v>
      </c>
    </row>
    <row r="379" spans="1:12" x14ac:dyDescent="0.25">
      <c r="A379">
        <v>173169</v>
      </c>
      <c r="B379">
        <v>0.161</v>
      </c>
      <c r="C379">
        <v>-0.161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-273.10000000000002</v>
      </c>
      <c r="L379">
        <v>-0.04</v>
      </c>
    </row>
    <row r="380" spans="1:12" x14ac:dyDescent="0.25">
      <c r="A380">
        <v>178204</v>
      </c>
      <c r="B380">
        <v>0.22500000000000001</v>
      </c>
      <c r="C380">
        <v>-0.22500000000000001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-273.10000000000002</v>
      </c>
      <c r="L380">
        <v>-3.7999999999999999E-2</v>
      </c>
    </row>
    <row r="381" spans="1:12" x14ac:dyDescent="0.25">
      <c r="A381">
        <v>183215</v>
      </c>
      <c r="B381">
        <v>0.254</v>
      </c>
      <c r="C381">
        <v>-0.254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-273.10000000000002</v>
      </c>
      <c r="L381">
        <v>-2.8000000000000001E-2</v>
      </c>
    </row>
    <row r="382" spans="1:12" x14ac:dyDescent="0.25">
      <c r="A382">
        <v>188221</v>
      </c>
      <c r="B382">
        <v>0.156</v>
      </c>
      <c r="C382">
        <v>-0.156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-273.10000000000002</v>
      </c>
      <c r="L382">
        <v>-3.7999999999999999E-2</v>
      </c>
    </row>
    <row r="383" spans="1:12" x14ac:dyDescent="0.25">
      <c r="A383">
        <v>193226</v>
      </c>
      <c r="B383">
        <v>0.249</v>
      </c>
      <c r="C383">
        <v>-0.249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-273.10000000000002</v>
      </c>
      <c r="L383">
        <v>-8.9999999999999993E-3</v>
      </c>
    </row>
    <row r="384" spans="1:12" x14ac:dyDescent="0.25">
      <c r="A384">
        <v>198232</v>
      </c>
      <c r="B384">
        <v>0.156</v>
      </c>
      <c r="C384">
        <v>-0.156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-273.10000000000002</v>
      </c>
      <c r="L384">
        <v>-3.2000000000000001E-2</v>
      </c>
    </row>
    <row r="385" spans="1:12" x14ac:dyDescent="0.25">
      <c r="A385">
        <v>7416</v>
      </c>
      <c r="B385">
        <v>0</v>
      </c>
      <c r="C385">
        <v>-0.16600000000000001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-0.16600000000000001</v>
      </c>
      <c r="K385">
        <v>-273.10000000000002</v>
      </c>
      <c r="L385">
        <v>-1.4E-2</v>
      </c>
    </row>
    <row r="386" spans="1:12" x14ac:dyDescent="0.25">
      <c r="A386">
        <v>12422</v>
      </c>
      <c r="B386">
        <v>0.23899999999999999</v>
      </c>
      <c r="C386">
        <v>-0.23899999999999999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-273.10000000000002</v>
      </c>
      <c r="L386">
        <v>-2.1999999999999999E-2</v>
      </c>
    </row>
    <row r="387" spans="1:12" x14ac:dyDescent="0.25">
      <c r="A387">
        <v>7780</v>
      </c>
      <c r="B387">
        <v>0</v>
      </c>
      <c r="C387">
        <v>-0.215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-0.215</v>
      </c>
      <c r="K387">
        <v>-273.10000000000002</v>
      </c>
      <c r="L387">
        <v>-2.1999999999999999E-2</v>
      </c>
    </row>
    <row r="388" spans="1:12" x14ac:dyDescent="0.25">
      <c r="A388">
        <v>12787</v>
      </c>
      <c r="B388">
        <v>0.22</v>
      </c>
      <c r="C388">
        <v>-0.22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-273.10000000000002</v>
      </c>
      <c r="L388">
        <v>8.0000000000000002E-3</v>
      </c>
    </row>
    <row r="389" spans="1:12" x14ac:dyDescent="0.25">
      <c r="A389">
        <v>17832</v>
      </c>
      <c r="B389">
        <v>0.22500000000000001</v>
      </c>
      <c r="C389">
        <v>-0.22500000000000001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-273.10000000000002</v>
      </c>
      <c r="L389">
        <v>-2E-3</v>
      </c>
    </row>
    <row r="390" spans="1:12" x14ac:dyDescent="0.25">
      <c r="A390">
        <v>22832</v>
      </c>
      <c r="B390">
        <v>0.16600000000000001</v>
      </c>
      <c r="C390">
        <v>-0.16600000000000001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-273.10000000000002</v>
      </c>
      <c r="L390">
        <v>-5.0000000000000001E-3</v>
      </c>
    </row>
    <row r="391" spans="1:12" x14ac:dyDescent="0.25">
      <c r="A391">
        <v>27877</v>
      </c>
      <c r="B391">
        <v>0.23899999999999999</v>
      </c>
      <c r="C391">
        <v>-0.23899999999999999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-273.10000000000002</v>
      </c>
      <c r="L391">
        <v>5.0000000000000001E-3</v>
      </c>
    </row>
    <row r="392" spans="1:12" x14ac:dyDescent="0.25">
      <c r="A392">
        <v>32879</v>
      </c>
      <c r="B392">
        <v>0.186</v>
      </c>
      <c r="C392">
        <v>-0.186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-273.10000000000002</v>
      </c>
      <c r="L392">
        <v>3.0000000000000001E-3</v>
      </c>
    </row>
    <row r="393" spans="1:12" x14ac:dyDescent="0.25">
      <c r="A393">
        <v>37890</v>
      </c>
      <c r="B393">
        <v>0.249</v>
      </c>
      <c r="C393">
        <v>-0.249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-273.10000000000002</v>
      </c>
      <c r="L393">
        <v>1E-3</v>
      </c>
    </row>
    <row r="394" spans="1:12" x14ac:dyDescent="0.25">
      <c r="A394">
        <v>42899</v>
      </c>
      <c r="B394">
        <v>0.25900000000000001</v>
      </c>
      <c r="C394">
        <v>-0.25900000000000001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-273.10000000000002</v>
      </c>
      <c r="L394">
        <v>8.9999999999999993E-3</v>
      </c>
    </row>
    <row r="395" spans="1:12" x14ac:dyDescent="0.25">
      <c r="A395">
        <v>47902</v>
      </c>
      <c r="B395">
        <v>0.16600000000000001</v>
      </c>
      <c r="C395">
        <v>-0.16600000000000001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-273.10000000000002</v>
      </c>
      <c r="L395">
        <v>3.0000000000000001E-3</v>
      </c>
    </row>
    <row r="396" spans="1:12" x14ac:dyDescent="0.25">
      <c r="A396">
        <v>52906</v>
      </c>
      <c r="B396">
        <v>0.16600000000000001</v>
      </c>
      <c r="C396">
        <v>-0.16600000000000001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-273.10000000000002</v>
      </c>
      <c r="L396">
        <v>-4.0000000000000001E-3</v>
      </c>
    </row>
    <row r="397" spans="1:12" x14ac:dyDescent="0.25">
      <c r="A397">
        <v>57907</v>
      </c>
      <c r="B397">
        <v>0.19600000000000001</v>
      </c>
      <c r="C397">
        <v>-0.19600000000000001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-273.10000000000002</v>
      </c>
      <c r="L397">
        <v>8.9999999999999993E-3</v>
      </c>
    </row>
    <row r="398" spans="1:12" x14ac:dyDescent="0.25">
      <c r="A398">
        <v>62922</v>
      </c>
      <c r="B398">
        <v>0.25900000000000001</v>
      </c>
      <c r="C398">
        <v>-0.25900000000000001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-273.10000000000002</v>
      </c>
      <c r="L398">
        <v>-0.01</v>
      </c>
    </row>
    <row r="399" spans="1:12" x14ac:dyDescent="0.25">
      <c r="A399">
        <v>67937</v>
      </c>
      <c r="B399">
        <v>0.23499999999999999</v>
      </c>
      <c r="C399">
        <v>-0.23499999999999999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-273.10000000000002</v>
      </c>
      <c r="L399">
        <v>1E-3</v>
      </c>
    </row>
    <row r="400" spans="1:12" x14ac:dyDescent="0.25">
      <c r="A400">
        <v>72944</v>
      </c>
      <c r="B400">
        <v>0.16600000000000001</v>
      </c>
      <c r="C400">
        <v>-0.16600000000000001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-273.10000000000002</v>
      </c>
      <c r="L400">
        <v>-1E-3</v>
      </c>
    </row>
    <row r="401" spans="1:12" x14ac:dyDescent="0.25">
      <c r="A401">
        <v>77979</v>
      </c>
      <c r="B401">
        <v>0.161</v>
      </c>
      <c r="C401">
        <v>-0.161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-273.10000000000002</v>
      </c>
      <c r="L401">
        <v>-2.1999999999999999E-2</v>
      </c>
    </row>
    <row r="402" spans="1:12" x14ac:dyDescent="0.25">
      <c r="A402">
        <v>82990</v>
      </c>
      <c r="B402">
        <v>0.17100000000000001</v>
      </c>
      <c r="C402">
        <v>-0.17100000000000001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-273.10000000000002</v>
      </c>
      <c r="L402">
        <v>1.0999999999999999E-2</v>
      </c>
    </row>
    <row r="403" spans="1:12" x14ac:dyDescent="0.25">
      <c r="A403">
        <v>87997</v>
      </c>
      <c r="B403">
        <v>0.16600000000000001</v>
      </c>
      <c r="C403">
        <v>-0.16600000000000001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-273.10000000000002</v>
      </c>
      <c r="L403">
        <v>1.2999999999999999E-2</v>
      </c>
    </row>
    <row r="404" spans="1:12" x14ac:dyDescent="0.25">
      <c r="A404">
        <v>93002</v>
      </c>
      <c r="B404">
        <v>0.24399999999999999</v>
      </c>
      <c r="C404">
        <v>-0.24399999999999999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-273.10000000000002</v>
      </c>
      <c r="L404">
        <v>-2E-3</v>
      </c>
    </row>
    <row r="405" spans="1:12" x14ac:dyDescent="0.25">
      <c r="A405">
        <v>98006</v>
      </c>
      <c r="B405">
        <v>0.20499999999999999</v>
      </c>
      <c r="C405">
        <v>-0.20499999999999999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-273.10000000000002</v>
      </c>
      <c r="L405">
        <v>4.0000000000000001E-3</v>
      </c>
    </row>
    <row r="406" spans="1:12" x14ac:dyDescent="0.25">
      <c r="A406">
        <v>103010</v>
      </c>
      <c r="B406">
        <v>0.16600000000000001</v>
      </c>
      <c r="C406">
        <v>-0.16600000000000001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-273.10000000000002</v>
      </c>
      <c r="L406">
        <v>1.4999999999999999E-2</v>
      </c>
    </row>
    <row r="407" spans="1:12" x14ac:dyDescent="0.25">
      <c r="A407">
        <v>108017</v>
      </c>
      <c r="B407">
        <v>0.215</v>
      </c>
      <c r="C407">
        <v>-0.215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-273.10000000000002</v>
      </c>
      <c r="L407">
        <v>1E-3</v>
      </c>
    </row>
    <row r="408" spans="1:12" x14ac:dyDescent="0.25">
      <c r="A408">
        <v>113023</v>
      </c>
      <c r="B408">
        <v>0.22500000000000001</v>
      </c>
      <c r="C408">
        <v>-0.22500000000000001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-273.10000000000002</v>
      </c>
      <c r="L408">
        <v>2.1999999999999999E-2</v>
      </c>
    </row>
    <row r="409" spans="1:12" x14ac:dyDescent="0.25">
      <c r="A409">
        <v>118058</v>
      </c>
      <c r="B409">
        <v>0.25900000000000001</v>
      </c>
      <c r="C409">
        <v>-0.25900000000000001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-273.10000000000002</v>
      </c>
      <c r="L409">
        <v>3.2000000000000001E-2</v>
      </c>
    </row>
    <row r="410" spans="1:12" x14ac:dyDescent="0.25">
      <c r="A410">
        <v>123061</v>
      </c>
      <c r="B410">
        <v>0.17100000000000001</v>
      </c>
      <c r="C410">
        <v>-0.17100000000000001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-273.10000000000002</v>
      </c>
      <c r="L410">
        <v>1.0999999999999999E-2</v>
      </c>
    </row>
    <row r="411" spans="1:12" x14ac:dyDescent="0.25">
      <c r="A411">
        <v>128074</v>
      </c>
      <c r="B411">
        <v>0.16600000000000001</v>
      </c>
      <c r="C411">
        <v>-0.16600000000000001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-273.10000000000002</v>
      </c>
      <c r="L411">
        <v>7.0000000000000001E-3</v>
      </c>
    </row>
    <row r="412" spans="1:12" x14ac:dyDescent="0.25">
      <c r="A412">
        <v>133083</v>
      </c>
      <c r="B412">
        <v>0.17599999999999999</v>
      </c>
      <c r="C412">
        <v>-0.17599999999999999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-273.10000000000002</v>
      </c>
      <c r="L412">
        <v>1.4E-2</v>
      </c>
    </row>
    <row r="413" spans="1:12" x14ac:dyDescent="0.25">
      <c r="A413">
        <v>138086</v>
      </c>
      <c r="B413">
        <v>0.23899999999999999</v>
      </c>
      <c r="C413">
        <v>-0.23899999999999999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-273.10000000000002</v>
      </c>
      <c r="L413">
        <v>-8.9999999999999993E-3</v>
      </c>
    </row>
    <row r="414" spans="1:12" x14ac:dyDescent="0.25">
      <c r="A414">
        <v>143090</v>
      </c>
      <c r="B414">
        <v>0.17100000000000001</v>
      </c>
      <c r="C414">
        <v>-0.17100000000000001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-273.10000000000002</v>
      </c>
      <c r="L414">
        <v>1.7000000000000001E-2</v>
      </c>
    </row>
    <row r="415" spans="1:12" x14ac:dyDescent="0.25">
      <c r="A415">
        <v>148091</v>
      </c>
      <c r="B415">
        <v>0.161</v>
      </c>
      <c r="C415">
        <v>-0.161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-273.10000000000002</v>
      </c>
      <c r="L415">
        <v>7.0000000000000001E-3</v>
      </c>
    </row>
    <row r="416" spans="1:12" x14ac:dyDescent="0.25">
      <c r="A416">
        <v>153106</v>
      </c>
      <c r="B416">
        <v>0.215</v>
      </c>
      <c r="C416">
        <v>-0.215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-273.10000000000002</v>
      </c>
      <c r="L416">
        <v>1.4E-2</v>
      </c>
    </row>
    <row r="417" spans="1:12" x14ac:dyDescent="0.25">
      <c r="A417">
        <v>158106</v>
      </c>
      <c r="B417">
        <v>0.17599999999999999</v>
      </c>
      <c r="C417">
        <v>-0.17599999999999999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-273.10000000000002</v>
      </c>
      <c r="L417">
        <v>2.1999999999999999E-2</v>
      </c>
    </row>
    <row r="418" spans="1:12" x14ac:dyDescent="0.25">
      <c r="A418">
        <v>163118</v>
      </c>
      <c r="B418">
        <v>0.191</v>
      </c>
      <c r="C418">
        <v>-0.191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-273.10000000000002</v>
      </c>
      <c r="L418">
        <v>1.6E-2</v>
      </c>
    </row>
    <row r="419" spans="1:12" x14ac:dyDescent="0.25">
      <c r="A419">
        <v>168163</v>
      </c>
      <c r="B419">
        <v>0.17100000000000001</v>
      </c>
      <c r="C419">
        <v>-0.17100000000000001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-273.10000000000002</v>
      </c>
      <c r="L419">
        <v>8.0000000000000002E-3</v>
      </c>
    </row>
    <row r="420" spans="1:12" x14ac:dyDescent="0.25">
      <c r="A420">
        <v>173163</v>
      </c>
      <c r="B420">
        <v>0.26900000000000002</v>
      </c>
      <c r="C420">
        <v>-0.26900000000000002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-273.10000000000002</v>
      </c>
      <c r="L420">
        <v>5.0000000000000001E-3</v>
      </c>
    </row>
    <row r="421" spans="1:12" x14ac:dyDescent="0.25">
      <c r="A421">
        <v>178209</v>
      </c>
      <c r="B421">
        <v>0.249</v>
      </c>
      <c r="C421">
        <v>-0.249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-273.10000000000002</v>
      </c>
      <c r="L421">
        <v>1.4E-2</v>
      </c>
    </row>
    <row r="422" spans="1:12" x14ac:dyDescent="0.25">
      <c r="A422">
        <v>183209</v>
      </c>
      <c r="B422">
        <v>0.161</v>
      </c>
      <c r="C422">
        <v>-0.161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-273.10000000000002</v>
      </c>
      <c r="L422">
        <v>4.0000000000000001E-3</v>
      </c>
    </row>
    <row r="423" spans="1:12" x14ac:dyDescent="0.25">
      <c r="A423">
        <v>188216</v>
      </c>
      <c r="B423">
        <v>0.18099999999999999</v>
      </c>
      <c r="C423">
        <v>-0.18099999999999999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-273.10000000000002</v>
      </c>
      <c r="L423">
        <v>-4.0000000000000001E-3</v>
      </c>
    </row>
    <row r="424" spans="1:12" x14ac:dyDescent="0.25">
      <c r="A424">
        <v>193221</v>
      </c>
      <c r="B424">
        <v>0.23899999999999999</v>
      </c>
      <c r="C424">
        <v>-0.23899999999999999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-273.10000000000002</v>
      </c>
      <c r="L424">
        <v>1.2E-2</v>
      </c>
    </row>
    <row r="425" spans="1:12" x14ac:dyDescent="0.25">
      <c r="A425">
        <v>198225</v>
      </c>
      <c r="B425">
        <v>0.16600000000000001</v>
      </c>
      <c r="C425">
        <v>-0.16600000000000001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-273.10000000000002</v>
      </c>
      <c r="L425">
        <v>-8.9999999999999993E-3</v>
      </c>
    </row>
    <row r="426" spans="1:12" x14ac:dyDescent="0.25">
      <c r="A426">
        <v>203229</v>
      </c>
      <c r="B426">
        <v>0.21</v>
      </c>
      <c r="C426">
        <v>-0.21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-273.10000000000002</v>
      </c>
      <c r="L426">
        <v>8.9999999999999993E-3</v>
      </c>
    </row>
    <row r="427" spans="1:12" x14ac:dyDescent="0.25">
      <c r="A427">
        <v>208237</v>
      </c>
      <c r="B427">
        <v>0.161</v>
      </c>
      <c r="C427">
        <v>-0.161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-273.10000000000002</v>
      </c>
      <c r="L427">
        <v>-8.0000000000000002E-3</v>
      </c>
    </row>
    <row r="428" spans="1:12" x14ac:dyDescent="0.25">
      <c r="A428">
        <v>213243</v>
      </c>
      <c r="B428">
        <v>0.17100000000000001</v>
      </c>
      <c r="C428">
        <v>-0.17100000000000001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-273.10000000000002</v>
      </c>
      <c r="L428">
        <v>-3.0000000000000001E-3</v>
      </c>
    </row>
    <row r="429" spans="1:12" x14ac:dyDescent="0.25">
      <c r="A429">
        <v>218278</v>
      </c>
      <c r="B429">
        <v>0.14199999999999999</v>
      </c>
      <c r="C429">
        <v>-0.14199999999999999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-273.10000000000002</v>
      </c>
      <c r="L429">
        <v>1.4999999999999999E-2</v>
      </c>
    </row>
    <row r="430" spans="1:12" x14ac:dyDescent="0.25">
      <c r="A430">
        <v>223289</v>
      </c>
      <c r="B430">
        <v>0.161</v>
      </c>
      <c r="C430">
        <v>-0.161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-273.10000000000002</v>
      </c>
      <c r="L430">
        <v>5.0000000000000001E-3</v>
      </c>
    </row>
    <row r="431" spans="1:12" x14ac:dyDescent="0.25">
      <c r="A431">
        <v>228295</v>
      </c>
      <c r="B431">
        <v>0.23</v>
      </c>
      <c r="C431">
        <v>-0.23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-273.10000000000002</v>
      </c>
      <c r="L431">
        <v>6.0000000000000001E-3</v>
      </c>
    </row>
    <row r="432" spans="1:12" x14ac:dyDescent="0.25">
      <c r="A432">
        <v>233300</v>
      </c>
      <c r="B432">
        <v>0.16600000000000001</v>
      </c>
      <c r="C432">
        <v>-0.16600000000000001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-273.10000000000002</v>
      </c>
      <c r="L432">
        <v>6.0000000000000001E-3</v>
      </c>
    </row>
    <row r="433" spans="1:12" x14ac:dyDescent="0.25">
      <c r="A433">
        <v>238303</v>
      </c>
      <c r="B433">
        <v>0.26400000000000001</v>
      </c>
      <c r="C433">
        <v>-0.26400000000000001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-273.10000000000002</v>
      </c>
      <c r="L433">
        <v>2E-3</v>
      </c>
    </row>
    <row r="434" spans="1:12" x14ac:dyDescent="0.25">
      <c r="A434">
        <v>243307</v>
      </c>
      <c r="B434">
        <v>0.17599999999999999</v>
      </c>
      <c r="C434">
        <v>-0.17599999999999999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-273.10000000000002</v>
      </c>
      <c r="L434">
        <v>3.0000000000000001E-3</v>
      </c>
    </row>
    <row r="435" spans="1:12" x14ac:dyDescent="0.25">
      <c r="A435">
        <v>248308</v>
      </c>
      <c r="B435">
        <v>0.18099999999999999</v>
      </c>
      <c r="C435">
        <v>-0.18099999999999999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-273.10000000000002</v>
      </c>
      <c r="L435">
        <v>-8.9999999999999993E-3</v>
      </c>
    </row>
    <row r="436" spans="1:12" x14ac:dyDescent="0.25">
      <c r="A436">
        <v>253317</v>
      </c>
      <c r="B436">
        <v>0.25900000000000001</v>
      </c>
      <c r="C436">
        <v>-0.25900000000000001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-273.10000000000002</v>
      </c>
      <c r="L436">
        <v>1.0999999999999999E-2</v>
      </c>
    </row>
    <row r="437" spans="1:12" x14ac:dyDescent="0.25">
      <c r="A437">
        <v>258353</v>
      </c>
      <c r="B437">
        <v>0.18099999999999999</v>
      </c>
      <c r="C437">
        <v>-0.18099999999999999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-273.10000000000002</v>
      </c>
      <c r="L437">
        <v>1.4999999999999999E-2</v>
      </c>
    </row>
    <row r="438" spans="1:12" x14ac:dyDescent="0.25">
      <c r="A438">
        <v>263362</v>
      </c>
      <c r="B438">
        <v>0.249</v>
      </c>
      <c r="C438">
        <v>-0.249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-273.10000000000002</v>
      </c>
      <c r="L438">
        <v>-4.0000000000000001E-3</v>
      </c>
    </row>
    <row r="439" spans="1:12" x14ac:dyDescent="0.25">
      <c r="A439">
        <v>268392</v>
      </c>
      <c r="B439">
        <v>0.215</v>
      </c>
      <c r="C439">
        <v>-0.215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-273.10000000000002</v>
      </c>
      <c r="L439">
        <v>7.0000000000000001E-3</v>
      </c>
    </row>
    <row r="440" spans="1:12" x14ac:dyDescent="0.25">
      <c r="A440">
        <v>273395</v>
      </c>
      <c r="B440">
        <v>0.23</v>
      </c>
      <c r="C440">
        <v>-0.23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-273.10000000000002</v>
      </c>
      <c r="L440">
        <v>7.0000000000000001E-3</v>
      </c>
    </row>
    <row r="441" spans="1:12" x14ac:dyDescent="0.25">
      <c r="A441">
        <v>278440</v>
      </c>
      <c r="B441">
        <v>0.156</v>
      </c>
      <c r="C441">
        <v>-0.156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-273.10000000000002</v>
      </c>
      <c r="L441">
        <v>2E-3</v>
      </c>
    </row>
    <row r="442" spans="1:12" x14ac:dyDescent="0.25">
      <c r="A442">
        <v>283451</v>
      </c>
      <c r="B442">
        <v>0.18099999999999999</v>
      </c>
      <c r="C442">
        <v>-0.18099999999999999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-273.10000000000002</v>
      </c>
      <c r="L442">
        <v>0.01</v>
      </c>
    </row>
    <row r="443" spans="1:12" x14ac:dyDescent="0.25">
      <c r="A443">
        <v>288457</v>
      </c>
      <c r="B443">
        <v>0.26400000000000001</v>
      </c>
      <c r="C443">
        <v>-0.26400000000000001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-273.10000000000002</v>
      </c>
      <c r="L443">
        <v>4.0000000000000001E-3</v>
      </c>
    </row>
    <row r="444" spans="1:12" x14ac:dyDescent="0.25">
      <c r="A444">
        <v>293462</v>
      </c>
      <c r="B444">
        <v>0.17100000000000001</v>
      </c>
      <c r="C444">
        <v>-0.17100000000000001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-273.10000000000002</v>
      </c>
      <c r="L444">
        <v>1E-3</v>
      </c>
    </row>
    <row r="445" spans="1:12" x14ac:dyDescent="0.25">
      <c r="A445">
        <v>298465</v>
      </c>
      <c r="B445">
        <v>0.191</v>
      </c>
      <c r="C445">
        <v>-0.191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-273.10000000000002</v>
      </c>
      <c r="L445">
        <v>6.0000000000000001E-3</v>
      </c>
    </row>
    <row r="446" spans="1:12" x14ac:dyDescent="0.25">
      <c r="A446">
        <v>303469</v>
      </c>
      <c r="B446">
        <v>0.13700000000000001</v>
      </c>
      <c r="C446">
        <v>-0.13700000000000001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-273.10000000000002</v>
      </c>
      <c r="L446">
        <v>-6.0000000000000001E-3</v>
      </c>
    </row>
    <row r="447" spans="1:12" x14ac:dyDescent="0.25">
      <c r="A447">
        <v>308476</v>
      </c>
      <c r="B447">
        <v>0.152</v>
      </c>
      <c r="C447">
        <v>-0.152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-273.10000000000002</v>
      </c>
      <c r="L447">
        <v>-0.02</v>
      </c>
    </row>
    <row r="448" spans="1:12" x14ac:dyDescent="0.25">
      <c r="A448">
        <v>313483</v>
      </c>
      <c r="B448">
        <v>0.18099999999999999</v>
      </c>
      <c r="C448">
        <v>-0.18099999999999999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-273.10000000000002</v>
      </c>
      <c r="L448">
        <v>-1.2E-2</v>
      </c>
    </row>
    <row r="449" spans="1:12" x14ac:dyDescent="0.25">
      <c r="A449">
        <v>318518</v>
      </c>
      <c r="B449">
        <v>0.152</v>
      </c>
      <c r="C449">
        <v>-0.152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-273.10000000000002</v>
      </c>
      <c r="L449">
        <v>-0.01</v>
      </c>
    </row>
    <row r="450" spans="1:12" x14ac:dyDescent="0.25">
      <c r="A450">
        <v>323529</v>
      </c>
      <c r="B450">
        <v>0.156</v>
      </c>
      <c r="C450">
        <v>-0.156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-273.10000000000002</v>
      </c>
      <c r="L450">
        <v>1.2E-2</v>
      </c>
    </row>
    <row r="451" spans="1:12" x14ac:dyDescent="0.25">
      <c r="A451">
        <v>328536</v>
      </c>
      <c r="B451">
        <v>0.22500000000000001</v>
      </c>
      <c r="C451">
        <v>-0.22500000000000001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-273.10000000000002</v>
      </c>
      <c r="L451">
        <v>4.0000000000000001E-3</v>
      </c>
    </row>
    <row r="452" spans="1:12" x14ac:dyDescent="0.25">
      <c r="A452">
        <v>333541</v>
      </c>
      <c r="B452">
        <v>0.152</v>
      </c>
      <c r="C452">
        <v>-0.152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-273.10000000000002</v>
      </c>
      <c r="L452">
        <v>-8.9999999999999993E-3</v>
      </c>
    </row>
    <row r="453" spans="1:12" x14ac:dyDescent="0.25">
      <c r="A453">
        <v>338545</v>
      </c>
      <c r="B453">
        <v>0.23899999999999999</v>
      </c>
      <c r="C453">
        <v>-0.23899999999999999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-273.10000000000002</v>
      </c>
      <c r="L453">
        <v>0.01</v>
      </c>
    </row>
    <row r="454" spans="1:12" x14ac:dyDescent="0.25">
      <c r="A454">
        <v>343549</v>
      </c>
      <c r="B454">
        <v>0.186</v>
      </c>
      <c r="C454">
        <v>-0.186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-273.10000000000002</v>
      </c>
      <c r="L454">
        <v>3.0000000000000001E-3</v>
      </c>
    </row>
    <row r="455" spans="1:12" x14ac:dyDescent="0.25">
      <c r="A455">
        <v>348550</v>
      </c>
      <c r="B455">
        <v>0.152</v>
      </c>
      <c r="C455">
        <v>-0.152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-273.10000000000002</v>
      </c>
      <c r="L455">
        <v>-1.7999999999999999E-2</v>
      </c>
    </row>
    <row r="456" spans="1:12" x14ac:dyDescent="0.25">
      <c r="A456">
        <v>353559</v>
      </c>
      <c r="B456">
        <v>0.215</v>
      </c>
      <c r="C456">
        <v>-0.215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-273.10000000000002</v>
      </c>
      <c r="L456">
        <v>1E-3</v>
      </c>
    </row>
    <row r="457" spans="1:12" x14ac:dyDescent="0.25">
      <c r="A457">
        <v>358596</v>
      </c>
      <c r="B457">
        <v>0.156</v>
      </c>
      <c r="C457">
        <v>-0.156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-273.10000000000002</v>
      </c>
      <c r="L457">
        <v>-1.4E-2</v>
      </c>
    </row>
    <row r="458" spans="1:12" x14ac:dyDescent="0.25">
      <c r="A458">
        <v>363603</v>
      </c>
      <c r="B458">
        <v>0.17599999999999999</v>
      </c>
      <c r="C458">
        <v>-0.17599999999999999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-273.10000000000002</v>
      </c>
      <c r="L458">
        <v>-7.0000000000000001E-3</v>
      </c>
    </row>
    <row r="459" spans="1:12" x14ac:dyDescent="0.25">
      <c r="A459">
        <v>368648</v>
      </c>
      <c r="B459">
        <v>0.152</v>
      </c>
      <c r="C459">
        <v>-0.152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-273.10000000000002</v>
      </c>
      <c r="L459">
        <v>1.0999999999999999E-2</v>
      </c>
    </row>
    <row r="460" spans="1:12" x14ac:dyDescent="0.25">
      <c r="A460">
        <v>373654</v>
      </c>
      <c r="B460">
        <v>0.24399999999999999</v>
      </c>
      <c r="C460">
        <v>-0.24399999999999999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-273.10000000000002</v>
      </c>
      <c r="L460">
        <v>-4.0000000000000001E-3</v>
      </c>
    </row>
    <row r="461" spans="1:12" x14ac:dyDescent="0.25">
      <c r="A461">
        <v>378694</v>
      </c>
      <c r="B461">
        <v>0.22500000000000001</v>
      </c>
      <c r="C461">
        <v>-0.22500000000000001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-273.10000000000002</v>
      </c>
      <c r="L461">
        <v>-1.9E-2</v>
      </c>
    </row>
    <row r="462" spans="1:12" x14ac:dyDescent="0.25">
      <c r="A462">
        <v>383705</v>
      </c>
      <c r="B462">
        <v>0.22</v>
      </c>
      <c r="C462">
        <v>-0.22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-273.10000000000002</v>
      </c>
      <c r="L462">
        <v>-1.2E-2</v>
      </c>
    </row>
    <row r="463" spans="1:12" x14ac:dyDescent="0.25">
      <c r="A463">
        <v>388711</v>
      </c>
      <c r="B463">
        <v>0.23499999999999999</v>
      </c>
      <c r="C463">
        <v>-0.23499999999999999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-273.10000000000002</v>
      </c>
      <c r="L463">
        <v>-3.3000000000000002E-2</v>
      </c>
    </row>
    <row r="464" spans="1:12" x14ac:dyDescent="0.25">
      <c r="A464">
        <v>393716</v>
      </c>
      <c r="B464">
        <v>0.156</v>
      </c>
      <c r="C464">
        <v>-0.156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-273.10000000000002</v>
      </c>
      <c r="L464">
        <v>3.0000000000000001E-3</v>
      </c>
    </row>
    <row r="465" spans="1:12" x14ac:dyDescent="0.25">
      <c r="A465">
        <v>398720</v>
      </c>
      <c r="B465">
        <v>0.23899999999999999</v>
      </c>
      <c r="C465">
        <v>-0.23899999999999999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-273.10000000000002</v>
      </c>
      <c r="L465">
        <v>-1.2999999999999999E-2</v>
      </c>
    </row>
    <row r="466" spans="1:12" x14ac:dyDescent="0.25">
      <c r="A466">
        <v>403725</v>
      </c>
      <c r="B466">
        <v>0.2</v>
      </c>
      <c r="C466">
        <v>-0.2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-273.10000000000002</v>
      </c>
      <c r="L466">
        <v>-2.3E-2</v>
      </c>
    </row>
    <row r="467" spans="1:12" x14ac:dyDescent="0.25">
      <c r="A467">
        <v>408734</v>
      </c>
      <c r="B467">
        <v>0.21</v>
      </c>
      <c r="C467">
        <v>-0.21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-273.10000000000002</v>
      </c>
      <c r="L467">
        <v>-1E-3</v>
      </c>
    </row>
    <row r="468" spans="1:12" x14ac:dyDescent="0.25">
      <c r="A468">
        <v>413740</v>
      </c>
      <c r="B468">
        <v>0.152</v>
      </c>
      <c r="C468">
        <v>-0.152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-273.10000000000002</v>
      </c>
      <c r="L468">
        <v>4.0000000000000001E-3</v>
      </c>
    </row>
    <row r="469" spans="1:12" x14ac:dyDescent="0.25">
      <c r="A469">
        <v>418775</v>
      </c>
      <c r="B469">
        <v>0.14699999999999999</v>
      </c>
      <c r="C469">
        <v>-0.14699999999999999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-273.10000000000002</v>
      </c>
      <c r="L469">
        <v>-8.9999999999999993E-3</v>
      </c>
    </row>
    <row r="470" spans="1:12" x14ac:dyDescent="0.25">
      <c r="A470">
        <v>423786</v>
      </c>
      <c r="B470">
        <v>0.14699999999999999</v>
      </c>
      <c r="C470">
        <v>-0.14699999999999999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-273.10000000000002</v>
      </c>
      <c r="L470">
        <v>-1.0999999999999999E-2</v>
      </c>
    </row>
    <row r="471" spans="1:12" x14ac:dyDescent="0.25">
      <c r="A471">
        <v>428793</v>
      </c>
      <c r="B471">
        <v>0.14699999999999999</v>
      </c>
      <c r="C471">
        <v>-0.14699999999999999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-273.10000000000002</v>
      </c>
      <c r="L471">
        <v>-1.4999999999999999E-2</v>
      </c>
    </row>
    <row r="472" spans="1:12" x14ac:dyDescent="0.25">
      <c r="A472">
        <v>433798</v>
      </c>
      <c r="B472">
        <v>0.23899999999999999</v>
      </c>
      <c r="C472">
        <v>-0.23899999999999999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-273.10000000000002</v>
      </c>
      <c r="L472">
        <v>1.4999999999999999E-2</v>
      </c>
    </row>
    <row r="473" spans="1:12" x14ac:dyDescent="0.25">
      <c r="A473">
        <v>438802</v>
      </c>
      <c r="B473">
        <v>0.17599999999999999</v>
      </c>
      <c r="C473">
        <v>-0.17599999999999999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-273.10000000000002</v>
      </c>
      <c r="L473">
        <v>1E-3</v>
      </c>
    </row>
    <row r="474" spans="1:12" x14ac:dyDescent="0.25">
      <c r="A474">
        <v>443807</v>
      </c>
      <c r="B474">
        <v>0.152</v>
      </c>
      <c r="C474">
        <v>-0.152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-273.10000000000002</v>
      </c>
      <c r="L474">
        <v>-8.0000000000000002E-3</v>
      </c>
    </row>
    <row r="475" spans="1:12" x14ac:dyDescent="0.25">
      <c r="A475">
        <v>448817</v>
      </c>
      <c r="B475">
        <v>0.23499999999999999</v>
      </c>
      <c r="C475">
        <v>-0.23499999999999999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-273.10000000000002</v>
      </c>
      <c r="L475">
        <v>-3.0000000000000001E-3</v>
      </c>
    </row>
    <row r="476" spans="1:12" x14ac:dyDescent="0.25">
      <c r="A476">
        <v>453823</v>
      </c>
      <c r="B476">
        <v>0.152</v>
      </c>
      <c r="C476">
        <v>-0.152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-273.10000000000002</v>
      </c>
      <c r="L476">
        <v>-6.0000000000000001E-3</v>
      </c>
    </row>
    <row r="477" spans="1:12" x14ac:dyDescent="0.25">
      <c r="A477">
        <v>458859</v>
      </c>
      <c r="B477">
        <v>0.156</v>
      </c>
      <c r="C477">
        <v>-0.156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-273.10000000000002</v>
      </c>
      <c r="L477">
        <v>7.0000000000000001E-3</v>
      </c>
    </row>
    <row r="478" spans="1:12" x14ac:dyDescent="0.25">
      <c r="A478">
        <v>463859</v>
      </c>
      <c r="B478">
        <v>0.23899999999999999</v>
      </c>
      <c r="C478">
        <v>-0.23899999999999999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-273.10000000000002</v>
      </c>
      <c r="L478">
        <v>2.1000000000000001E-2</v>
      </c>
    </row>
    <row r="479" spans="1:12" x14ac:dyDescent="0.25">
      <c r="A479">
        <v>468904</v>
      </c>
      <c r="B479">
        <v>0.14699999999999999</v>
      </c>
      <c r="C479">
        <v>-0.14699999999999999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-273.10000000000002</v>
      </c>
      <c r="L479">
        <v>0</v>
      </c>
    </row>
    <row r="480" spans="1:12" x14ac:dyDescent="0.25">
      <c r="A480">
        <v>473906</v>
      </c>
      <c r="B480">
        <v>0.24399999999999999</v>
      </c>
      <c r="C480">
        <v>-0.24399999999999999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-273.10000000000002</v>
      </c>
      <c r="L480">
        <v>1.2E-2</v>
      </c>
    </row>
    <row r="481" spans="1:12" x14ac:dyDescent="0.25">
      <c r="A481">
        <v>478913</v>
      </c>
      <c r="B481">
        <v>0.215</v>
      </c>
      <c r="C481">
        <v>-0.215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-273.10000000000002</v>
      </c>
      <c r="L481">
        <v>3.0000000000000001E-3</v>
      </c>
    </row>
    <row r="482" spans="1:12" x14ac:dyDescent="0.25">
      <c r="A482">
        <v>483918</v>
      </c>
      <c r="B482">
        <v>0.156</v>
      </c>
      <c r="C482">
        <v>-0.156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-273.10000000000002</v>
      </c>
      <c r="L482">
        <v>3.0000000000000001E-3</v>
      </c>
    </row>
    <row r="483" spans="1:12" x14ac:dyDescent="0.25">
      <c r="A483">
        <v>488925</v>
      </c>
      <c r="B483">
        <v>0.17100000000000001</v>
      </c>
      <c r="C483">
        <v>-0.17100000000000001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-273.10000000000002</v>
      </c>
      <c r="L483">
        <v>-1.4999999999999999E-2</v>
      </c>
    </row>
    <row r="484" spans="1:12" x14ac:dyDescent="0.25">
      <c r="A484">
        <v>493934</v>
      </c>
      <c r="B484">
        <v>0.21</v>
      </c>
      <c r="C484">
        <v>-0.21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-273.10000000000002</v>
      </c>
      <c r="L484">
        <v>-3.0000000000000001E-3</v>
      </c>
    </row>
    <row r="485" spans="1:12" x14ac:dyDescent="0.25">
      <c r="A485">
        <v>498937</v>
      </c>
      <c r="B485">
        <v>0.21</v>
      </c>
      <c r="C485">
        <v>-0.21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-273.10000000000002</v>
      </c>
      <c r="L485">
        <v>0.01</v>
      </c>
    </row>
    <row r="486" spans="1:12" x14ac:dyDescent="0.25">
      <c r="A486">
        <v>503952</v>
      </c>
      <c r="B486">
        <v>0.24399999999999999</v>
      </c>
      <c r="C486">
        <v>-0.24399999999999999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-273.10000000000002</v>
      </c>
      <c r="L486">
        <v>7.0000000000000001E-3</v>
      </c>
    </row>
    <row r="487" spans="1:12" x14ac:dyDescent="0.25">
      <c r="A487">
        <v>508955</v>
      </c>
      <c r="B487">
        <v>0.14699999999999999</v>
      </c>
      <c r="C487">
        <v>-0.14699999999999999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-273.10000000000002</v>
      </c>
      <c r="L487">
        <v>1.7999999999999999E-2</v>
      </c>
    </row>
    <row r="488" spans="1:12" x14ac:dyDescent="0.25">
      <c r="A488">
        <v>513967</v>
      </c>
      <c r="B488">
        <v>0.18099999999999999</v>
      </c>
      <c r="C488">
        <v>-0.18099999999999999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-273.10000000000002</v>
      </c>
      <c r="L488">
        <v>1.7000000000000001E-2</v>
      </c>
    </row>
    <row r="489" spans="1:12" x14ac:dyDescent="0.25">
      <c r="A489">
        <v>519012</v>
      </c>
      <c r="B489">
        <v>0.161</v>
      </c>
      <c r="C489">
        <v>-0.161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-273.10000000000002</v>
      </c>
      <c r="L489">
        <v>1.9E-2</v>
      </c>
    </row>
    <row r="490" spans="1:12" x14ac:dyDescent="0.25">
      <c r="A490">
        <v>524023</v>
      </c>
      <c r="B490">
        <v>0.16600000000000001</v>
      </c>
      <c r="C490">
        <v>-0.16600000000000001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-273.10000000000002</v>
      </c>
      <c r="L490">
        <v>0.01</v>
      </c>
    </row>
    <row r="491" spans="1:12" x14ac:dyDescent="0.25">
      <c r="A491">
        <v>529030</v>
      </c>
      <c r="B491">
        <v>0.152</v>
      </c>
      <c r="C491">
        <v>-0.152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-273.10000000000002</v>
      </c>
      <c r="L491">
        <v>1.7000000000000001E-2</v>
      </c>
    </row>
    <row r="492" spans="1:12" x14ac:dyDescent="0.25">
      <c r="A492">
        <v>534035</v>
      </c>
      <c r="B492">
        <v>0.22</v>
      </c>
      <c r="C492">
        <v>-0.22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-273.10000000000002</v>
      </c>
      <c r="L492">
        <v>0</v>
      </c>
    </row>
    <row r="493" spans="1:12" x14ac:dyDescent="0.25">
      <c r="A493">
        <v>539043</v>
      </c>
      <c r="B493">
        <v>0.24399999999999999</v>
      </c>
      <c r="C493">
        <v>-0.24399999999999999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-273.10000000000002</v>
      </c>
      <c r="L493">
        <v>2.8000000000000001E-2</v>
      </c>
    </row>
    <row r="494" spans="1:12" x14ac:dyDescent="0.25">
      <c r="A494">
        <v>544051</v>
      </c>
      <c r="B494">
        <v>0.17599999999999999</v>
      </c>
      <c r="C494">
        <v>-0.17599999999999999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-273.10000000000002</v>
      </c>
      <c r="L494">
        <v>1.2E-2</v>
      </c>
    </row>
    <row r="495" spans="1:12" x14ac:dyDescent="0.25">
      <c r="A495">
        <v>549054</v>
      </c>
      <c r="B495">
        <v>0.14699999999999999</v>
      </c>
      <c r="C495">
        <v>-0.14699999999999999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-273.10000000000002</v>
      </c>
      <c r="L495">
        <v>5.3999999999999999E-2</v>
      </c>
    </row>
    <row r="496" spans="1:12" x14ac:dyDescent="0.25">
      <c r="A496">
        <v>554068</v>
      </c>
      <c r="B496">
        <v>0.156</v>
      </c>
      <c r="C496">
        <v>-0.156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-273.10000000000002</v>
      </c>
      <c r="L496">
        <v>6.0000000000000001E-3</v>
      </c>
    </row>
    <row r="497" spans="1:12" x14ac:dyDescent="0.25">
      <c r="A497">
        <v>559069</v>
      </c>
      <c r="B497">
        <v>0.23899999999999999</v>
      </c>
      <c r="C497">
        <v>-0.23899999999999999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-273.10000000000002</v>
      </c>
      <c r="L497">
        <v>7.0000000000000001E-3</v>
      </c>
    </row>
    <row r="498" spans="1:12" x14ac:dyDescent="0.25">
      <c r="A498">
        <v>564078</v>
      </c>
      <c r="B498">
        <v>0.22</v>
      </c>
      <c r="C498">
        <v>-0.22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-273.10000000000002</v>
      </c>
      <c r="L498">
        <v>-1E-3</v>
      </c>
    </row>
    <row r="499" spans="1:12" x14ac:dyDescent="0.25">
      <c r="A499">
        <v>569109</v>
      </c>
      <c r="B499">
        <v>0.156</v>
      </c>
      <c r="C499">
        <v>-0.156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-273.10000000000002</v>
      </c>
      <c r="L499">
        <v>1.2999999999999999E-2</v>
      </c>
    </row>
    <row r="500" spans="1:12" x14ac:dyDescent="0.25">
      <c r="A500">
        <v>574111</v>
      </c>
      <c r="B500">
        <v>0.20499999999999999</v>
      </c>
      <c r="C500">
        <v>-0.20499999999999999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-273.10000000000002</v>
      </c>
      <c r="L500">
        <v>-2E-3</v>
      </c>
    </row>
    <row r="501" spans="1:12" x14ac:dyDescent="0.25">
      <c r="A501">
        <v>579156</v>
      </c>
      <c r="B501">
        <v>0.191</v>
      </c>
      <c r="C501">
        <v>-0.191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-273.10000000000002</v>
      </c>
      <c r="L501">
        <v>8.9999999999999993E-3</v>
      </c>
    </row>
    <row r="502" spans="1:12" x14ac:dyDescent="0.25">
      <c r="A502">
        <v>584167</v>
      </c>
      <c r="B502">
        <v>0.21</v>
      </c>
      <c r="C502">
        <v>-0.21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-273.10000000000002</v>
      </c>
      <c r="L502">
        <v>-6.0000000000000001E-3</v>
      </c>
    </row>
    <row r="503" spans="1:12" x14ac:dyDescent="0.25">
      <c r="A503">
        <v>589173</v>
      </c>
      <c r="B503">
        <v>0.156</v>
      </c>
      <c r="C503">
        <v>-0.156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-273.10000000000002</v>
      </c>
      <c r="L503">
        <v>0.01</v>
      </c>
    </row>
    <row r="504" spans="1:12" x14ac:dyDescent="0.25">
      <c r="A504">
        <v>594178</v>
      </c>
      <c r="B504">
        <v>0.191</v>
      </c>
      <c r="C504">
        <v>-0.191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-273.10000000000002</v>
      </c>
      <c r="L504">
        <v>8.0000000000000002E-3</v>
      </c>
    </row>
    <row r="505" spans="1:12" x14ac:dyDescent="0.25">
      <c r="A505">
        <v>599181</v>
      </c>
      <c r="B505">
        <v>0.127</v>
      </c>
      <c r="C505">
        <v>-0.127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-273.10000000000002</v>
      </c>
      <c r="L505">
        <v>1.9E-2</v>
      </c>
    </row>
    <row r="506" spans="1:12" x14ac:dyDescent="0.25">
      <c r="A506">
        <v>604185</v>
      </c>
      <c r="B506">
        <v>0.186</v>
      </c>
      <c r="C506">
        <v>-0.186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-273.10000000000002</v>
      </c>
      <c r="L506">
        <v>2.3E-2</v>
      </c>
    </row>
    <row r="507" spans="1:12" x14ac:dyDescent="0.25">
      <c r="A507">
        <v>609194</v>
      </c>
      <c r="B507">
        <v>0.152</v>
      </c>
      <c r="C507">
        <v>-0.152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-273.10000000000002</v>
      </c>
      <c r="L507">
        <v>0.02</v>
      </c>
    </row>
    <row r="508" spans="1:12" x14ac:dyDescent="0.25">
      <c r="A508">
        <v>614200</v>
      </c>
      <c r="B508">
        <v>0.14699999999999999</v>
      </c>
      <c r="C508">
        <v>-0.14699999999999999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-273.10000000000002</v>
      </c>
      <c r="L508">
        <v>7.0000000000000001E-3</v>
      </c>
    </row>
    <row r="509" spans="1:12" x14ac:dyDescent="0.25">
      <c r="A509">
        <v>7728</v>
      </c>
      <c r="B509">
        <v>0</v>
      </c>
      <c r="C509">
        <v>-0.22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-0.22</v>
      </c>
      <c r="K509">
        <v>-273.10000000000002</v>
      </c>
      <c r="L509">
        <v>-1.2999999999999999E-2</v>
      </c>
    </row>
    <row r="510" spans="1:12" x14ac:dyDescent="0.25">
      <c r="A510">
        <v>12736</v>
      </c>
      <c r="B510">
        <v>0.14699999999999999</v>
      </c>
      <c r="C510">
        <v>-0.14699999999999999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-273.10000000000002</v>
      </c>
      <c r="L510">
        <v>-1.7000000000000001E-2</v>
      </c>
    </row>
    <row r="511" spans="1:12" x14ac:dyDescent="0.25">
      <c r="A511">
        <v>17767</v>
      </c>
      <c r="B511">
        <v>0.19600000000000001</v>
      </c>
      <c r="C511">
        <v>-0.19600000000000001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-273.10000000000002</v>
      </c>
      <c r="L511">
        <v>-1.2999999999999999E-2</v>
      </c>
    </row>
    <row r="512" spans="1:12" x14ac:dyDescent="0.25">
      <c r="A512">
        <v>22772</v>
      </c>
      <c r="B512">
        <v>0.19600000000000001</v>
      </c>
      <c r="C512">
        <v>-0.19600000000000001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-273.10000000000002</v>
      </c>
      <c r="L512">
        <v>-1.7999999999999999E-2</v>
      </c>
    </row>
    <row r="513" spans="1:12" x14ac:dyDescent="0.25">
      <c r="A513">
        <v>27820</v>
      </c>
      <c r="B513">
        <v>0.17100000000000001</v>
      </c>
      <c r="C513">
        <v>-0.17100000000000001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-273.10000000000002</v>
      </c>
      <c r="L513">
        <v>-2.8000000000000001E-2</v>
      </c>
    </row>
    <row r="514" spans="1:12" x14ac:dyDescent="0.25">
      <c r="A514">
        <v>32823</v>
      </c>
      <c r="B514">
        <v>0.215</v>
      </c>
      <c r="C514">
        <v>-0.215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-273.10000000000002</v>
      </c>
      <c r="L514">
        <v>-6.0000000000000001E-3</v>
      </c>
    </row>
    <row r="515" spans="1:12" x14ac:dyDescent="0.25">
      <c r="A515">
        <v>37869</v>
      </c>
      <c r="B515">
        <v>0.17599999999999999</v>
      </c>
      <c r="C515">
        <v>-0.17599999999999999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-273.10000000000002</v>
      </c>
      <c r="L515">
        <v>-8.9999999999999993E-3</v>
      </c>
    </row>
    <row r="516" spans="1:12" x14ac:dyDescent="0.25">
      <c r="A516">
        <v>42870</v>
      </c>
      <c r="B516">
        <v>0.13200000000000001</v>
      </c>
      <c r="C516">
        <v>-0.13200000000000001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-273.10000000000002</v>
      </c>
      <c r="L516">
        <v>-2.9000000000000001E-2</v>
      </c>
    </row>
    <row r="517" spans="1:12" x14ac:dyDescent="0.25">
      <c r="A517">
        <v>47914</v>
      </c>
      <c r="B517">
        <v>0.313</v>
      </c>
      <c r="C517">
        <v>-0.313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-273.10000000000002</v>
      </c>
      <c r="L517">
        <v>-0.02</v>
      </c>
    </row>
    <row r="518" spans="1:12" x14ac:dyDescent="0.25">
      <c r="A518">
        <v>52917</v>
      </c>
      <c r="B518">
        <v>0.36199999999999999</v>
      </c>
      <c r="C518">
        <v>-0.36199999999999999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-273.10000000000002</v>
      </c>
      <c r="L518">
        <v>-8.0000000000000002E-3</v>
      </c>
    </row>
    <row r="519" spans="1:12" x14ac:dyDescent="0.25">
      <c r="A519">
        <v>57924</v>
      </c>
      <c r="B519">
        <v>0.38600000000000001</v>
      </c>
      <c r="C519">
        <v>-0.38600000000000001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-273.10000000000002</v>
      </c>
      <c r="L519">
        <v>8.9999999999999993E-3</v>
      </c>
    </row>
    <row r="520" spans="1:12" x14ac:dyDescent="0.25">
      <c r="A520">
        <v>62931</v>
      </c>
      <c r="B520">
        <v>0.39100000000000001</v>
      </c>
      <c r="C520">
        <v>-0.39100000000000001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-273.10000000000002</v>
      </c>
      <c r="L520">
        <v>-2.1999999999999999E-2</v>
      </c>
    </row>
    <row r="521" spans="1:12" x14ac:dyDescent="0.25">
      <c r="A521">
        <v>67940</v>
      </c>
      <c r="B521">
        <v>0.40600000000000003</v>
      </c>
      <c r="C521">
        <v>-0.40600000000000003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-273.10000000000002</v>
      </c>
      <c r="L521">
        <v>3.2000000000000001E-2</v>
      </c>
    </row>
    <row r="522" spans="1:12" x14ac:dyDescent="0.25">
      <c r="A522">
        <v>72946</v>
      </c>
      <c r="B522">
        <v>0.41499999999999998</v>
      </c>
      <c r="C522">
        <v>-0.41499999999999998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-273.10000000000002</v>
      </c>
      <c r="L522">
        <v>-2.3E-2</v>
      </c>
    </row>
    <row r="523" spans="1:12" x14ac:dyDescent="0.25">
      <c r="A523">
        <v>77955</v>
      </c>
      <c r="B523">
        <v>0.40100000000000002</v>
      </c>
      <c r="C523">
        <v>-0.40100000000000002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-273.10000000000002</v>
      </c>
      <c r="L523">
        <v>-2.1000000000000001E-2</v>
      </c>
    </row>
    <row r="524" spans="1:12" x14ac:dyDescent="0.25">
      <c r="A524">
        <v>82963</v>
      </c>
      <c r="B524">
        <v>0.42499999999999999</v>
      </c>
      <c r="C524">
        <v>-0.42499999999999999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-273.10000000000002</v>
      </c>
      <c r="L524">
        <v>-0.03</v>
      </c>
    </row>
    <row r="525" spans="1:12" x14ac:dyDescent="0.25">
      <c r="A525">
        <v>87966</v>
      </c>
      <c r="B525">
        <v>0.41099999999999998</v>
      </c>
      <c r="C525">
        <v>-0.41099999999999998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-273.10000000000002</v>
      </c>
      <c r="L525">
        <v>-4.8000000000000001E-2</v>
      </c>
    </row>
    <row r="526" spans="1:12" x14ac:dyDescent="0.25">
      <c r="A526">
        <v>92980</v>
      </c>
      <c r="B526">
        <v>0.39100000000000001</v>
      </c>
      <c r="C526">
        <v>-0.39100000000000001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-273.10000000000002</v>
      </c>
      <c r="L526">
        <v>-2.4E-2</v>
      </c>
    </row>
    <row r="527" spans="1:12" x14ac:dyDescent="0.25">
      <c r="A527">
        <v>98026</v>
      </c>
      <c r="B527">
        <v>0.42499999999999999</v>
      </c>
      <c r="C527">
        <v>-0.42499999999999999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-273.10000000000002</v>
      </c>
      <c r="L527">
        <v>-2.9000000000000001E-2</v>
      </c>
    </row>
    <row r="528" spans="1:12" x14ac:dyDescent="0.25">
      <c r="A528">
        <v>103034</v>
      </c>
      <c r="B528">
        <v>0.39100000000000001</v>
      </c>
      <c r="C528">
        <v>-0.39100000000000001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-273.10000000000002</v>
      </c>
      <c r="L528">
        <v>-3.4000000000000002E-2</v>
      </c>
    </row>
    <row r="529" spans="1:12" x14ac:dyDescent="0.25">
      <c r="A529">
        <v>108047</v>
      </c>
      <c r="B529">
        <v>0.41499999999999998</v>
      </c>
      <c r="C529">
        <v>-0.41499999999999998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-273.10000000000002</v>
      </c>
      <c r="L529">
        <v>-2.1999999999999999E-2</v>
      </c>
    </row>
    <row r="530" spans="1:12" x14ac:dyDescent="0.25">
      <c r="A530">
        <v>113056</v>
      </c>
      <c r="B530">
        <v>0.41499999999999998</v>
      </c>
      <c r="C530">
        <v>-0.41499999999999998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-273.10000000000002</v>
      </c>
      <c r="L530">
        <v>-3.5000000000000003E-2</v>
      </c>
    </row>
    <row r="531" spans="1:12" x14ac:dyDescent="0.25">
      <c r="A531">
        <v>118062</v>
      </c>
      <c r="B531">
        <v>0.39600000000000002</v>
      </c>
      <c r="C531">
        <v>-0.39600000000000002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-273.10000000000002</v>
      </c>
      <c r="L531">
        <v>8.0000000000000002E-3</v>
      </c>
    </row>
    <row r="532" spans="1:12" x14ac:dyDescent="0.25">
      <c r="A532">
        <v>123066</v>
      </c>
      <c r="B532">
        <v>0.41499999999999998</v>
      </c>
      <c r="C532">
        <v>-0.41499999999999998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-273.10000000000002</v>
      </c>
      <c r="L532">
        <v>-4.4999999999999998E-2</v>
      </c>
    </row>
    <row r="533" spans="1:12" x14ac:dyDescent="0.25">
      <c r="A533">
        <v>128073</v>
      </c>
      <c r="B533">
        <v>0.39600000000000002</v>
      </c>
      <c r="C533">
        <v>-0.39600000000000002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-273.10000000000002</v>
      </c>
      <c r="L533">
        <v>1.4E-2</v>
      </c>
    </row>
    <row r="534" spans="1:12" x14ac:dyDescent="0.25">
      <c r="A534">
        <v>133081</v>
      </c>
      <c r="B534">
        <v>0.42499999999999999</v>
      </c>
      <c r="C534">
        <v>-0.42499999999999999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-273.10000000000002</v>
      </c>
      <c r="L534">
        <v>-4.8000000000000001E-2</v>
      </c>
    </row>
    <row r="535" spans="1:12" x14ac:dyDescent="0.25">
      <c r="A535">
        <v>138092</v>
      </c>
      <c r="B535">
        <v>0.39600000000000002</v>
      </c>
      <c r="C535">
        <v>-0.39600000000000002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-273.10000000000002</v>
      </c>
      <c r="L535">
        <v>-1.7000000000000001E-2</v>
      </c>
    </row>
    <row r="536" spans="1:12" x14ac:dyDescent="0.25">
      <c r="A536">
        <v>143093</v>
      </c>
      <c r="B536">
        <v>0.43</v>
      </c>
      <c r="C536">
        <v>-0.43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-273.10000000000002</v>
      </c>
      <c r="L536">
        <v>-5.7000000000000002E-2</v>
      </c>
    </row>
    <row r="537" spans="1:12" x14ac:dyDescent="0.25">
      <c r="A537">
        <v>148122</v>
      </c>
      <c r="B537">
        <v>0.40100000000000002</v>
      </c>
      <c r="C537">
        <v>-0.40100000000000002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-273.10000000000002</v>
      </c>
      <c r="L537">
        <v>-3.6999999999999998E-2</v>
      </c>
    </row>
    <row r="538" spans="1:12" x14ac:dyDescent="0.25">
      <c r="A538">
        <v>153126</v>
      </c>
      <c r="B538">
        <v>0.42</v>
      </c>
      <c r="C538">
        <v>-0.42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-273.10000000000002</v>
      </c>
      <c r="L538">
        <v>-3.9E-2</v>
      </c>
    </row>
    <row r="539" spans="1:12" x14ac:dyDescent="0.25">
      <c r="A539">
        <v>158172</v>
      </c>
      <c r="B539">
        <v>0.43</v>
      </c>
      <c r="C539">
        <v>-0.43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-273.10000000000002</v>
      </c>
      <c r="L539">
        <v>-5.0999999999999997E-2</v>
      </c>
    </row>
    <row r="540" spans="1:12" x14ac:dyDescent="0.25">
      <c r="A540">
        <v>163185</v>
      </c>
      <c r="B540">
        <v>0.43</v>
      </c>
      <c r="C540">
        <v>-0.43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-273.10000000000002</v>
      </c>
      <c r="L540">
        <v>-5.5E-2</v>
      </c>
    </row>
    <row r="541" spans="1:12" x14ac:dyDescent="0.25">
      <c r="A541">
        <v>168200</v>
      </c>
      <c r="B541">
        <v>0.39600000000000002</v>
      </c>
      <c r="C541">
        <v>-0.39600000000000002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-273.10000000000002</v>
      </c>
      <c r="L541">
        <v>-8.0000000000000002E-3</v>
      </c>
    </row>
    <row r="542" spans="1:12" x14ac:dyDescent="0.25">
      <c r="A542">
        <v>173208</v>
      </c>
      <c r="B542">
        <v>0.42</v>
      </c>
      <c r="C542">
        <v>-0.42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-273.10000000000002</v>
      </c>
      <c r="L542">
        <v>-5.1999999999999998E-2</v>
      </c>
    </row>
    <row r="543" spans="1:12" x14ac:dyDescent="0.25">
      <c r="A543">
        <v>178213</v>
      </c>
      <c r="B543">
        <v>0.39100000000000001</v>
      </c>
      <c r="C543">
        <v>-0.39100000000000001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-273.10000000000002</v>
      </c>
      <c r="L543">
        <v>1E-3</v>
      </c>
    </row>
    <row r="544" spans="1:12" x14ac:dyDescent="0.25">
      <c r="A544">
        <v>183218</v>
      </c>
      <c r="B544">
        <v>0.42499999999999999</v>
      </c>
      <c r="C544">
        <v>-0.42499999999999999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-273.10000000000002</v>
      </c>
      <c r="L544">
        <v>-3.5000000000000003E-2</v>
      </c>
    </row>
    <row r="545" spans="1:12" x14ac:dyDescent="0.25">
      <c r="A545">
        <v>188227</v>
      </c>
      <c r="B545">
        <v>0.42</v>
      </c>
      <c r="C545">
        <v>-0.42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-273.10000000000002</v>
      </c>
      <c r="L545">
        <v>-4.2000000000000003E-2</v>
      </c>
    </row>
    <row r="546" spans="1:12" x14ac:dyDescent="0.25">
      <c r="A546">
        <v>193235</v>
      </c>
      <c r="B546">
        <v>0.40100000000000002</v>
      </c>
      <c r="C546">
        <v>-0.40100000000000002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-273.10000000000002</v>
      </c>
      <c r="L546">
        <v>-5.2999999999999999E-2</v>
      </c>
    </row>
    <row r="547" spans="1:12" x14ac:dyDescent="0.25">
      <c r="A547">
        <v>198251</v>
      </c>
      <c r="B547">
        <v>0.42499999999999999</v>
      </c>
      <c r="C547">
        <v>-0.42499999999999999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-273.10000000000002</v>
      </c>
      <c r="L547">
        <v>-0.04</v>
      </c>
    </row>
    <row r="548" spans="1:12" x14ac:dyDescent="0.25">
      <c r="A548">
        <v>203263</v>
      </c>
      <c r="B548">
        <v>0.42499999999999999</v>
      </c>
      <c r="C548">
        <v>-0.42499999999999999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-273.10000000000002</v>
      </c>
      <c r="L548">
        <v>-3.3000000000000002E-2</v>
      </c>
    </row>
    <row r="549" spans="1:12" x14ac:dyDescent="0.25">
      <c r="A549">
        <v>208276</v>
      </c>
      <c r="B549">
        <v>0.39600000000000002</v>
      </c>
      <c r="C549">
        <v>-0.39600000000000002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-273.10000000000002</v>
      </c>
      <c r="L549">
        <v>-3.7999999999999999E-2</v>
      </c>
    </row>
    <row r="550" spans="1:12" x14ac:dyDescent="0.25">
      <c r="A550">
        <v>213285</v>
      </c>
      <c r="B550">
        <v>0.40600000000000003</v>
      </c>
      <c r="C550">
        <v>-0.40600000000000003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-273.10000000000002</v>
      </c>
      <c r="L550">
        <v>-6.0999999999999999E-2</v>
      </c>
    </row>
    <row r="551" spans="1:12" x14ac:dyDescent="0.25">
      <c r="A551">
        <v>218290</v>
      </c>
      <c r="B551">
        <v>0.40100000000000002</v>
      </c>
      <c r="C551">
        <v>-0.40100000000000002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-273.10000000000002</v>
      </c>
      <c r="L551">
        <v>-3.4000000000000002E-2</v>
      </c>
    </row>
    <row r="552" spans="1:12" x14ac:dyDescent="0.25">
      <c r="A552">
        <v>223295</v>
      </c>
      <c r="B552">
        <v>0.42</v>
      </c>
      <c r="C552">
        <v>-0.42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-273.10000000000002</v>
      </c>
      <c r="L552">
        <v>-4.8000000000000001E-2</v>
      </c>
    </row>
    <row r="553" spans="1:12" x14ac:dyDescent="0.25">
      <c r="A553">
        <v>228296</v>
      </c>
      <c r="B553">
        <v>0.42</v>
      </c>
      <c r="C553">
        <v>-0.42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-273.10000000000002</v>
      </c>
      <c r="L553">
        <v>-4.4999999999999998E-2</v>
      </c>
    </row>
    <row r="554" spans="1:12" x14ac:dyDescent="0.25">
      <c r="A554">
        <v>233311</v>
      </c>
      <c r="B554">
        <v>0.40100000000000002</v>
      </c>
      <c r="C554">
        <v>-0.40100000000000002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-273.10000000000002</v>
      </c>
      <c r="L554">
        <v>-0.05</v>
      </c>
    </row>
    <row r="555" spans="1:12" x14ac:dyDescent="0.25">
      <c r="A555">
        <v>238315</v>
      </c>
      <c r="B555">
        <v>0.40100000000000002</v>
      </c>
      <c r="C555">
        <v>-0.40100000000000002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-273.10000000000002</v>
      </c>
      <c r="L555">
        <v>-5.8000000000000003E-2</v>
      </c>
    </row>
    <row r="556" spans="1:12" x14ac:dyDescent="0.25">
      <c r="A556">
        <v>243320</v>
      </c>
      <c r="B556">
        <v>0.43</v>
      </c>
      <c r="C556">
        <v>-0.43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-273.10000000000002</v>
      </c>
      <c r="L556">
        <v>-5.7000000000000002E-2</v>
      </c>
    </row>
    <row r="557" spans="1:12" x14ac:dyDescent="0.25">
      <c r="A557">
        <v>248360</v>
      </c>
      <c r="B557">
        <v>0.40600000000000003</v>
      </c>
      <c r="C557">
        <v>-0.40600000000000003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-273.10000000000002</v>
      </c>
      <c r="L557">
        <v>-5.6000000000000001E-2</v>
      </c>
    </row>
    <row r="558" spans="1:12" x14ac:dyDescent="0.25">
      <c r="A558">
        <v>253366</v>
      </c>
      <c r="B558">
        <v>0.42499999999999999</v>
      </c>
      <c r="C558">
        <v>-0.42499999999999999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-273.10000000000002</v>
      </c>
      <c r="L558">
        <v>-4.7E-2</v>
      </c>
    </row>
    <row r="559" spans="1:12" x14ac:dyDescent="0.25">
      <c r="A559">
        <v>258412</v>
      </c>
      <c r="B559">
        <v>0.43</v>
      </c>
      <c r="C559">
        <v>-0.43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-273.10000000000002</v>
      </c>
      <c r="L559">
        <v>-0.04</v>
      </c>
    </row>
    <row r="560" spans="1:12" x14ac:dyDescent="0.25">
      <c r="A560">
        <v>263424</v>
      </c>
      <c r="B560">
        <v>0.43</v>
      </c>
      <c r="C560">
        <v>-0.43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-273.10000000000002</v>
      </c>
      <c r="L560">
        <v>-4.1000000000000002E-2</v>
      </c>
    </row>
    <row r="561" spans="1:12" x14ac:dyDescent="0.25">
      <c r="A561">
        <v>268432</v>
      </c>
      <c r="B561">
        <v>0.40100000000000002</v>
      </c>
      <c r="C561">
        <v>-0.40100000000000002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-273.10000000000002</v>
      </c>
      <c r="L561">
        <v>-3.1E-2</v>
      </c>
    </row>
    <row r="562" spans="1:12" x14ac:dyDescent="0.25">
      <c r="A562">
        <v>273437</v>
      </c>
      <c r="B562">
        <v>0.42499999999999999</v>
      </c>
      <c r="C562">
        <v>-0.42499999999999999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-273.10000000000002</v>
      </c>
      <c r="L562">
        <v>-0.03</v>
      </c>
    </row>
    <row r="563" spans="1:12" x14ac:dyDescent="0.25">
      <c r="A563">
        <v>278443</v>
      </c>
      <c r="B563">
        <v>0.43</v>
      </c>
      <c r="C563">
        <v>-0.43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-273.10000000000002</v>
      </c>
      <c r="L563">
        <v>1.6E-2</v>
      </c>
    </row>
    <row r="564" spans="1:12" x14ac:dyDescent="0.25">
      <c r="A564">
        <v>283448</v>
      </c>
      <c r="B564">
        <v>0.41499999999999998</v>
      </c>
      <c r="C564">
        <v>-0.41499999999999998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-273.10000000000002</v>
      </c>
      <c r="L564">
        <v>-5.0999999999999997E-2</v>
      </c>
    </row>
    <row r="565" spans="1:12" x14ac:dyDescent="0.25">
      <c r="A565">
        <v>288456</v>
      </c>
      <c r="B565">
        <v>0.42</v>
      </c>
      <c r="C565">
        <v>-0.42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-273.10000000000002</v>
      </c>
      <c r="L565">
        <v>-3.5999999999999997E-2</v>
      </c>
    </row>
    <row r="566" spans="1:12" x14ac:dyDescent="0.25">
      <c r="A566">
        <v>293456</v>
      </c>
      <c r="B566">
        <v>0.41499999999999998</v>
      </c>
      <c r="C566">
        <v>-0.41499999999999998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-273.10000000000002</v>
      </c>
      <c r="L566">
        <v>-4.7E-2</v>
      </c>
    </row>
    <row r="567" spans="1:12" x14ac:dyDescent="0.25">
      <c r="A567">
        <v>298486</v>
      </c>
      <c r="B567">
        <v>0.42</v>
      </c>
      <c r="C567">
        <v>-0.42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-273.10000000000002</v>
      </c>
      <c r="L567">
        <v>-5.2999999999999999E-2</v>
      </c>
    </row>
    <row r="568" spans="1:12" x14ac:dyDescent="0.25">
      <c r="A568">
        <v>303491</v>
      </c>
      <c r="B568">
        <v>0.435</v>
      </c>
      <c r="C568">
        <v>-0.435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-273.10000000000002</v>
      </c>
      <c r="L568">
        <v>-5.1999999999999998E-2</v>
      </c>
    </row>
    <row r="569" spans="1:12" x14ac:dyDescent="0.25">
      <c r="A569">
        <v>308536</v>
      </c>
      <c r="B569">
        <v>0.435</v>
      </c>
      <c r="C569">
        <v>-0.435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-273.10000000000002</v>
      </c>
      <c r="L569">
        <v>-5.8000000000000003E-2</v>
      </c>
    </row>
    <row r="570" spans="1:12" x14ac:dyDescent="0.25">
      <c r="A570">
        <v>313548</v>
      </c>
      <c r="B570">
        <v>0.43</v>
      </c>
      <c r="C570">
        <v>-0.43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-273.10000000000002</v>
      </c>
      <c r="L570">
        <v>-5.5E-2</v>
      </c>
    </row>
    <row r="571" spans="1:12" x14ac:dyDescent="0.25">
      <c r="A571">
        <v>318593</v>
      </c>
      <c r="B571">
        <v>0.42</v>
      </c>
      <c r="C571">
        <v>-0.42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-273.10000000000002</v>
      </c>
      <c r="L571">
        <v>-5.7000000000000002E-2</v>
      </c>
    </row>
    <row r="572" spans="1:12" x14ac:dyDescent="0.25">
      <c r="A572">
        <v>323602</v>
      </c>
      <c r="B572">
        <v>0.435</v>
      </c>
      <c r="C572">
        <v>-0.435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-273.10000000000002</v>
      </c>
      <c r="L572">
        <v>-6.5000000000000002E-2</v>
      </c>
    </row>
    <row r="573" spans="1:12" x14ac:dyDescent="0.25">
      <c r="A573">
        <v>328610</v>
      </c>
      <c r="B573">
        <v>0.41099999999999998</v>
      </c>
      <c r="C573">
        <v>-0.41099999999999998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-273.10000000000002</v>
      </c>
      <c r="L573">
        <v>-6.0999999999999999E-2</v>
      </c>
    </row>
    <row r="574" spans="1:12" x14ac:dyDescent="0.25">
      <c r="A574">
        <v>333615</v>
      </c>
      <c r="B574">
        <v>0.44</v>
      </c>
      <c r="C574">
        <v>-0.44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-273.10000000000002</v>
      </c>
      <c r="L574">
        <v>-6.2E-2</v>
      </c>
    </row>
    <row r="575" spans="1:12" x14ac:dyDescent="0.25">
      <c r="A575">
        <v>338620</v>
      </c>
      <c r="B575">
        <v>0.42</v>
      </c>
      <c r="C575">
        <v>-0.42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-273.10000000000002</v>
      </c>
      <c r="L575">
        <v>-0.04</v>
      </c>
    </row>
    <row r="576" spans="1:12" x14ac:dyDescent="0.25">
      <c r="A576">
        <v>343625</v>
      </c>
      <c r="B576">
        <v>0.42499999999999999</v>
      </c>
      <c r="C576">
        <v>-0.42499999999999999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-273.10000000000002</v>
      </c>
      <c r="L576">
        <v>-5.7000000000000002E-2</v>
      </c>
    </row>
    <row r="577" spans="1:12" x14ac:dyDescent="0.25">
      <c r="A577">
        <v>348631</v>
      </c>
      <c r="B577">
        <v>0.42</v>
      </c>
      <c r="C577">
        <v>-0.42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-273.10000000000002</v>
      </c>
      <c r="L577">
        <v>-4.5999999999999999E-2</v>
      </c>
    </row>
    <row r="578" spans="1:12" x14ac:dyDescent="0.25">
      <c r="A578">
        <v>353634</v>
      </c>
      <c r="B578">
        <v>0.43</v>
      </c>
      <c r="C578">
        <v>-0.43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-273.10000000000002</v>
      </c>
      <c r="L578">
        <v>-4.7E-2</v>
      </c>
    </row>
    <row r="579" spans="1:12" x14ac:dyDescent="0.25">
      <c r="A579">
        <v>358639</v>
      </c>
      <c r="B579">
        <v>0.41099999999999998</v>
      </c>
      <c r="C579">
        <v>-0.41099999999999998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-273.10000000000002</v>
      </c>
      <c r="L579">
        <v>-4.9000000000000002E-2</v>
      </c>
    </row>
    <row r="580" spans="1:12" x14ac:dyDescent="0.25">
      <c r="A580">
        <v>363646</v>
      </c>
      <c r="B580">
        <v>0.44</v>
      </c>
      <c r="C580">
        <v>-0.44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-273.10000000000002</v>
      </c>
      <c r="L580">
        <v>-5.1999999999999998E-2</v>
      </c>
    </row>
    <row r="581" spans="1:12" x14ac:dyDescent="0.25">
      <c r="A581">
        <v>368660</v>
      </c>
      <c r="B581">
        <v>0.42</v>
      </c>
      <c r="C581">
        <v>-0.42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-273.10000000000002</v>
      </c>
      <c r="L581">
        <v>-7.1999999999999995E-2</v>
      </c>
    </row>
    <row r="582" spans="1:12" x14ac:dyDescent="0.25">
      <c r="A582">
        <v>373669</v>
      </c>
      <c r="B582">
        <v>0.44</v>
      </c>
      <c r="C582">
        <v>-0.44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-273.10000000000002</v>
      </c>
      <c r="L582">
        <v>-6.0999999999999999E-2</v>
      </c>
    </row>
    <row r="583" spans="1:12" x14ac:dyDescent="0.25">
      <c r="A583">
        <v>378675</v>
      </c>
      <c r="B583">
        <v>0.42499999999999999</v>
      </c>
      <c r="C583">
        <v>-0.42499999999999999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-273.10000000000002</v>
      </c>
      <c r="L583">
        <v>3.0000000000000001E-3</v>
      </c>
    </row>
    <row r="584" spans="1:12" x14ac:dyDescent="0.25">
      <c r="A584">
        <v>383679</v>
      </c>
      <c r="B584">
        <v>0.435</v>
      </c>
      <c r="C584">
        <v>-0.435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-273.10000000000002</v>
      </c>
      <c r="L584">
        <v>-5.8000000000000003E-2</v>
      </c>
    </row>
    <row r="585" spans="1:12" x14ac:dyDescent="0.25">
      <c r="A585">
        <v>388688</v>
      </c>
      <c r="B585">
        <v>0.42</v>
      </c>
      <c r="C585">
        <v>-0.42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-273.10000000000002</v>
      </c>
      <c r="L585">
        <v>2E-3</v>
      </c>
    </row>
    <row r="586" spans="1:12" x14ac:dyDescent="0.25">
      <c r="A586">
        <v>393702</v>
      </c>
      <c r="B586">
        <v>0.44</v>
      </c>
      <c r="C586">
        <v>-0.44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-273.10000000000002</v>
      </c>
      <c r="L586">
        <v>-7.1999999999999995E-2</v>
      </c>
    </row>
    <row r="587" spans="1:12" x14ac:dyDescent="0.25">
      <c r="A587">
        <v>398713</v>
      </c>
      <c r="B587">
        <v>0.41099999999999998</v>
      </c>
      <c r="C587">
        <v>-0.41099999999999998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-273.10000000000002</v>
      </c>
      <c r="L587">
        <v>0.01</v>
      </c>
    </row>
    <row r="588" spans="1:12" x14ac:dyDescent="0.25">
      <c r="A588">
        <v>403713</v>
      </c>
      <c r="B588">
        <v>0.41499999999999998</v>
      </c>
      <c r="C588">
        <v>-0.41499999999999998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-273.10000000000002</v>
      </c>
      <c r="L588">
        <v>-3.5000000000000003E-2</v>
      </c>
    </row>
    <row r="589" spans="1:12" x14ac:dyDescent="0.25">
      <c r="A589">
        <v>408743</v>
      </c>
      <c r="B589">
        <v>0.41499999999999998</v>
      </c>
      <c r="C589">
        <v>-0.41499999999999998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-273.10000000000002</v>
      </c>
      <c r="L589">
        <v>-4.2999999999999997E-2</v>
      </c>
    </row>
    <row r="590" spans="1:12" x14ac:dyDescent="0.25">
      <c r="A590">
        <v>413747</v>
      </c>
      <c r="B590">
        <v>0.42499999999999999</v>
      </c>
      <c r="C590">
        <v>-0.42499999999999999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-273.10000000000002</v>
      </c>
      <c r="L590">
        <v>-4.9000000000000002E-2</v>
      </c>
    </row>
    <row r="591" spans="1:12" x14ac:dyDescent="0.25">
      <c r="A591">
        <v>418756</v>
      </c>
      <c r="B591">
        <v>0.44500000000000001</v>
      </c>
      <c r="C591">
        <v>-0.44500000000000001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-273.10000000000002</v>
      </c>
      <c r="L591">
        <v>-1.2E-2</v>
      </c>
    </row>
    <row r="592" spans="1:12" x14ac:dyDescent="0.25">
      <c r="A592">
        <v>423760</v>
      </c>
      <c r="B592">
        <v>0.41499999999999998</v>
      </c>
      <c r="C592">
        <v>-0.41499999999999998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-273.10000000000002</v>
      </c>
      <c r="L592">
        <v>-4.1000000000000002E-2</v>
      </c>
    </row>
    <row r="593" spans="1:12" x14ac:dyDescent="0.25">
      <c r="A593">
        <v>428766</v>
      </c>
      <c r="B593">
        <v>0.42</v>
      </c>
      <c r="C593">
        <v>-0.42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-273.10000000000002</v>
      </c>
      <c r="L593">
        <v>0</v>
      </c>
    </row>
    <row r="594" spans="1:12" x14ac:dyDescent="0.25">
      <c r="A594">
        <v>433771</v>
      </c>
      <c r="B594">
        <v>0.44</v>
      </c>
      <c r="C594">
        <v>-0.44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-273.10000000000002</v>
      </c>
      <c r="L594">
        <v>-6.9000000000000006E-2</v>
      </c>
    </row>
    <row r="595" spans="1:12" x14ac:dyDescent="0.25">
      <c r="A595">
        <v>438781</v>
      </c>
      <c r="B595">
        <v>0.435</v>
      </c>
      <c r="C595">
        <v>-0.435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-273.10000000000002</v>
      </c>
      <c r="L595">
        <v>-1.4E-2</v>
      </c>
    </row>
    <row r="596" spans="1:12" x14ac:dyDescent="0.25">
      <c r="A596">
        <v>443789</v>
      </c>
      <c r="B596">
        <v>0.42</v>
      </c>
      <c r="C596">
        <v>-0.42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-273.10000000000002</v>
      </c>
      <c r="L596">
        <v>-5.7000000000000002E-2</v>
      </c>
    </row>
    <row r="597" spans="1:12" x14ac:dyDescent="0.25">
      <c r="A597">
        <v>448824</v>
      </c>
      <c r="B597">
        <v>0.44500000000000001</v>
      </c>
      <c r="C597">
        <v>-0.44500000000000001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-273.10000000000002</v>
      </c>
      <c r="L597">
        <v>-5.2999999999999999E-2</v>
      </c>
    </row>
    <row r="598" spans="1:12" x14ac:dyDescent="0.25">
      <c r="A598">
        <v>453837</v>
      </c>
      <c r="B598">
        <v>0.43</v>
      </c>
      <c r="C598">
        <v>-0.43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-273.10000000000002</v>
      </c>
      <c r="L598">
        <v>-5.2999999999999999E-2</v>
      </c>
    </row>
    <row r="599" spans="1:12" x14ac:dyDescent="0.25">
      <c r="A599">
        <v>458852</v>
      </c>
      <c r="B599">
        <v>0.44500000000000001</v>
      </c>
      <c r="C599">
        <v>-0.44500000000000001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-273.10000000000002</v>
      </c>
      <c r="L599">
        <v>-2.5999999999999999E-2</v>
      </c>
    </row>
    <row r="600" spans="1:12" x14ac:dyDescent="0.25">
      <c r="A600">
        <v>463861</v>
      </c>
      <c r="B600">
        <v>0.44500000000000001</v>
      </c>
      <c r="C600">
        <v>-0.44500000000000001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-273.10000000000002</v>
      </c>
      <c r="L600">
        <v>-7.3999999999999996E-2</v>
      </c>
    </row>
    <row r="601" spans="1:12" x14ac:dyDescent="0.25">
      <c r="A601">
        <v>468861</v>
      </c>
      <c r="B601">
        <v>0.42499999999999999</v>
      </c>
      <c r="C601">
        <v>-0.42499999999999999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-273.10000000000002</v>
      </c>
      <c r="L601">
        <v>-6.4000000000000001E-2</v>
      </c>
    </row>
    <row r="602" spans="1:12" x14ac:dyDescent="0.25">
      <c r="A602">
        <v>473866</v>
      </c>
      <c r="B602">
        <v>0.44</v>
      </c>
      <c r="C602">
        <v>-0.44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-273.10000000000002</v>
      </c>
      <c r="L602">
        <v>-5.1999999999999998E-2</v>
      </c>
    </row>
    <row r="603" spans="1:12" x14ac:dyDescent="0.25">
      <c r="A603">
        <v>478871</v>
      </c>
      <c r="B603">
        <v>0.41499999999999998</v>
      </c>
      <c r="C603">
        <v>-0.41499999999999998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-273.10000000000002</v>
      </c>
      <c r="L603">
        <v>-6.0999999999999999E-2</v>
      </c>
    </row>
    <row r="604" spans="1:12" x14ac:dyDescent="0.25">
      <c r="A604">
        <v>483876</v>
      </c>
      <c r="B604">
        <v>0.44500000000000001</v>
      </c>
      <c r="C604">
        <v>-0.44500000000000001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-273.10000000000002</v>
      </c>
      <c r="L604">
        <v>-7.0999999999999994E-2</v>
      </c>
    </row>
    <row r="605" spans="1:12" x14ac:dyDescent="0.25">
      <c r="A605">
        <v>488877</v>
      </c>
      <c r="B605">
        <v>0.44500000000000001</v>
      </c>
      <c r="C605">
        <v>-0.44500000000000001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-273.10000000000002</v>
      </c>
      <c r="L605">
        <v>-0.05</v>
      </c>
    </row>
    <row r="606" spans="1:12" x14ac:dyDescent="0.25">
      <c r="A606">
        <v>493891</v>
      </c>
      <c r="B606">
        <v>0.44500000000000001</v>
      </c>
      <c r="C606">
        <v>-0.44500000000000001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-273.10000000000002</v>
      </c>
      <c r="L606">
        <v>-0.05</v>
      </c>
    </row>
    <row r="607" spans="1:12" x14ac:dyDescent="0.25">
      <c r="A607">
        <v>498937</v>
      </c>
      <c r="B607">
        <v>0.435</v>
      </c>
      <c r="C607">
        <v>-0.435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-273.10000000000002</v>
      </c>
      <c r="L607">
        <v>-0.06</v>
      </c>
    </row>
    <row r="608" spans="1:12" x14ac:dyDescent="0.25">
      <c r="A608">
        <v>503950</v>
      </c>
      <c r="B608">
        <v>0.42499999999999999</v>
      </c>
      <c r="C608">
        <v>-0.42499999999999999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-273.10000000000002</v>
      </c>
      <c r="L608">
        <v>-5.6000000000000001E-2</v>
      </c>
    </row>
    <row r="609" spans="1:12" x14ac:dyDescent="0.25">
      <c r="A609">
        <v>508965</v>
      </c>
      <c r="B609">
        <v>0.44500000000000001</v>
      </c>
      <c r="C609">
        <v>-0.44500000000000001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-273.10000000000002</v>
      </c>
      <c r="L609">
        <v>-6.5000000000000002E-2</v>
      </c>
    </row>
    <row r="610" spans="1:12" x14ac:dyDescent="0.25">
      <c r="A610">
        <v>513974</v>
      </c>
      <c r="B610">
        <v>0.45</v>
      </c>
      <c r="C610">
        <v>-0.45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-273.10000000000002</v>
      </c>
      <c r="L610">
        <v>-5.0999999999999997E-2</v>
      </c>
    </row>
    <row r="611" spans="1:12" x14ac:dyDescent="0.25">
      <c r="A611">
        <v>518979</v>
      </c>
      <c r="B611">
        <v>0.43</v>
      </c>
      <c r="C611">
        <v>-0.43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-273.10000000000002</v>
      </c>
      <c r="L611">
        <v>-3.3000000000000002E-2</v>
      </c>
    </row>
    <row r="612" spans="1:12" x14ac:dyDescent="0.25">
      <c r="A612">
        <v>523984</v>
      </c>
      <c r="B612">
        <v>0.45</v>
      </c>
      <c r="C612">
        <v>-0.45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-273.10000000000002</v>
      </c>
      <c r="L612">
        <v>-6.5000000000000002E-2</v>
      </c>
    </row>
    <row r="613" spans="1:12" x14ac:dyDescent="0.25">
      <c r="A613">
        <v>528993</v>
      </c>
      <c r="B613">
        <v>0.45</v>
      </c>
      <c r="C613">
        <v>-0.45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-273.10000000000002</v>
      </c>
      <c r="L613">
        <v>-4.3999999999999997E-2</v>
      </c>
    </row>
    <row r="614" spans="1:12" x14ac:dyDescent="0.25">
      <c r="A614">
        <v>534002</v>
      </c>
      <c r="B614">
        <v>0.44500000000000001</v>
      </c>
      <c r="C614">
        <v>-0.44500000000000001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-273.10000000000002</v>
      </c>
      <c r="L614">
        <v>-6.5000000000000002E-2</v>
      </c>
    </row>
    <row r="615" spans="1:12" x14ac:dyDescent="0.25">
      <c r="A615">
        <v>539017</v>
      </c>
      <c r="B615">
        <v>0.45</v>
      </c>
      <c r="C615">
        <v>-0.45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-273.10000000000002</v>
      </c>
      <c r="L615">
        <v>-4.7E-2</v>
      </c>
    </row>
    <row r="616" spans="1:12" x14ac:dyDescent="0.25">
      <c r="A616">
        <v>544027</v>
      </c>
      <c r="B616">
        <v>0.44</v>
      </c>
      <c r="C616">
        <v>-0.44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-273.10000000000002</v>
      </c>
      <c r="L616">
        <v>-7.0000000000000007E-2</v>
      </c>
    </row>
    <row r="617" spans="1:12" x14ac:dyDescent="0.25">
      <c r="A617">
        <v>549036</v>
      </c>
      <c r="B617">
        <v>0.43</v>
      </c>
      <c r="C617">
        <v>-0.43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-273.10000000000002</v>
      </c>
      <c r="L617">
        <v>7.0000000000000001E-3</v>
      </c>
    </row>
    <row r="618" spans="1:12" x14ac:dyDescent="0.25">
      <c r="A618">
        <v>554040</v>
      </c>
      <c r="B618">
        <v>0.44</v>
      </c>
      <c r="C618">
        <v>-0.44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-273.10000000000002</v>
      </c>
      <c r="L618">
        <v>-6.0999999999999999E-2</v>
      </c>
    </row>
    <row r="619" spans="1:12" x14ac:dyDescent="0.25">
      <c r="A619">
        <v>559045</v>
      </c>
      <c r="B619">
        <v>0.435</v>
      </c>
      <c r="C619">
        <v>-0.435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-273.10000000000002</v>
      </c>
      <c r="L619">
        <v>-4.2000000000000003E-2</v>
      </c>
    </row>
    <row r="620" spans="1:12" x14ac:dyDescent="0.25">
      <c r="A620">
        <v>564051</v>
      </c>
      <c r="B620">
        <v>0.45500000000000002</v>
      </c>
      <c r="C620">
        <v>-0.45500000000000002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-273.10000000000002</v>
      </c>
      <c r="L620">
        <v>-4.5999999999999999E-2</v>
      </c>
    </row>
    <row r="621" spans="1:12" x14ac:dyDescent="0.25">
      <c r="A621">
        <v>569059</v>
      </c>
      <c r="B621">
        <v>0.45</v>
      </c>
      <c r="C621">
        <v>-0.45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-273.10000000000002</v>
      </c>
      <c r="L621">
        <v>-3.2000000000000001E-2</v>
      </c>
    </row>
    <row r="622" spans="1:12" x14ac:dyDescent="0.25">
      <c r="A622">
        <v>574067</v>
      </c>
      <c r="B622">
        <v>0.42499999999999999</v>
      </c>
      <c r="C622">
        <v>-0.42499999999999999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-273.10000000000002</v>
      </c>
      <c r="L622">
        <v>-5.7000000000000002E-2</v>
      </c>
    </row>
    <row r="623" spans="1:12" x14ac:dyDescent="0.25">
      <c r="A623">
        <v>579093</v>
      </c>
      <c r="B623">
        <v>0.42499999999999999</v>
      </c>
      <c r="C623">
        <v>-0.42499999999999999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-273.10000000000002</v>
      </c>
      <c r="L623">
        <v>-6.8000000000000005E-2</v>
      </c>
    </row>
    <row r="624" spans="1:12" x14ac:dyDescent="0.25">
      <c r="A624">
        <v>584107</v>
      </c>
      <c r="B624">
        <v>0.42</v>
      </c>
      <c r="C624">
        <v>-0.42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-273.10000000000002</v>
      </c>
      <c r="L624">
        <v>-6.2E-2</v>
      </c>
    </row>
    <row r="625" spans="1:12" x14ac:dyDescent="0.25">
      <c r="A625">
        <v>589107</v>
      </c>
      <c r="B625">
        <v>0.44500000000000001</v>
      </c>
      <c r="C625">
        <v>-0.44500000000000001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-273.10000000000002</v>
      </c>
      <c r="L625">
        <v>-6.0000000000000001E-3</v>
      </c>
    </row>
    <row r="626" spans="1:12" x14ac:dyDescent="0.25">
      <c r="A626">
        <v>594113</v>
      </c>
      <c r="B626">
        <v>0.435</v>
      </c>
      <c r="C626">
        <v>-0.435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-273.10000000000002</v>
      </c>
      <c r="L626">
        <v>-5.6000000000000001E-2</v>
      </c>
    </row>
    <row r="627" spans="1:12" x14ac:dyDescent="0.25">
      <c r="A627">
        <v>599122</v>
      </c>
      <c r="B627">
        <v>0.45</v>
      </c>
      <c r="C627">
        <v>-0.45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-273.10000000000002</v>
      </c>
      <c r="L627">
        <v>-5.3999999999999999E-2</v>
      </c>
    </row>
    <row r="628" spans="1:12" x14ac:dyDescent="0.25">
      <c r="A628">
        <v>604127</v>
      </c>
      <c r="B628">
        <v>0.42</v>
      </c>
      <c r="C628">
        <v>-0.42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-273.10000000000002</v>
      </c>
      <c r="L628">
        <v>-6.3E-2</v>
      </c>
    </row>
    <row r="629" spans="1:12" x14ac:dyDescent="0.25">
      <c r="A629">
        <v>609128</v>
      </c>
      <c r="B629">
        <v>0.44</v>
      </c>
      <c r="C629">
        <v>-0.44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-273.10000000000002</v>
      </c>
      <c r="L629">
        <v>-3.5999999999999997E-2</v>
      </c>
    </row>
    <row r="630" spans="1:12" x14ac:dyDescent="0.25">
      <c r="A630">
        <v>614142</v>
      </c>
      <c r="B630">
        <v>0.45</v>
      </c>
      <c r="C630">
        <v>-0.45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-273.10000000000002</v>
      </c>
      <c r="L630">
        <v>-4.7E-2</v>
      </c>
    </row>
    <row r="631" spans="1:12" x14ac:dyDescent="0.25">
      <c r="A631">
        <v>619143</v>
      </c>
      <c r="B631">
        <v>0.45</v>
      </c>
      <c r="C631">
        <v>-0.45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-273.10000000000002</v>
      </c>
      <c r="L631">
        <v>-4.7E-2</v>
      </c>
    </row>
    <row r="632" spans="1:12" x14ac:dyDescent="0.25">
      <c r="A632">
        <v>624156</v>
      </c>
      <c r="B632">
        <v>0.45</v>
      </c>
      <c r="C632">
        <v>-0.45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-273.10000000000002</v>
      </c>
      <c r="L632">
        <v>-5.5E-2</v>
      </c>
    </row>
    <row r="633" spans="1:12" x14ac:dyDescent="0.25">
      <c r="A633">
        <v>629202</v>
      </c>
      <c r="B633">
        <v>0.45</v>
      </c>
      <c r="C633">
        <v>-0.45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-273.10000000000002</v>
      </c>
      <c r="L633">
        <v>-5.2999999999999999E-2</v>
      </c>
    </row>
    <row r="634" spans="1:12" x14ac:dyDescent="0.25">
      <c r="A634">
        <v>634202</v>
      </c>
      <c r="B634">
        <v>0.45500000000000002</v>
      </c>
      <c r="C634">
        <v>-0.45500000000000002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-273.10000000000002</v>
      </c>
      <c r="L634">
        <v>-5.1999999999999998E-2</v>
      </c>
    </row>
    <row r="635" spans="1:12" x14ac:dyDescent="0.25">
      <c r="A635">
        <v>639249</v>
      </c>
      <c r="B635">
        <v>0.45500000000000002</v>
      </c>
      <c r="C635">
        <v>-0.45500000000000002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-273.10000000000002</v>
      </c>
      <c r="L635">
        <v>-5.5E-2</v>
      </c>
    </row>
    <row r="636" spans="1:12" x14ac:dyDescent="0.25">
      <c r="A636">
        <v>644249</v>
      </c>
      <c r="B636">
        <v>0.44</v>
      </c>
      <c r="C636">
        <v>-0.44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-273.10000000000002</v>
      </c>
      <c r="L636">
        <v>-5.2999999999999999E-2</v>
      </c>
    </row>
    <row r="637" spans="1:12" x14ac:dyDescent="0.25">
      <c r="A637">
        <v>649264</v>
      </c>
      <c r="B637">
        <v>0.44500000000000001</v>
      </c>
      <c r="C637">
        <v>-0.44500000000000001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-273.10000000000002</v>
      </c>
      <c r="L637">
        <v>-4.2000000000000003E-2</v>
      </c>
    </row>
    <row r="638" spans="1:12" x14ac:dyDescent="0.25">
      <c r="A638">
        <v>654273</v>
      </c>
      <c r="B638">
        <v>0.435</v>
      </c>
      <c r="C638">
        <v>-0.435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-273.10000000000002</v>
      </c>
      <c r="L638">
        <v>-5.7000000000000002E-2</v>
      </c>
    </row>
    <row r="639" spans="1:12" x14ac:dyDescent="0.25">
      <c r="A639">
        <v>659278</v>
      </c>
      <c r="B639">
        <v>0.45</v>
      </c>
      <c r="C639">
        <v>-0.45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-273.10000000000002</v>
      </c>
      <c r="L639">
        <v>-3.5999999999999997E-2</v>
      </c>
    </row>
    <row r="640" spans="1:12" x14ac:dyDescent="0.25">
      <c r="A640">
        <v>664283</v>
      </c>
      <c r="B640">
        <v>0.44</v>
      </c>
      <c r="C640">
        <v>-0.44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-273.10000000000002</v>
      </c>
      <c r="L640">
        <v>-4.9000000000000002E-2</v>
      </c>
    </row>
    <row r="641" spans="1:12" x14ac:dyDescent="0.25">
      <c r="A641">
        <v>669290</v>
      </c>
      <c r="B641">
        <v>0.44</v>
      </c>
      <c r="C641">
        <v>-0.44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-273.10000000000002</v>
      </c>
      <c r="L641">
        <v>-4.5999999999999999E-2</v>
      </c>
    </row>
    <row r="642" spans="1:12" x14ac:dyDescent="0.25">
      <c r="A642">
        <v>674299</v>
      </c>
      <c r="B642">
        <v>0.45</v>
      </c>
      <c r="C642">
        <v>-0.45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-273.10000000000002</v>
      </c>
      <c r="L642">
        <v>-4.4999999999999998E-2</v>
      </c>
    </row>
    <row r="643" spans="1:12" x14ac:dyDescent="0.25">
      <c r="A643">
        <v>679310</v>
      </c>
      <c r="B643">
        <v>0.43</v>
      </c>
      <c r="C643">
        <v>-0.43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-273.10000000000002</v>
      </c>
      <c r="L643">
        <v>-0.04</v>
      </c>
    </row>
    <row r="644" spans="1:12" x14ac:dyDescent="0.25">
      <c r="A644">
        <v>684317</v>
      </c>
      <c r="B644">
        <v>0.42499999999999999</v>
      </c>
      <c r="C644">
        <v>-0.42499999999999999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-273.10000000000002</v>
      </c>
      <c r="L644">
        <v>-5.7000000000000002E-2</v>
      </c>
    </row>
    <row r="645" spans="1:12" x14ac:dyDescent="0.25">
      <c r="A645">
        <v>689353</v>
      </c>
      <c r="B645">
        <v>0.44500000000000001</v>
      </c>
      <c r="C645">
        <v>-0.44500000000000001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-273.10000000000002</v>
      </c>
      <c r="L645">
        <v>-4.5999999999999999E-2</v>
      </c>
    </row>
    <row r="646" spans="1:12" x14ac:dyDescent="0.25">
      <c r="A646">
        <v>694365</v>
      </c>
      <c r="B646">
        <v>0.45500000000000002</v>
      </c>
      <c r="C646">
        <v>-0.45500000000000002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-273.10000000000002</v>
      </c>
      <c r="L646">
        <v>-4.1000000000000002E-2</v>
      </c>
    </row>
    <row r="647" spans="1:12" x14ac:dyDescent="0.25">
      <c r="A647">
        <v>699373</v>
      </c>
      <c r="B647">
        <v>0.42499999999999999</v>
      </c>
      <c r="C647">
        <v>-0.42499999999999999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-273.10000000000002</v>
      </c>
      <c r="L647">
        <v>-5.0999999999999997E-2</v>
      </c>
    </row>
    <row r="648" spans="1:12" x14ac:dyDescent="0.25">
      <c r="A648">
        <v>704378</v>
      </c>
      <c r="B648">
        <v>0.45900000000000002</v>
      </c>
      <c r="C648">
        <v>-0.45900000000000002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-273.10000000000002</v>
      </c>
      <c r="L648">
        <v>-3.1E-2</v>
      </c>
    </row>
    <row r="649" spans="1:12" x14ac:dyDescent="0.25">
      <c r="A649">
        <v>709383</v>
      </c>
      <c r="B649">
        <v>0.44500000000000001</v>
      </c>
      <c r="C649">
        <v>-0.44500000000000001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-273.10000000000002</v>
      </c>
      <c r="L649">
        <v>-2.9000000000000001E-2</v>
      </c>
    </row>
    <row r="650" spans="1:12" x14ac:dyDescent="0.25">
      <c r="A650">
        <v>714389</v>
      </c>
      <c r="B650">
        <v>0.45</v>
      </c>
      <c r="C650">
        <v>-0.45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-273.10000000000002</v>
      </c>
      <c r="L650">
        <v>-4.8000000000000001E-2</v>
      </c>
    </row>
    <row r="651" spans="1:12" x14ac:dyDescent="0.25">
      <c r="A651">
        <v>719389</v>
      </c>
      <c r="B651">
        <v>0.44</v>
      </c>
      <c r="C651">
        <v>-0.44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-273.10000000000002</v>
      </c>
      <c r="L651">
        <v>-3.5000000000000003E-2</v>
      </c>
    </row>
    <row r="652" spans="1:12" x14ac:dyDescent="0.25">
      <c r="A652">
        <v>724398</v>
      </c>
      <c r="B652">
        <v>0.45</v>
      </c>
      <c r="C652">
        <v>-0.45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-273.10000000000002</v>
      </c>
      <c r="L652">
        <v>-5.1999999999999998E-2</v>
      </c>
    </row>
    <row r="653" spans="1:12" x14ac:dyDescent="0.25">
      <c r="A653">
        <v>729420</v>
      </c>
      <c r="B653">
        <v>0.43</v>
      </c>
      <c r="C653">
        <v>-0.43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-273.10000000000002</v>
      </c>
      <c r="L653">
        <v>-5.2999999999999999E-2</v>
      </c>
    </row>
    <row r="654" spans="1:12" x14ac:dyDescent="0.25">
      <c r="A654">
        <v>734434</v>
      </c>
      <c r="B654">
        <v>0.42499999999999999</v>
      </c>
      <c r="C654">
        <v>-0.42499999999999999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-273.10000000000002</v>
      </c>
      <c r="L654">
        <v>-0.05</v>
      </c>
    </row>
    <row r="655" spans="1:12" x14ac:dyDescent="0.25">
      <c r="A655">
        <v>739480</v>
      </c>
      <c r="B655">
        <v>0.44</v>
      </c>
      <c r="C655">
        <v>-0.44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-273.10000000000002</v>
      </c>
      <c r="L655">
        <v>-4.5999999999999999E-2</v>
      </c>
    </row>
    <row r="656" spans="1:12" x14ac:dyDescent="0.25">
      <c r="A656">
        <v>744493</v>
      </c>
      <c r="B656">
        <v>0.44500000000000001</v>
      </c>
      <c r="C656">
        <v>-0.44500000000000001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-273.10000000000002</v>
      </c>
      <c r="L656">
        <v>-5.2999999999999999E-2</v>
      </c>
    </row>
    <row r="657" spans="1:12" x14ac:dyDescent="0.25">
      <c r="A657">
        <v>749493</v>
      </c>
      <c r="B657">
        <v>0.43</v>
      </c>
      <c r="C657">
        <v>-0.43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-273.10000000000002</v>
      </c>
      <c r="L657">
        <v>-2.8000000000000001E-2</v>
      </c>
    </row>
    <row r="658" spans="1:12" x14ac:dyDescent="0.25">
      <c r="A658">
        <v>754498</v>
      </c>
      <c r="B658">
        <v>0.42499999999999999</v>
      </c>
      <c r="C658">
        <v>-0.42499999999999999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-273.10000000000002</v>
      </c>
      <c r="L658">
        <v>-5.2999999999999999E-2</v>
      </c>
    </row>
    <row r="659" spans="1:12" x14ac:dyDescent="0.25">
      <c r="A659">
        <v>759503</v>
      </c>
      <c r="B659">
        <v>0.45500000000000002</v>
      </c>
      <c r="C659">
        <v>-0.45500000000000002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-273.10000000000002</v>
      </c>
      <c r="L659">
        <v>-4.2999999999999997E-2</v>
      </c>
    </row>
    <row r="660" spans="1:12" x14ac:dyDescent="0.25">
      <c r="A660">
        <v>764508</v>
      </c>
      <c r="B660">
        <v>0.42499999999999999</v>
      </c>
      <c r="C660">
        <v>-0.42499999999999999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-273.10000000000002</v>
      </c>
      <c r="L660">
        <v>-6.0999999999999999E-2</v>
      </c>
    </row>
    <row r="661" spans="1:12" x14ac:dyDescent="0.25">
      <c r="A661">
        <v>769517</v>
      </c>
      <c r="B661">
        <v>0.42499999999999999</v>
      </c>
      <c r="C661">
        <v>-0.42499999999999999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-273.10000000000002</v>
      </c>
      <c r="L661">
        <v>1E-3</v>
      </c>
    </row>
    <row r="662" spans="1:12" x14ac:dyDescent="0.25">
      <c r="A662">
        <v>774526</v>
      </c>
      <c r="B662">
        <v>0.45900000000000002</v>
      </c>
      <c r="C662">
        <v>-0.45900000000000002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-273.10000000000002</v>
      </c>
      <c r="L662">
        <v>-5.2999999999999999E-2</v>
      </c>
    </row>
    <row r="663" spans="1:12" x14ac:dyDescent="0.25">
      <c r="A663">
        <v>779547</v>
      </c>
      <c r="B663">
        <v>0.43</v>
      </c>
      <c r="C663">
        <v>-0.43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-273.10000000000002</v>
      </c>
      <c r="L663">
        <v>-4.8000000000000001E-2</v>
      </c>
    </row>
    <row r="664" spans="1:12" x14ac:dyDescent="0.25">
      <c r="A664">
        <v>784552</v>
      </c>
      <c r="B664">
        <v>0.45900000000000002</v>
      </c>
      <c r="C664">
        <v>-0.45900000000000002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-273.10000000000002</v>
      </c>
      <c r="L664">
        <v>-6.7000000000000004E-2</v>
      </c>
    </row>
    <row r="665" spans="1:12" x14ac:dyDescent="0.25">
      <c r="A665">
        <v>789593</v>
      </c>
      <c r="B665">
        <v>0.42499999999999999</v>
      </c>
      <c r="C665">
        <v>-0.42499999999999999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-273.10000000000002</v>
      </c>
      <c r="L665">
        <v>-4.3999999999999997E-2</v>
      </c>
    </row>
    <row r="666" spans="1:12" x14ac:dyDescent="0.25">
      <c r="A666">
        <v>794598</v>
      </c>
      <c r="B666">
        <v>0.44</v>
      </c>
      <c r="C666">
        <v>-0.44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-273.10000000000002</v>
      </c>
      <c r="L666">
        <v>-5.1999999999999998E-2</v>
      </c>
    </row>
    <row r="667" spans="1:12" x14ac:dyDescent="0.25">
      <c r="A667">
        <v>799644</v>
      </c>
      <c r="B667">
        <v>0.45500000000000002</v>
      </c>
      <c r="C667">
        <v>-0.45500000000000002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-273.10000000000002</v>
      </c>
      <c r="L667">
        <v>-7.8E-2</v>
      </c>
    </row>
    <row r="668" spans="1:12" x14ac:dyDescent="0.25">
      <c r="A668">
        <v>804655</v>
      </c>
      <c r="B668">
        <v>0.45</v>
      </c>
      <c r="C668">
        <v>-0.45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-273.10000000000002</v>
      </c>
      <c r="L668">
        <v>-4.2999999999999997E-2</v>
      </c>
    </row>
    <row r="669" spans="1:12" x14ac:dyDescent="0.25">
      <c r="A669">
        <v>809669</v>
      </c>
      <c r="B669">
        <v>0.44</v>
      </c>
      <c r="C669">
        <v>-0.44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-273.10000000000002</v>
      </c>
      <c r="L669">
        <v>-4.4999999999999998E-2</v>
      </c>
    </row>
    <row r="670" spans="1:12" x14ac:dyDescent="0.25">
      <c r="A670">
        <v>814678</v>
      </c>
      <c r="B670">
        <v>0.45500000000000002</v>
      </c>
      <c r="C670">
        <v>-0.45500000000000002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-273.10000000000002</v>
      </c>
      <c r="L670">
        <v>-0.05</v>
      </c>
    </row>
    <row r="671" spans="1:12" x14ac:dyDescent="0.25">
      <c r="A671">
        <v>819680</v>
      </c>
      <c r="B671">
        <v>0.43</v>
      </c>
      <c r="C671">
        <v>-0.43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-273.10000000000002</v>
      </c>
      <c r="L671">
        <v>-8.0000000000000002E-3</v>
      </c>
    </row>
    <row r="672" spans="1:12" x14ac:dyDescent="0.25">
      <c r="A672">
        <v>824685</v>
      </c>
      <c r="B672">
        <v>0.45</v>
      </c>
      <c r="C672">
        <v>-0.45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-273.10000000000002</v>
      </c>
      <c r="L672">
        <v>-5.2999999999999999E-2</v>
      </c>
    </row>
    <row r="673" spans="1:12" x14ac:dyDescent="0.25">
      <c r="A673">
        <v>829685</v>
      </c>
      <c r="B673">
        <v>0.44</v>
      </c>
      <c r="C673">
        <v>-0.44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-273.10000000000002</v>
      </c>
      <c r="L673">
        <v>-5.5E-2</v>
      </c>
    </row>
    <row r="674" spans="1:12" x14ac:dyDescent="0.25">
      <c r="A674">
        <v>834691</v>
      </c>
      <c r="B674">
        <v>0.44</v>
      </c>
      <c r="C674">
        <v>-0.44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-273.10000000000002</v>
      </c>
      <c r="L674">
        <v>-4.8000000000000001E-2</v>
      </c>
    </row>
    <row r="675" spans="1:12" x14ac:dyDescent="0.25">
      <c r="A675">
        <v>839692</v>
      </c>
      <c r="B675">
        <v>0.44500000000000001</v>
      </c>
      <c r="C675">
        <v>-0.44500000000000001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-273.10000000000002</v>
      </c>
      <c r="L675">
        <v>-5.8999999999999997E-2</v>
      </c>
    </row>
    <row r="676" spans="1:12" x14ac:dyDescent="0.25">
      <c r="A676">
        <v>844707</v>
      </c>
      <c r="B676">
        <v>0.43</v>
      </c>
      <c r="C676">
        <v>-0.43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-273.10000000000002</v>
      </c>
      <c r="L676">
        <v>-5.6000000000000001E-2</v>
      </c>
    </row>
    <row r="677" spans="1:12" x14ac:dyDescent="0.25">
      <c r="A677">
        <v>849752</v>
      </c>
      <c r="B677">
        <v>0.45500000000000002</v>
      </c>
      <c r="C677">
        <v>-0.45500000000000002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-273.10000000000002</v>
      </c>
      <c r="L677">
        <v>-5.6000000000000001E-2</v>
      </c>
    </row>
    <row r="678" spans="1:12" x14ac:dyDescent="0.25">
      <c r="A678">
        <v>854753</v>
      </c>
      <c r="B678">
        <v>0.435</v>
      </c>
      <c r="C678">
        <v>-0.435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-273.10000000000002</v>
      </c>
      <c r="L678">
        <v>-4.8000000000000001E-2</v>
      </c>
    </row>
    <row r="679" spans="1:12" x14ac:dyDescent="0.25">
      <c r="A679">
        <v>859798</v>
      </c>
      <c r="B679">
        <v>0.435</v>
      </c>
      <c r="C679">
        <v>-0.435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-273.10000000000002</v>
      </c>
      <c r="L679">
        <v>-4.4999999999999998E-2</v>
      </c>
    </row>
    <row r="680" spans="1:12" x14ac:dyDescent="0.25">
      <c r="A680">
        <v>864800</v>
      </c>
      <c r="B680">
        <v>0.43</v>
      </c>
      <c r="C680">
        <v>-0.43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-273.10000000000002</v>
      </c>
      <c r="L680">
        <v>-4.5999999999999999E-2</v>
      </c>
    </row>
    <row r="681" spans="1:12" x14ac:dyDescent="0.25">
      <c r="A681">
        <v>869812</v>
      </c>
      <c r="B681">
        <v>0.45900000000000002</v>
      </c>
      <c r="C681">
        <v>-0.45900000000000002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-273.10000000000002</v>
      </c>
      <c r="L681">
        <v>-5.6000000000000001E-2</v>
      </c>
    </row>
    <row r="682" spans="1:12" x14ac:dyDescent="0.25">
      <c r="A682">
        <v>874821</v>
      </c>
      <c r="B682">
        <v>0.46400000000000002</v>
      </c>
      <c r="C682">
        <v>-0.46400000000000002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-273.10000000000002</v>
      </c>
      <c r="L682">
        <v>-5.0999999999999997E-2</v>
      </c>
    </row>
    <row r="683" spans="1:12" x14ac:dyDescent="0.25">
      <c r="A683">
        <v>879826</v>
      </c>
      <c r="B683">
        <v>0.44</v>
      </c>
      <c r="C683">
        <v>-0.44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-273.10000000000002</v>
      </c>
      <c r="L683">
        <v>-3.5999999999999997E-2</v>
      </c>
    </row>
    <row r="684" spans="1:12" x14ac:dyDescent="0.25">
      <c r="A684">
        <v>884831</v>
      </c>
      <c r="B684">
        <v>0.46400000000000002</v>
      </c>
      <c r="C684">
        <v>-0.46400000000000002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-273.10000000000002</v>
      </c>
      <c r="L684">
        <v>-3.7999999999999999E-2</v>
      </c>
    </row>
    <row r="685" spans="1:12" x14ac:dyDescent="0.25">
      <c r="A685">
        <v>889832</v>
      </c>
      <c r="B685">
        <v>0.435</v>
      </c>
      <c r="C685">
        <v>-0.435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-273.10000000000002</v>
      </c>
      <c r="L685">
        <v>-4.4999999999999998E-2</v>
      </c>
    </row>
    <row r="686" spans="1:12" x14ac:dyDescent="0.25">
      <c r="A686">
        <v>894847</v>
      </c>
      <c r="B686">
        <v>0.45900000000000002</v>
      </c>
      <c r="C686">
        <v>-0.45900000000000002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-273.10000000000002</v>
      </c>
      <c r="L686">
        <v>-4.8000000000000001E-2</v>
      </c>
    </row>
    <row r="687" spans="1:12" x14ac:dyDescent="0.25">
      <c r="A687">
        <v>899849</v>
      </c>
      <c r="B687">
        <v>0.45900000000000002</v>
      </c>
      <c r="C687">
        <v>-0.45900000000000002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-273.10000000000002</v>
      </c>
      <c r="L687">
        <v>-4.7E-2</v>
      </c>
    </row>
    <row r="688" spans="1:12" x14ac:dyDescent="0.25">
      <c r="A688">
        <v>904861</v>
      </c>
      <c r="B688">
        <v>0.435</v>
      </c>
      <c r="C688">
        <v>-0.435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-273.10000000000002</v>
      </c>
      <c r="L688">
        <v>-4.1000000000000002E-2</v>
      </c>
    </row>
    <row r="689" spans="1:12" x14ac:dyDescent="0.25">
      <c r="A689">
        <v>909907</v>
      </c>
      <c r="B689">
        <v>0.45500000000000002</v>
      </c>
      <c r="C689">
        <v>-0.45500000000000002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-273.10000000000002</v>
      </c>
      <c r="L689">
        <v>-4.3999999999999997E-2</v>
      </c>
    </row>
    <row r="690" spans="1:12" x14ac:dyDescent="0.25">
      <c r="A690">
        <v>914910</v>
      </c>
      <c r="B690">
        <v>0.435</v>
      </c>
      <c r="C690">
        <v>-0.435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-273.10000000000002</v>
      </c>
      <c r="L690">
        <v>-0.04</v>
      </c>
    </row>
    <row r="691" spans="1:12" x14ac:dyDescent="0.25">
      <c r="A691">
        <v>919924</v>
      </c>
      <c r="B691">
        <v>0.45900000000000002</v>
      </c>
      <c r="C691">
        <v>-0.45900000000000002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-273.10000000000002</v>
      </c>
      <c r="L691">
        <v>-5.2999999999999999E-2</v>
      </c>
    </row>
    <row r="692" spans="1:12" x14ac:dyDescent="0.25">
      <c r="A692">
        <v>924924</v>
      </c>
      <c r="B692">
        <v>0.46400000000000002</v>
      </c>
      <c r="C692">
        <v>-0.46400000000000002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-273.10000000000002</v>
      </c>
      <c r="L692">
        <v>-5.1999999999999998E-2</v>
      </c>
    </row>
    <row r="693" spans="1:12" x14ac:dyDescent="0.25">
      <c r="A693">
        <v>929929</v>
      </c>
      <c r="B693">
        <v>0.435</v>
      </c>
      <c r="C693">
        <v>-0.435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-273.10000000000002</v>
      </c>
      <c r="L693">
        <v>-3.5000000000000003E-2</v>
      </c>
    </row>
    <row r="694" spans="1:12" x14ac:dyDescent="0.25">
      <c r="A694">
        <v>934935</v>
      </c>
      <c r="B694">
        <v>0.46400000000000002</v>
      </c>
      <c r="C694">
        <v>-0.46400000000000002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-273.10000000000002</v>
      </c>
      <c r="L694">
        <v>-3.5000000000000003E-2</v>
      </c>
    </row>
    <row r="695" spans="1:12" x14ac:dyDescent="0.25">
      <c r="A695">
        <v>939942</v>
      </c>
      <c r="B695">
        <v>0.43</v>
      </c>
      <c r="C695">
        <v>-0.43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-273.10000000000002</v>
      </c>
      <c r="L695">
        <v>1E-3</v>
      </c>
    </row>
    <row r="696" spans="1:12" x14ac:dyDescent="0.25">
      <c r="A696">
        <v>944947</v>
      </c>
      <c r="B696">
        <v>0.45900000000000002</v>
      </c>
      <c r="C696">
        <v>-0.45900000000000002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-273.10000000000002</v>
      </c>
      <c r="L696">
        <v>-5.7000000000000002E-2</v>
      </c>
    </row>
    <row r="697" spans="1:12" x14ac:dyDescent="0.25">
      <c r="A697">
        <v>949954</v>
      </c>
      <c r="B697">
        <v>0.44</v>
      </c>
      <c r="C697">
        <v>-0.44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-273.10000000000002</v>
      </c>
      <c r="L697">
        <v>-3.5999999999999997E-2</v>
      </c>
    </row>
    <row r="698" spans="1:12" x14ac:dyDescent="0.25">
      <c r="A698">
        <v>954960</v>
      </c>
      <c r="B698">
        <v>0.46400000000000002</v>
      </c>
      <c r="C698">
        <v>-0.46400000000000002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-273.10000000000002</v>
      </c>
      <c r="L698">
        <v>-5.8000000000000003E-2</v>
      </c>
    </row>
    <row r="699" spans="1:12" x14ac:dyDescent="0.25">
      <c r="A699">
        <v>960006</v>
      </c>
      <c r="B699">
        <v>0.45900000000000002</v>
      </c>
      <c r="C699">
        <v>-0.45900000000000002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-273.10000000000002</v>
      </c>
      <c r="L699">
        <v>-0.04</v>
      </c>
    </row>
    <row r="700" spans="1:12" x14ac:dyDescent="0.25">
      <c r="A700">
        <v>965010</v>
      </c>
      <c r="B700">
        <v>0.435</v>
      </c>
      <c r="C700">
        <v>-0.435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-273.10000000000002</v>
      </c>
      <c r="L700">
        <v>-3.6999999999999998E-2</v>
      </c>
    </row>
    <row r="701" spans="1:12" x14ac:dyDescent="0.25">
      <c r="A701">
        <v>970024</v>
      </c>
      <c r="B701">
        <v>0.46400000000000002</v>
      </c>
      <c r="C701">
        <v>-0.46400000000000002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-273.10000000000002</v>
      </c>
      <c r="L701">
        <v>-5.0999999999999997E-2</v>
      </c>
    </row>
    <row r="702" spans="1:12" x14ac:dyDescent="0.25">
      <c r="A702">
        <v>975033</v>
      </c>
      <c r="B702">
        <v>0.46899999999999997</v>
      </c>
      <c r="C702">
        <v>-0.46899999999999997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-273.10000000000002</v>
      </c>
      <c r="L702">
        <v>-2.4E-2</v>
      </c>
    </row>
    <row r="703" spans="1:12" x14ac:dyDescent="0.25">
      <c r="A703">
        <v>980038</v>
      </c>
      <c r="B703">
        <v>0.45500000000000002</v>
      </c>
      <c r="C703">
        <v>-0.45500000000000002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-273.10000000000002</v>
      </c>
      <c r="L703">
        <v>-1.4E-2</v>
      </c>
    </row>
    <row r="704" spans="1:12" x14ac:dyDescent="0.25">
      <c r="A704">
        <v>985044</v>
      </c>
      <c r="B704">
        <v>0.50800000000000001</v>
      </c>
      <c r="C704">
        <v>-0.50800000000000001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-273.10000000000002</v>
      </c>
      <c r="L704">
        <v>-4.4999999999999998E-2</v>
      </c>
    </row>
    <row r="705" spans="1:12" x14ac:dyDescent="0.25">
      <c r="A705">
        <v>990049</v>
      </c>
      <c r="B705">
        <v>3.9540000000000002</v>
      </c>
      <c r="C705">
        <v>3.9660000000000002</v>
      </c>
      <c r="D705">
        <v>3.8679999999999999</v>
      </c>
      <c r="E705">
        <v>3.8090000000000002</v>
      </c>
      <c r="F705">
        <v>0</v>
      </c>
      <c r="G705">
        <v>0</v>
      </c>
      <c r="H705">
        <v>0</v>
      </c>
      <c r="I705">
        <v>0</v>
      </c>
      <c r="J705">
        <v>15.597</v>
      </c>
      <c r="K705">
        <v>-126.2</v>
      </c>
      <c r="L705">
        <v>-3.3000000000000002E-2</v>
      </c>
    </row>
    <row r="706" spans="1:12" x14ac:dyDescent="0.25">
      <c r="A706">
        <v>995049</v>
      </c>
      <c r="B706">
        <v>3.9540000000000002</v>
      </c>
      <c r="C706">
        <v>3.9660000000000002</v>
      </c>
      <c r="D706">
        <v>3.8679999999999999</v>
      </c>
      <c r="E706">
        <v>3.8090000000000002</v>
      </c>
      <c r="F706">
        <v>0</v>
      </c>
      <c r="G706">
        <v>0</v>
      </c>
      <c r="H706">
        <v>0</v>
      </c>
      <c r="I706">
        <v>0</v>
      </c>
      <c r="J706">
        <v>15.597</v>
      </c>
      <c r="K706">
        <v>-126.2</v>
      </c>
      <c r="L706">
        <v>-4.9000000000000002E-2</v>
      </c>
    </row>
    <row r="707" spans="1:12" x14ac:dyDescent="0.25">
      <c r="A707">
        <v>1000086</v>
      </c>
      <c r="B707">
        <v>3.9540000000000002</v>
      </c>
      <c r="C707">
        <v>3.9660000000000002</v>
      </c>
      <c r="D707">
        <v>3.8679999999999999</v>
      </c>
      <c r="E707">
        <v>3.8090000000000002</v>
      </c>
      <c r="F707">
        <v>19.928999999999998</v>
      </c>
      <c r="G707">
        <v>3.923</v>
      </c>
      <c r="H707">
        <v>3.8940000000000001</v>
      </c>
      <c r="I707">
        <v>3.863</v>
      </c>
      <c r="J707">
        <v>47.206000000000003</v>
      </c>
      <c r="K707">
        <v>21.1</v>
      </c>
      <c r="L707">
        <v>-3.5000000000000003E-2</v>
      </c>
    </row>
    <row r="708" spans="1:12" x14ac:dyDescent="0.25">
      <c r="A708">
        <v>1005093</v>
      </c>
      <c r="B708">
        <v>3.9590000000000001</v>
      </c>
      <c r="C708">
        <v>3.9609999999999999</v>
      </c>
      <c r="D708">
        <v>3.8679999999999999</v>
      </c>
      <c r="E708">
        <v>3.8090000000000002</v>
      </c>
      <c r="F708">
        <v>0</v>
      </c>
      <c r="G708">
        <v>0</v>
      </c>
      <c r="H708">
        <v>0</v>
      </c>
      <c r="I708">
        <v>0</v>
      </c>
      <c r="J708">
        <v>15.597</v>
      </c>
      <c r="K708">
        <v>-126.2</v>
      </c>
      <c r="L708">
        <v>-4.2999999999999997E-2</v>
      </c>
    </row>
    <row r="709" spans="1:12" x14ac:dyDescent="0.25">
      <c r="A709">
        <v>1013124</v>
      </c>
      <c r="B709">
        <v>3.9540000000000002</v>
      </c>
      <c r="C709">
        <v>3.9660000000000002</v>
      </c>
      <c r="D709">
        <v>3.8679999999999999</v>
      </c>
      <c r="E709">
        <v>3.8090000000000002</v>
      </c>
      <c r="F709">
        <v>4.048</v>
      </c>
      <c r="G709">
        <v>3.923</v>
      </c>
      <c r="H709">
        <v>3.8940000000000001</v>
      </c>
      <c r="I709">
        <v>3.8239999999999998</v>
      </c>
      <c r="J709">
        <v>31.286000000000001</v>
      </c>
      <c r="K709">
        <v>21</v>
      </c>
      <c r="L709">
        <v>-3.9E-2</v>
      </c>
    </row>
    <row r="710" spans="1:12" x14ac:dyDescent="0.25">
      <c r="A710">
        <v>1018129</v>
      </c>
      <c r="B710">
        <v>3.9489999999999998</v>
      </c>
      <c r="C710">
        <v>3.9620000000000002</v>
      </c>
      <c r="D710">
        <v>3.863</v>
      </c>
      <c r="E710">
        <v>3.8050000000000002</v>
      </c>
      <c r="F710">
        <v>4.0659999999999998</v>
      </c>
      <c r="G710">
        <v>3.923</v>
      </c>
      <c r="H710">
        <v>3.8620000000000001</v>
      </c>
      <c r="I710">
        <v>3.8570000000000002</v>
      </c>
      <c r="J710">
        <v>31.286999999999999</v>
      </c>
      <c r="K710">
        <v>21.1</v>
      </c>
      <c r="L710">
        <v>-3.7999999999999999E-2</v>
      </c>
    </row>
    <row r="711" spans="1:12" x14ac:dyDescent="0.25">
      <c r="A711">
        <v>1023131</v>
      </c>
      <c r="B711">
        <v>3.9489999999999998</v>
      </c>
      <c r="C711">
        <v>3.9620000000000002</v>
      </c>
      <c r="D711">
        <v>3.863</v>
      </c>
      <c r="E711">
        <v>3.8050000000000002</v>
      </c>
      <c r="F711">
        <v>4.0659999999999998</v>
      </c>
      <c r="G711">
        <v>3.923</v>
      </c>
      <c r="H711">
        <v>3.8620000000000001</v>
      </c>
      <c r="I711">
        <v>3.8570000000000002</v>
      </c>
      <c r="J711">
        <v>31.286999999999999</v>
      </c>
      <c r="K711">
        <v>21.1</v>
      </c>
      <c r="L711">
        <v>-0.02</v>
      </c>
    </row>
    <row r="712" spans="1:12" x14ac:dyDescent="0.25">
      <c r="A712">
        <v>1028138</v>
      </c>
      <c r="B712">
        <v>3.9489999999999998</v>
      </c>
      <c r="C712">
        <v>3.9620000000000002</v>
      </c>
      <c r="D712">
        <v>3.863</v>
      </c>
      <c r="E712">
        <v>3.8050000000000002</v>
      </c>
      <c r="F712">
        <v>4.0659999999999998</v>
      </c>
      <c r="G712">
        <v>3.923</v>
      </c>
      <c r="H712">
        <v>3.8620000000000001</v>
      </c>
      <c r="I712">
        <v>3.8570000000000002</v>
      </c>
      <c r="J712">
        <v>31.286999999999999</v>
      </c>
      <c r="K712">
        <v>21.1</v>
      </c>
      <c r="L712">
        <v>-4.4999999999999998E-2</v>
      </c>
    </row>
    <row r="713" spans="1:12" x14ac:dyDescent="0.25">
      <c r="A713">
        <v>1033138</v>
      </c>
      <c r="B713">
        <v>3.9489999999999998</v>
      </c>
      <c r="C713">
        <v>3.9620000000000002</v>
      </c>
      <c r="D713">
        <v>3.863</v>
      </c>
      <c r="E713">
        <v>3.8050000000000002</v>
      </c>
      <c r="F713">
        <v>4.0659999999999998</v>
      </c>
      <c r="G713">
        <v>3.923</v>
      </c>
      <c r="H713">
        <v>3.8620000000000001</v>
      </c>
      <c r="I713">
        <v>3.8570000000000002</v>
      </c>
      <c r="J713">
        <v>31.286999999999999</v>
      </c>
      <c r="K713">
        <v>21</v>
      </c>
      <c r="L713">
        <v>-3.6999999999999998E-2</v>
      </c>
    </row>
    <row r="714" spans="1:12" x14ac:dyDescent="0.25">
      <c r="A714">
        <v>1038146</v>
      </c>
      <c r="B714">
        <v>3.9489999999999998</v>
      </c>
      <c r="C714">
        <v>3.9620000000000002</v>
      </c>
      <c r="D714">
        <v>3.863</v>
      </c>
      <c r="E714">
        <v>3.8050000000000002</v>
      </c>
      <c r="F714">
        <v>4.0659999999999998</v>
      </c>
      <c r="G714">
        <v>3.923</v>
      </c>
      <c r="H714">
        <v>3.8620000000000001</v>
      </c>
      <c r="I714">
        <v>3.8570000000000002</v>
      </c>
      <c r="J714">
        <v>31.286999999999999</v>
      </c>
      <c r="K714">
        <v>21</v>
      </c>
      <c r="L714">
        <v>-4.9000000000000002E-2</v>
      </c>
    </row>
    <row r="715" spans="1:12" x14ac:dyDescent="0.25">
      <c r="A715">
        <v>1043152</v>
      </c>
      <c r="B715">
        <v>3.9489999999999998</v>
      </c>
      <c r="C715">
        <v>3.9620000000000002</v>
      </c>
      <c r="D715">
        <v>3.863</v>
      </c>
      <c r="E715">
        <v>3.8050000000000002</v>
      </c>
      <c r="F715">
        <v>4.0659999999999998</v>
      </c>
      <c r="G715">
        <v>3.923</v>
      </c>
      <c r="H715">
        <v>3.8620000000000001</v>
      </c>
      <c r="I715">
        <v>3.8570000000000002</v>
      </c>
      <c r="J715">
        <v>31.286999999999999</v>
      </c>
      <c r="K715">
        <v>21.1</v>
      </c>
      <c r="L715">
        <v>-4.2999999999999997E-2</v>
      </c>
    </row>
    <row r="716" spans="1:12" x14ac:dyDescent="0.25">
      <c r="A716">
        <v>1048152</v>
      </c>
      <c r="B716">
        <v>3.9489999999999998</v>
      </c>
      <c r="C716">
        <v>3.9529999999999998</v>
      </c>
      <c r="D716">
        <v>3.8719999999999999</v>
      </c>
      <c r="E716">
        <v>3.8050000000000002</v>
      </c>
      <c r="F716">
        <v>4.0659999999999998</v>
      </c>
      <c r="G716">
        <v>3.923</v>
      </c>
      <c r="H716">
        <v>3.8620000000000001</v>
      </c>
      <c r="I716">
        <v>3.895</v>
      </c>
      <c r="J716">
        <v>31.324999999999999</v>
      </c>
      <c r="K716">
        <v>21.1</v>
      </c>
      <c r="L716">
        <v>5.0000000000000001E-3</v>
      </c>
    </row>
    <row r="717" spans="1:12" x14ac:dyDescent="0.25">
      <c r="A717">
        <v>1053153</v>
      </c>
      <c r="B717">
        <v>3.9489999999999998</v>
      </c>
      <c r="C717">
        <v>3.9620000000000002</v>
      </c>
      <c r="D717">
        <v>3.863</v>
      </c>
      <c r="E717">
        <v>3.8050000000000002</v>
      </c>
      <c r="F717">
        <v>4.0659999999999998</v>
      </c>
      <c r="G717">
        <v>3.923</v>
      </c>
      <c r="H717">
        <v>3.8620000000000001</v>
      </c>
      <c r="I717">
        <v>3.8570000000000002</v>
      </c>
      <c r="J717">
        <v>31.286999999999999</v>
      </c>
      <c r="K717">
        <v>21.1</v>
      </c>
      <c r="L717">
        <v>-3.6999999999999998E-2</v>
      </c>
    </row>
    <row r="718" spans="1:12" x14ac:dyDescent="0.25">
      <c r="A718">
        <v>1058157</v>
      </c>
      <c r="B718">
        <v>3.9489999999999998</v>
      </c>
      <c r="C718">
        <v>3.9620000000000002</v>
      </c>
      <c r="D718">
        <v>3.863</v>
      </c>
      <c r="E718">
        <v>3.8050000000000002</v>
      </c>
      <c r="F718">
        <v>4.0659999999999998</v>
      </c>
      <c r="G718">
        <v>3.923</v>
      </c>
      <c r="H718">
        <v>3.8620000000000001</v>
      </c>
      <c r="I718">
        <v>3.8570000000000002</v>
      </c>
      <c r="J718">
        <v>31.286999999999999</v>
      </c>
      <c r="K718">
        <v>21.1</v>
      </c>
      <c r="L718">
        <v>-1E-3</v>
      </c>
    </row>
    <row r="719" spans="1:12" x14ac:dyDescent="0.25">
      <c r="A719">
        <v>1063162</v>
      </c>
      <c r="B719">
        <v>3.9489999999999998</v>
      </c>
      <c r="C719">
        <v>3.9620000000000002</v>
      </c>
      <c r="D719">
        <v>3.863</v>
      </c>
      <c r="E719">
        <v>3.8050000000000002</v>
      </c>
      <c r="F719">
        <v>4.0659999999999998</v>
      </c>
      <c r="G719">
        <v>3.923</v>
      </c>
      <c r="H719">
        <v>3.8620000000000001</v>
      </c>
      <c r="I719">
        <v>3.8570000000000002</v>
      </c>
      <c r="J719">
        <v>31.286999999999999</v>
      </c>
      <c r="K719">
        <v>21.1</v>
      </c>
      <c r="L719">
        <v>-5.1999999999999998E-2</v>
      </c>
    </row>
    <row r="720" spans="1:12" x14ac:dyDescent="0.25">
      <c r="A720">
        <v>1068162</v>
      </c>
      <c r="B720">
        <v>3.9489999999999998</v>
      </c>
      <c r="C720">
        <v>3.9620000000000002</v>
      </c>
      <c r="D720">
        <v>3.863</v>
      </c>
      <c r="E720">
        <v>3.8050000000000002</v>
      </c>
      <c r="F720">
        <v>4.0659999999999998</v>
      </c>
      <c r="G720">
        <v>3.923</v>
      </c>
      <c r="H720">
        <v>3.8620000000000001</v>
      </c>
      <c r="I720">
        <v>3.8570000000000002</v>
      </c>
      <c r="J720">
        <v>31.286999999999999</v>
      </c>
      <c r="K720">
        <v>21.1</v>
      </c>
      <c r="L720">
        <v>-3.7999999999999999E-2</v>
      </c>
    </row>
    <row r="721" spans="1:12" x14ac:dyDescent="0.25">
      <c r="A721">
        <v>1073168</v>
      </c>
      <c r="B721">
        <v>3.9489999999999998</v>
      </c>
      <c r="C721">
        <v>3.9620000000000002</v>
      </c>
      <c r="D721">
        <v>3.863</v>
      </c>
      <c r="E721">
        <v>3.8050000000000002</v>
      </c>
      <c r="F721">
        <v>4.0659999999999998</v>
      </c>
      <c r="G721">
        <v>3.923</v>
      </c>
      <c r="H721">
        <v>3.8620000000000001</v>
      </c>
      <c r="I721">
        <v>3.8570000000000002</v>
      </c>
      <c r="J721">
        <v>31.286999999999999</v>
      </c>
      <c r="K721">
        <v>21.1</v>
      </c>
      <c r="L721">
        <v>-4.2000000000000003E-2</v>
      </c>
    </row>
    <row r="722" spans="1:12" x14ac:dyDescent="0.25">
      <c r="A722">
        <v>1078177</v>
      </c>
      <c r="B722">
        <v>3.9489999999999998</v>
      </c>
      <c r="C722">
        <v>3.9620000000000002</v>
      </c>
      <c r="D722">
        <v>3.863</v>
      </c>
      <c r="E722">
        <v>3.8050000000000002</v>
      </c>
      <c r="F722">
        <v>4.0659999999999998</v>
      </c>
      <c r="G722">
        <v>3.923</v>
      </c>
      <c r="H722">
        <v>3.8620000000000001</v>
      </c>
      <c r="I722">
        <v>3.8570000000000002</v>
      </c>
      <c r="J722">
        <v>31.286999999999999</v>
      </c>
      <c r="K722">
        <v>21.1</v>
      </c>
      <c r="L722">
        <v>1.9E-2</v>
      </c>
    </row>
    <row r="723" spans="1:12" x14ac:dyDescent="0.25">
      <c r="A723">
        <v>1083186</v>
      </c>
      <c r="B723">
        <v>3.9489999999999998</v>
      </c>
      <c r="C723">
        <v>3.9620000000000002</v>
      </c>
      <c r="D723">
        <v>3.863</v>
      </c>
      <c r="E723">
        <v>3.8050000000000002</v>
      </c>
      <c r="F723">
        <v>4.0659999999999998</v>
      </c>
      <c r="G723">
        <v>3.923</v>
      </c>
      <c r="H723">
        <v>3.8620000000000001</v>
      </c>
      <c r="I723">
        <v>3.8570000000000002</v>
      </c>
      <c r="J723">
        <v>31.286999999999999</v>
      </c>
      <c r="K723">
        <v>21</v>
      </c>
      <c r="L723">
        <v>-2.5999999999999999E-2</v>
      </c>
    </row>
    <row r="724" spans="1:12" x14ac:dyDescent="0.25">
      <c r="A724">
        <v>1088189</v>
      </c>
      <c r="B724">
        <v>3.9489999999999998</v>
      </c>
      <c r="C724">
        <v>3.9620000000000002</v>
      </c>
      <c r="D724">
        <v>3.863</v>
      </c>
      <c r="E724">
        <v>3.8050000000000002</v>
      </c>
      <c r="F724">
        <v>4.0659999999999998</v>
      </c>
      <c r="G724">
        <v>3.923</v>
      </c>
      <c r="H724">
        <v>3.8940000000000001</v>
      </c>
      <c r="I724">
        <v>3.9409999999999998</v>
      </c>
      <c r="J724">
        <v>31.402999999999999</v>
      </c>
      <c r="K724">
        <v>21</v>
      </c>
      <c r="L724">
        <v>-3.3000000000000002E-2</v>
      </c>
    </row>
    <row r="725" spans="1:12" x14ac:dyDescent="0.25">
      <c r="A725">
        <v>1093189</v>
      </c>
      <c r="B725">
        <v>3.9540000000000002</v>
      </c>
      <c r="C725">
        <v>3.9569999999999999</v>
      </c>
      <c r="D725">
        <v>3.8769999999999998</v>
      </c>
      <c r="E725">
        <v>3.8090000000000002</v>
      </c>
      <c r="F725">
        <v>4.048</v>
      </c>
      <c r="G725">
        <v>3.952</v>
      </c>
      <c r="H725">
        <v>3.8660000000000001</v>
      </c>
      <c r="I725">
        <v>3.863</v>
      </c>
      <c r="J725">
        <v>31.326000000000001</v>
      </c>
      <c r="K725">
        <v>21</v>
      </c>
      <c r="L725">
        <v>-3.9E-2</v>
      </c>
    </row>
    <row r="726" spans="1:12" x14ac:dyDescent="0.25">
      <c r="A726">
        <v>1098197</v>
      </c>
      <c r="B726">
        <v>3.9489999999999998</v>
      </c>
      <c r="C726">
        <v>3.9620000000000002</v>
      </c>
      <c r="D726">
        <v>3.8769999999999998</v>
      </c>
      <c r="E726">
        <v>3.8090000000000002</v>
      </c>
      <c r="F726">
        <v>4.048</v>
      </c>
      <c r="G726">
        <v>3.952</v>
      </c>
      <c r="H726">
        <v>3.8660000000000001</v>
      </c>
      <c r="I726">
        <v>3.863</v>
      </c>
      <c r="J726">
        <v>31.326000000000001</v>
      </c>
      <c r="K726">
        <v>21</v>
      </c>
      <c r="L726">
        <v>-2.4E-2</v>
      </c>
    </row>
    <row r="727" spans="1:12" x14ac:dyDescent="0.25">
      <c r="A727">
        <v>1103204</v>
      </c>
      <c r="B727">
        <v>3.9540000000000002</v>
      </c>
      <c r="C727">
        <v>3.9569999999999999</v>
      </c>
      <c r="D727">
        <v>3.8769999999999998</v>
      </c>
      <c r="E727">
        <v>3.8090000000000002</v>
      </c>
      <c r="F727">
        <v>4.0659999999999998</v>
      </c>
      <c r="G727">
        <v>3.952</v>
      </c>
      <c r="H727">
        <v>3.8660000000000001</v>
      </c>
      <c r="I727">
        <v>3.863</v>
      </c>
      <c r="J727">
        <v>31.344000000000001</v>
      </c>
      <c r="K727">
        <v>21</v>
      </c>
      <c r="L727">
        <v>-0.03</v>
      </c>
    </row>
    <row r="728" spans="1:12" x14ac:dyDescent="0.25">
      <c r="A728">
        <v>1108219</v>
      </c>
      <c r="B728">
        <v>3.9540000000000002</v>
      </c>
      <c r="C728">
        <v>3.9569999999999999</v>
      </c>
      <c r="D728">
        <v>3.8769999999999998</v>
      </c>
      <c r="E728">
        <v>3.8090000000000002</v>
      </c>
      <c r="F728">
        <v>4.0659999999999998</v>
      </c>
      <c r="G728">
        <v>3.952</v>
      </c>
      <c r="H728">
        <v>3.8330000000000002</v>
      </c>
      <c r="I728">
        <v>3.895</v>
      </c>
      <c r="J728">
        <v>31.343</v>
      </c>
      <c r="K728">
        <v>21</v>
      </c>
      <c r="L728">
        <v>-4.2999999999999997E-2</v>
      </c>
    </row>
    <row r="729" spans="1:12" x14ac:dyDescent="0.25">
      <c r="A729">
        <v>1113222</v>
      </c>
      <c r="B729">
        <v>3.9540000000000002</v>
      </c>
      <c r="C729">
        <v>3.9569999999999999</v>
      </c>
      <c r="D729">
        <v>3.8769999999999998</v>
      </c>
      <c r="E729">
        <v>3.8090000000000002</v>
      </c>
      <c r="F729">
        <v>4.0659999999999998</v>
      </c>
      <c r="G729">
        <v>3.952</v>
      </c>
      <c r="H729">
        <v>3.8330000000000002</v>
      </c>
      <c r="I729">
        <v>3.895</v>
      </c>
      <c r="J729">
        <v>31.343</v>
      </c>
      <c r="K729">
        <v>21</v>
      </c>
      <c r="L729">
        <v>-4.2000000000000003E-2</v>
      </c>
    </row>
    <row r="730" spans="1:12" x14ac:dyDescent="0.25">
      <c r="A730">
        <v>1122707</v>
      </c>
      <c r="B730">
        <v>3.9540000000000002</v>
      </c>
      <c r="C730">
        <v>3.9569999999999999</v>
      </c>
      <c r="D730">
        <v>3.8769999999999998</v>
      </c>
      <c r="E730">
        <v>3.8090000000000002</v>
      </c>
      <c r="F730">
        <v>4.0659999999999998</v>
      </c>
      <c r="G730">
        <v>3.952</v>
      </c>
      <c r="H730">
        <v>3.8330000000000002</v>
      </c>
      <c r="I730">
        <v>3.895</v>
      </c>
      <c r="J730">
        <v>31.343</v>
      </c>
      <c r="K730">
        <v>21.1</v>
      </c>
      <c r="L730">
        <v>-4.4999999999999998E-2</v>
      </c>
    </row>
    <row r="731" spans="1:12" x14ac:dyDescent="0.25">
      <c r="A731">
        <v>1127711</v>
      </c>
      <c r="B731">
        <v>3.9540000000000002</v>
      </c>
      <c r="C731">
        <v>3.9569999999999999</v>
      </c>
      <c r="D731">
        <v>3.8769999999999998</v>
      </c>
      <c r="E731">
        <v>3.8090000000000002</v>
      </c>
      <c r="F731">
        <v>4.0659999999999998</v>
      </c>
      <c r="G731">
        <v>3.952</v>
      </c>
      <c r="H731">
        <v>3.8330000000000002</v>
      </c>
      <c r="I731">
        <v>3.895</v>
      </c>
      <c r="J731">
        <v>31.343</v>
      </c>
      <c r="K731">
        <v>21.1</v>
      </c>
      <c r="L731">
        <v>-3.3000000000000002E-2</v>
      </c>
    </row>
    <row r="732" spans="1:12" x14ac:dyDescent="0.25">
      <c r="A732">
        <v>1132714</v>
      </c>
      <c r="B732">
        <v>3.9540000000000002</v>
      </c>
      <c r="C732">
        <v>3.9569999999999999</v>
      </c>
      <c r="D732">
        <v>3.8769999999999998</v>
      </c>
      <c r="E732">
        <v>3.7909999999999999</v>
      </c>
      <c r="F732">
        <v>4.0659999999999998</v>
      </c>
      <c r="G732">
        <v>3.952</v>
      </c>
      <c r="H732">
        <v>3.8660000000000001</v>
      </c>
      <c r="I732">
        <v>3.863</v>
      </c>
      <c r="J732">
        <v>31.326000000000001</v>
      </c>
      <c r="K732">
        <v>21.1</v>
      </c>
      <c r="L732">
        <v>-5.0999999999999997E-2</v>
      </c>
    </row>
    <row r="733" spans="1:12" x14ac:dyDescent="0.25">
      <c r="A733">
        <v>1137723</v>
      </c>
      <c r="B733">
        <v>3.9540000000000002</v>
      </c>
      <c r="C733">
        <v>3.9569999999999999</v>
      </c>
      <c r="D733">
        <v>3.8769999999999998</v>
      </c>
      <c r="E733">
        <v>3.7909999999999999</v>
      </c>
      <c r="F733">
        <v>4.0659999999999998</v>
      </c>
      <c r="G733">
        <v>3.952</v>
      </c>
      <c r="H733">
        <v>3.8330000000000002</v>
      </c>
      <c r="I733">
        <v>3.895</v>
      </c>
      <c r="J733">
        <v>31.324999999999999</v>
      </c>
      <c r="K733">
        <v>21.1</v>
      </c>
      <c r="L733">
        <v>-4.1000000000000002E-2</v>
      </c>
    </row>
    <row r="734" spans="1:12" x14ac:dyDescent="0.25">
      <c r="A734">
        <v>1142723</v>
      </c>
      <c r="B734">
        <v>3.9540000000000002</v>
      </c>
      <c r="C734">
        <v>3.9569999999999999</v>
      </c>
      <c r="D734">
        <v>3.8769999999999998</v>
      </c>
      <c r="E734">
        <v>3.8090000000000002</v>
      </c>
      <c r="F734">
        <v>4.0659999999999998</v>
      </c>
      <c r="G734">
        <v>3.952</v>
      </c>
      <c r="H734">
        <v>3.8660000000000001</v>
      </c>
      <c r="I734">
        <v>3.863</v>
      </c>
      <c r="J734">
        <v>31.344000000000001</v>
      </c>
      <c r="K734">
        <v>21.1</v>
      </c>
      <c r="L734">
        <v>-4.2999999999999997E-2</v>
      </c>
    </row>
    <row r="735" spans="1:12" x14ac:dyDescent="0.25">
      <c r="A735">
        <v>1147732</v>
      </c>
      <c r="B735">
        <v>3.9540000000000002</v>
      </c>
      <c r="C735">
        <v>3.9569999999999999</v>
      </c>
      <c r="D735">
        <v>3.8769999999999998</v>
      </c>
      <c r="E735">
        <v>3.8090000000000002</v>
      </c>
      <c r="F735">
        <v>4.0759999999999996</v>
      </c>
      <c r="G735">
        <v>3.9239999999999999</v>
      </c>
      <c r="H735">
        <v>3.8660000000000001</v>
      </c>
      <c r="I735">
        <v>3.863</v>
      </c>
      <c r="J735">
        <v>31.326000000000001</v>
      </c>
      <c r="K735">
        <v>21.1</v>
      </c>
      <c r="L735">
        <v>-5.1999999999999998E-2</v>
      </c>
    </row>
    <row r="736" spans="1:12" x14ac:dyDescent="0.25">
      <c r="A736">
        <v>1152738</v>
      </c>
      <c r="B736">
        <v>3.9540000000000002</v>
      </c>
      <c r="C736">
        <v>3.9569999999999999</v>
      </c>
      <c r="D736">
        <v>3.8769999999999998</v>
      </c>
      <c r="E736">
        <v>3.8090000000000002</v>
      </c>
      <c r="F736">
        <v>4.0659999999999998</v>
      </c>
      <c r="G736">
        <v>3.952</v>
      </c>
      <c r="H736">
        <v>3.8660000000000001</v>
      </c>
      <c r="I736">
        <v>3.863</v>
      </c>
      <c r="J736">
        <v>31.344000000000001</v>
      </c>
      <c r="K736">
        <v>21</v>
      </c>
      <c r="L736">
        <v>-5.2999999999999999E-2</v>
      </c>
    </row>
    <row r="737" spans="1:12" x14ac:dyDescent="0.25">
      <c r="A737">
        <v>1157739</v>
      </c>
      <c r="B737">
        <v>3.9540000000000002</v>
      </c>
      <c r="C737">
        <v>3.9569999999999999</v>
      </c>
      <c r="D737">
        <v>3.8769999999999998</v>
      </c>
      <c r="E737">
        <v>3.8090000000000002</v>
      </c>
      <c r="F737">
        <v>4.0659999999999998</v>
      </c>
      <c r="G737">
        <v>3.952</v>
      </c>
      <c r="H737">
        <v>3.8330000000000002</v>
      </c>
      <c r="I737">
        <v>3.895</v>
      </c>
      <c r="J737">
        <v>31.343</v>
      </c>
      <c r="K737">
        <v>21.1</v>
      </c>
      <c r="L737">
        <v>-7.0000000000000007E-2</v>
      </c>
    </row>
    <row r="738" spans="1:12" x14ac:dyDescent="0.25">
      <c r="A738">
        <v>7406</v>
      </c>
      <c r="B738">
        <v>0</v>
      </c>
      <c r="C738">
        <v>3.9660000000000002</v>
      </c>
      <c r="D738">
        <v>3.8679999999999999</v>
      </c>
      <c r="E738">
        <v>3.8090000000000002</v>
      </c>
      <c r="F738">
        <v>4.0759999999999996</v>
      </c>
      <c r="G738">
        <v>3.9529999999999998</v>
      </c>
      <c r="H738">
        <v>3.8370000000000002</v>
      </c>
      <c r="I738">
        <v>3.863</v>
      </c>
      <c r="J738">
        <v>27.372</v>
      </c>
      <c r="K738">
        <v>21</v>
      </c>
      <c r="L738">
        <v>-2E-3</v>
      </c>
    </row>
    <row r="739" spans="1:12" x14ac:dyDescent="0.25">
      <c r="A739">
        <v>14448</v>
      </c>
      <c r="B739">
        <v>3.9540000000000002</v>
      </c>
      <c r="C739">
        <v>3.9660000000000002</v>
      </c>
      <c r="D739">
        <v>3.8679999999999999</v>
      </c>
      <c r="E739">
        <v>3.8090000000000002</v>
      </c>
      <c r="F739">
        <v>4.0759999999999996</v>
      </c>
      <c r="G739">
        <v>3.9529999999999998</v>
      </c>
      <c r="H739">
        <v>3.8370000000000002</v>
      </c>
      <c r="I739">
        <v>3.9020000000000001</v>
      </c>
      <c r="J739">
        <v>31.364999999999998</v>
      </c>
      <c r="K739">
        <v>21</v>
      </c>
      <c r="L739">
        <v>-4.0000000000000001E-3</v>
      </c>
    </row>
    <row r="740" spans="1:12" x14ac:dyDescent="0.25">
      <c r="A740">
        <v>19452</v>
      </c>
      <c r="B740">
        <v>3.9540000000000002</v>
      </c>
      <c r="C740">
        <v>3.9660000000000002</v>
      </c>
      <c r="D740">
        <v>3.8679999999999999</v>
      </c>
      <c r="E740">
        <v>3.8090000000000002</v>
      </c>
      <c r="F740">
        <v>4.0759999999999996</v>
      </c>
      <c r="G740">
        <v>3.9239999999999999</v>
      </c>
      <c r="H740">
        <v>3.8660000000000001</v>
      </c>
      <c r="I740">
        <v>3.863</v>
      </c>
      <c r="J740">
        <v>31.326000000000001</v>
      </c>
      <c r="K740">
        <v>21</v>
      </c>
      <c r="L740">
        <v>-1.2E-2</v>
      </c>
    </row>
    <row r="741" spans="1:12" x14ac:dyDescent="0.25">
      <c r="A741">
        <v>24459</v>
      </c>
      <c r="B741">
        <v>3.9540000000000002</v>
      </c>
      <c r="C741">
        <v>3.9660000000000002</v>
      </c>
      <c r="D741">
        <v>3.8679999999999999</v>
      </c>
      <c r="E741">
        <v>3.8090000000000002</v>
      </c>
      <c r="F741">
        <v>4.0759999999999996</v>
      </c>
      <c r="G741">
        <v>3.9239999999999999</v>
      </c>
      <c r="H741">
        <v>3.8660000000000001</v>
      </c>
      <c r="I741">
        <v>3.863</v>
      </c>
      <c r="J741">
        <v>31.326000000000001</v>
      </c>
      <c r="K741">
        <v>21</v>
      </c>
      <c r="L741">
        <v>5.0000000000000001E-3</v>
      </c>
    </row>
    <row r="742" spans="1:12" x14ac:dyDescent="0.25">
      <c r="A742">
        <v>7805</v>
      </c>
      <c r="B742">
        <v>0</v>
      </c>
      <c r="C742">
        <v>3.9660000000000002</v>
      </c>
      <c r="D742">
        <v>3.8679999999999999</v>
      </c>
      <c r="E742">
        <v>3.8090000000000002</v>
      </c>
      <c r="F742">
        <v>4.0759999999999996</v>
      </c>
      <c r="G742">
        <v>3.9529999999999998</v>
      </c>
      <c r="H742">
        <v>3.8370000000000002</v>
      </c>
      <c r="I742">
        <v>3.863</v>
      </c>
      <c r="J742">
        <v>27.372</v>
      </c>
      <c r="K742">
        <v>21</v>
      </c>
      <c r="L742">
        <v>-2.1000000000000001E-2</v>
      </c>
    </row>
    <row r="743" spans="1:12" x14ac:dyDescent="0.25">
      <c r="A743">
        <v>14701</v>
      </c>
      <c r="B743">
        <v>3.9540000000000002</v>
      </c>
      <c r="C743">
        <v>3.9660000000000002</v>
      </c>
      <c r="D743">
        <v>3.8679999999999999</v>
      </c>
      <c r="E743">
        <v>3.8090000000000002</v>
      </c>
      <c r="F743">
        <v>4.048</v>
      </c>
      <c r="G743">
        <v>3.952</v>
      </c>
      <c r="H743">
        <v>3.8660000000000001</v>
      </c>
      <c r="I743">
        <v>3.863</v>
      </c>
      <c r="J743">
        <v>31.326000000000001</v>
      </c>
      <c r="K743">
        <v>21</v>
      </c>
      <c r="L743">
        <v>-1.7000000000000001E-2</v>
      </c>
    </row>
    <row r="744" spans="1:12" x14ac:dyDescent="0.25">
      <c r="A744">
        <v>19703</v>
      </c>
      <c r="B744">
        <v>3.9540000000000002</v>
      </c>
      <c r="C744">
        <v>3.9660000000000002</v>
      </c>
      <c r="D744">
        <v>3.8679999999999999</v>
      </c>
      <c r="E744">
        <v>3.8090000000000002</v>
      </c>
      <c r="F744">
        <v>4.0759999999999996</v>
      </c>
      <c r="G744">
        <v>3.9239999999999999</v>
      </c>
      <c r="H744">
        <v>3.8660000000000001</v>
      </c>
      <c r="I744">
        <v>3.863</v>
      </c>
      <c r="J744">
        <v>31.326000000000001</v>
      </c>
      <c r="K744">
        <v>21</v>
      </c>
      <c r="L744">
        <v>-1.4E-2</v>
      </c>
    </row>
    <row r="745" spans="1:12" x14ac:dyDescent="0.25">
      <c r="A745">
        <v>24707</v>
      </c>
      <c r="B745">
        <v>3.9590000000000001</v>
      </c>
      <c r="C745">
        <v>3.9609999999999999</v>
      </c>
      <c r="D745">
        <v>3.883</v>
      </c>
      <c r="E745">
        <v>3.8119999999999998</v>
      </c>
      <c r="F745">
        <v>4.0759999999999996</v>
      </c>
      <c r="G745">
        <v>3.9529999999999998</v>
      </c>
      <c r="H745">
        <v>3.8370000000000002</v>
      </c>
      <c r="I745">
        <v>3.9020000000000001</v>
      </c>
      <c r="J745">
        <v>31.382999999999999</v>
      </c>
      <c r="K745">
        <v>21</v>
      </c>
      <c r="L745">
        <v>-2.7E-2</v>
      </c>
    </row>
    <row r="746" spans="1:12" x14ac:dyDescent="0.25">
      <c r="A746">
        <v>29712</v>
      </c>
      <c r="B746">
        <v>3.9590000000000001</v>
      </c>
      <c r="C746">
        <v>3.9609999999999999</v>
      </c>
      <c r="D746">
        <v>3.883</v>
      </c>
      <c r="E746">
        <v>3.8119999999999998</v>
      </c>
      <c r="F746">
        <v>4.0759999999999996</v>
      </c>
      <c r="G746">
        <v>3.9529999999999998</v>
      </c>
      <c r="H746">
        <v>3.8370000000000002</v>
      </c>
      <c r="I746">
        <v>3.9020000000000001</v>
      </c>
      <c r="J746">
        <v>31.382999999999999</v>
      </c>
      <c r="K746">
        <v>21</v>
      </c>
      <c r="L746">
        <v>-0.01</v>
      </c>
    </row>
    <row r="747" spans="1:12" x14ac:dyDescent="0.25">
      <c r="A747">
        <v>34712</v>
      </c>
      <c r="B747">
        <v>3.9590000000000001</v>
      </c>
      <c r="C747">
        <v>3.9609999999999999</v>
      </c>
      <c r="D747">
        <v>3.883</v>
      </c>
      <c r="E747">
        <v>3.8119999999999998</v>
      </c>
      <c r="F747">
        <v>4.0579999999999998</v>
      </c>
      <c r="G747">
        <v>3.9529999999999998</v>
      </c>
      <c r="H747">
        <v>3.87</v>
      </c>
      <c r="I747">
        <v>3.8690000000000002</v>
      </c>
      <c r="J747">
        <v>31.364999999999998</v>
      </c>
      <c r="K747">
        <v>21.1</v>
      </c>
      <c r="L747">
        <v>-2.5999999999999999E-2</v>
      </c>
    </row>
    <row r="748" spans="1:12" x14ac:dyDescent="0.25">
      <c r="A748">
        <v>39720</v>
      </c>
      <c r="B748">
        <v>3.9590000000000001</v>
      </c>
      <c r="C748">
        <v>3.9609999999999999</v>
      </c>
      <c r="D748">
        <v>3.883</v>
      </c>
      <c r="E748">
        <v>3.8119999999999998</v>
      </c>
      <c r="F748">
        <v>4.0579999999999998</v>
      </c>
      <c r="G748">
        <v>3.9529999999999998</v>
      </c>
      <c r="H748">
        <v>3.87</v>
      </c>
      <c r="I748">
        <v>3.8690000000000002</v>
      </c>
      <c r="J748">
        <v>31.364999999999998</v>
      </c>
      <c r="K748">
        <v>21.1</v>
      </c>
      <c r="L748">
        <v>-3.9E-2</v>
      </c>
    </row>
    <row r="749" spans="1:12" x14ac:dyDescent="0.25">
      <c r="A749">
        <v>44726</v>
      </c>
      <c r="B749">
        <v>3.9590000000000001</v>
      </c>
      <c r="C749">
        <v>3.9609999999999999</v>
      </c>
      <c r="D749">
        <v>3.883</v>
      </c>
      <c r="E749">
        <v>3.8119999999999998</v>
      </c>
      <c r="F749">
        <v>4.0579999999999998</v>
      </c>
      <c r="G749">
        <v>3.9529999999999998</v>
      </c>
      <c r="H749">
        <v>3.87</v>
      </c>
      <c r="I749">
        <v>3.8690000000000002</v>
      </c>
      <c r="J749">
        <v>31.364999999999998</v>
      </c>
      <c r="K749">
        <v>21</v>
      </c>
      <c r="L749">
        <v>-0.02</v>
      </c>
    </row>
    <row r="750" spans="1:12" x14ac:dyDescent="0.25">
      <c r="A750">
        <v>49726</v>
      </c>
      <c r="B750">
        <v>3.9590000000000001</v>
      </c>
      <c r="C750">
        <v>3.9609999999999999</v>
      </c>
      <c r="D750">
        <v>3.883</v>
      </c>
      <c r="E750">
        <v>3.8119999999999998</v>
      </c>
      <c r="F750">
        <v>4.0759999999999996</v>
      </c>
      <c r="G750">
        <v>3.9529999999999998</v>
      </c>
      <c r="H750">
        <v>3.8370000000000002</v>
      </c>
      <c r="I750">
        <v>3.9020000000000001</v>
      </c>
      <c r="J750">
        <v>31.382999999999999</v>
      </c>
      <c r="K750">
        <v>21.1</v>
      </c>
      <c r="L750">
        <v>-4.2999999999999997E-2</v>
      </c>
    </row>
    <row r="751" spans="1:12" x14ac:dyDescent="0.25">
      <c r="A751">
        <v>54729</v>
      </c>
      <c r="B751">
        <v>3.9590000000000001</v>
      </c>
      <c r="C751">
        <v>3.9609999999999999</v>
      </c>
      <c r="D751">
        <v>3.883</v>
      </c>
      <c r="E751">
        <v>3.8119999999999998</v>
      </c>
      <c r="F751">
        <v>4.0759999999999996</v>
      </c>
      <c r="G751">
        <v>3.9529999999999998</v>
      </c>
      <c r="H751">
        <v>3.8370000000000002</v>
      </c>
      <c r="I751">
        <v>3.9020000000000001</v>
      </c>
      <c r="J751">
        <v>31.382999999999999</v>
      </c>
      <c r="K751">
        <v>21.1</v>
      </c>
      <c r="L751">
        <v>-1.9E-2</v>
      </c>
    </row>
    <row r="752" spans="1:12" x14ac:dyDescent="0.25">
      <c r="A752">
        <v>59730</v>
      </c>
      <c r="B752">
        <v>3.9590000000000001</v>
      </c>
      <c r="C752">
        <v>3.9609999999999999</v>
      </c>
      <c r="D752">
        <v>3.883</v>
      </c>
      <c r="E752">
        <v>3.8119999999999998</v>
      </c>
      <c r="F752">
        <v>4.0759999999999996</v>
      </c>
      <c r="G752">
        <v>3.9529999999999998</v>
      </c>
      <c r="H752">
        <v>3.87</v>
      </c>
      <c r="I752">
        <v>3.8690000000000002</v>
      </c>
      <c r="J752">
        <v>31.382999999999999</v>
      </c>
      <c r="K752">
        <v>21.1</v>
      </c>
      <c r="L752">
        <v>-0.03</v>
      </c>
    </row>
    <row r="753" spans="1:12" x14ac:dyDescent="0.25">
      <c r="A753">
        <v>64736</v>
      </c>
      <c r="B753">
        <v>3.9590000000000001</v>
      </c>
      <c r="C753">
        <v>3.9609999999999999</v>
      </c>
      <c r="D753">
        <v>3.883</v>
      </c>
      <c r="E753">
        <v>3.8119999999999998</v>
      </c>
      <c r="F753">
        <v>4.0579999999999998</v>
      </c>
      <c r="G753">
        <v>3.9529999999999998</v>
      </c>
      <c r="H753">
        <v>3.87</v>
      </c>
      <c r="I753">
        <v>3.8690000000000002</v>
      </c>
      <c r="J753">
        <v>31.364999999999998</v>
      </c>
      <c r="K753">
        <v>21</v>
      </c>
      <c r="L753">
        <v>-3.3000000000000002E-2</v>
      </c>
    </row>
    <row r="754" spans="1:12" x14ac:dyDescent="0.25">
      <c r="A754">
        <v>69737</v>
      </c>
      <c r="B754">
        <v>3.9590000000000001</v>
      </c>
      <c r="C754">
        <v>3.9609999999999999</v>
      </c>
      <c r="D754">
        <v>3.883</v>
      </c>
      <c r="E754">
        <v>3.8119999999999998</v>
      </c>
      <c r="F754">
        <v>4.0579999999999998</v>
      </c>
      <c r="G754">
        <v>3.9529999999999998</v>
      </c>
      <c r="H754">
        <v>3.8370000000000002</v>
      </c>
      <c r="I754">
        <v>3.9020000000000001</v>
      </c>
      <c r="J754">
        <v>31.364999999999998</v>
      </c>
      <c r="K754">
        <v>21</v>
      </c>
      <c r="L754">
        <v>-4.3999999999999997E-2</v>
      </c>
    </row>
    <row r="755" spans="1:12" x14ac:dyDescent="0.25">
      <c r="A755">
        <v>74743</v>
      </c>
      <c r="B755">
        <v>3.9590000000000001</v>
      </c>
      <c r="C755">
        <v>3.9609999999999999</v>
      </c>
      <c r="D755">
        <v>3.883</v>
      </c>
      <c r="E755">
        <v>3.8119999999999998</v>
      </c>
      <c r="F755">
        <v>4.0759999999999996</v>
      </c>
      <c r="G755">
        <v>3.9529999999999998</v>
      </c>
      <c r="H755">
        <v>3.87</v>
      </c>
      <c r="I755">
        <v>3.8690000000000002</v>
      </c>
      <c r="J755">
        <v>31.382999999999999</v>
      </c>
      <c r="K755">
        <v>21.1</v>
      </c>
      <c r="L755">
        <v>-1.4999999999999999E-2</v>
      </c>
    </row>
    <row r="756" spans="1:12" x14ac:dyDescent="0.25">
      <c r="A756">
        <v>79743</v>
      </c>
      <c r="B756">
        <v>3.9590000000000001</v>
      </c>
      <c r="C756">
        <v>3.9609999999999999</v>
      </c>
      <c r="D756">
        <v>3.883</v>
      </c>
      <c r="E756">
        <v>3.8119999999999998</v>
      </c>
      <c r="F756">
        <v>4.0759999999999996</v>
      </c>
      <c r="G756">
        <v>3.9529999999999998</v>
      </c>
      <c r="H756">
        <v>3.8370000000000002</v>
      </c>
      <c r="I756">
        <v>3.9020000000000001</v>
      </c>
      <c r="J756">
        <v>31.382999999999999</v>
      </c>
      <c r="K756">
        <v>21.1</v>
      </c>
      <c r="L756">
        <v>3.3000000000000002E-2</v>
      </c>
    </row>
    <row r="757" spans="1:12" x14ac:dyDescent="0.25">
      <c r="A757">
        <v>84744</v>
      </c>
      <c r="B757">
        <v>3.9590000000000001</v>
      </c>
      <c r="C757">
        <v>3.9609999999999999</v>
      </c>
      <c r="D757">
        <v>3.883</v>
      </c>
      <c r="E757">
        <v>3.8119999999999998</v>
      </c>
      <c r="F757">
        <v>4.0759999999999996</v>
      </c>
      <c r="G757">
        <v>3.9529999999999998</v>
      </c>
      <c r="H757">
        <v>3.8370000000000002</v>
      </c>
      <c r="I757">
        <v>3.9020000000000001</v>
      </c>
      <c r="J757">
        <v>31.382999999999999</v>
      </c>
      <c r="K757">
        <v>21.1</v>
      </c>
      <c r="L757">
        <v>-2.5999999999999999E-2</v>
      </c>
    </row>
    <row r="758" spans="1:12" x14ac:dyDescent="0.25">
      <c r="A758">
        <v>89750</v>
      </c>
      <c r="B758">
        <v>3.9590000000000001</v>
      </c>
      <c r="C758">
        <v>3.9609999999999999</v>
      </c>
      <c r="D758">
        <v>3.883</v>
      </c>
      <c r="E758">
        <v>3.8119999999999998</v>
      </c>
      <c r="F758">
        <v>4.0759999999999996</v>
      </c>
      <c r="G758">
        <v>3.9529999999999998</v>
      </c>
      <c r="H758">
        <v>3.8370000000000002</v>
      </c>
      <c r="I758">
        <v>3.9020000000000001</v>
      </c>
      <c r="J758">
        <v>31.382999999999999</v>
      </c>
      <c r="K758">
        <v>21.1</v>
      </c>
      <c r="L758">
        <v>-2.9000000000000001E-2</v>
      </c>
    </row>
    <row r="759" spans="1:12" x14ac:dyDescent="0.25">
      <c r="A759">
        <v>94750</v>
      </c>
      <c r="B759">
        <v>3.9590000000000001</v>
      </c>
      <c r="C759">
        <v>3.9609999999999999</v>
      </c>
      <c r="D759">
        <v>3.883</v>
      </c>
      <c r="E759">
        <v>3.8119999999999998</v>
      </c>
      <c r="F759">
        <v>4.0759999999999996</v>
      </c>
      <c r="G759">
        <v>3.9529999999999998</v>
      </c>
      <c r="H759">
        <v>3.8370000000000002</v>
      </c>
      <c r="I759">
        <v>3.9020000000000001</v>
      </c>
      <c r="J759">
        <v>31.382999999999999</v>
      </c>
      <c r="K759">
        <v>21.1</v>
      </c>
      <c r="L759">
        <v>-2.7E-2</v>
      </c>
    </row>
    <row r="760" spans="1:12" x14ac:dyDescent="0.25">
      <c r="A760">
        <v>99753</v>
      </c>
      <c r="B760">
        <v>3.9590000000000001</v>
      </c>
      <c r="C760">
        <v>3.97</v>
      </c>
      <c r="D760">
        <v>3.8740000000000001</v>
      </c>
      <c r="E760">
        <v>3.8119999999999998</v>
      </c>
      <c r="F760">
        <v>4.0759999999999996</v>
      </c>
      <c r="G760">
        <v>3.9529999999999998</v>
      </c>
      <c r="H760">
        <v>3.8370000000000002</v>
      </c>
      <c r="I760">
        <v>3.9020000000000001</v>
      </c>
      <c r="J760">
        <v>31.382999999999999</v>
      </c>
      <c r="K760">
        <v>21.1</v>
      </c>
      <c r="L760">
        <v>-3.5999999999999997E-2</v>
      </c>
    </row>
    <row r="761" spans="1:12" x14ac:dyDescent="0.25">
      <c r="A761">
        <v>104753</v>
      </c>
      <c r="B761">
        <v>3.9590000000000001</v>
      </c>
      <c r="C761">
        <v>3.9609999999999999</v>
      </c>
      <c r="D761">
        <v>3.883</v>
      </c>
      <c r="E761">
        <v>3.8119999999999998</v>
      </c>
      <c r="F761">
        <v>4.0579999999999998</v>
      </c>
      <c r="G761">
        <v>3.9529999999999998</v>
      </c>
      <c r="H761">
        <v>3.87</v>
      </c>
      <c r="I761">
        <v>3.8690000000000002</v>
      </c>
      <c r="J761">
        <v>31.364999999999998</v>
      </c>
      <c r="K761">
        <v>21.1</v>
      </c>
      <c r="L761">
        <v>-3.2000000000000001E-2</v>
      </c>
    </row>
    <row r="762" spans="1:12" x14ac:dyDescent="0.25">
      <c r="A762">
        <v>109755</v>
      </c>
      <c r="B762">
        <v>3.9540000000000002</v>
      </c>
      <c r="C762">
        <v>3.9660000000000002</v>
      </c>
      <c r="D762">
        <v>3.8679999999999999</v>
      </c>
      <c r="E762">
        <v>3.8090000000000002</v>
      </c>
      <c r="F762">
        <v>4.0579999999999998</v>
      </c>
      <c r="G762">
        <v>3.9529999999999998</v>
      </c>
      <c r="H762">
        <v>3.87</v>
      </c>
      <c r="I762">
        <v>3.8690000000000002</v>
      </c>
      <c r="J762">
        <v>31.347000000000001</v>
      </c>
      <c r="K762">
        <v>21.1</v>
      </c>
      <c r="L762">
        <v>-2.3E-2</v>
      </c>
    </row>
    <row r="763" spans="1:12" x14ac:dyDescent="0.25">
      <c r="A763">
        <v>114760</v>
      </c>
      <c r="B763">
        <v>3.9540000000000002</v>
      </c>
      <c r="C763">
        <v>3.9660000000000002</v>
      </c>
      <c r="D763">
        <v>3.8679999999999999</v>
      </c>
      <c r="E763">
        <v>3.8090000000000002</v>
      </c>
      <c r="F763">
        <v>4.0759999999999996</v>
      </c>
      <c r="G763">
        <v>3.9529999999999998</v>
      </c>
      <c r="H763">
        <v>3.8370000000000002</v>
      </c>
      <c r="I763">
        <v>3.863</v>
      </c>
      <c r="J763">
        <v>31.326000000000001</v>
      </c>
      <c r="K763">
        <v>21.1</v>
      </c>
      <c r="L763">
        <v>-3.5999999999999997E-2</v>
      </c>
    </row>
    <row r="764" spans="1:12" x14ac:dyDescent="0.25">
      <c r="A764">
        <v>119763</v>
      </c>
      <c r="B764">
        <v>3.9540000000000002</v>
      </c>
      <c r="C764">
        <v>3.9660000000000002</v>
      </c>
      <c r="D764">
        <v>3.8679999999999999</v>
      </c>
      <c r="E764">
        <v>3.8090000000000002</v>
      </c>
      <c r="F764">
        <v>4.0759999999999996</v>
      </c>
      <c r="G764">
        <v>3.9529999999999998</v>
      </c>
      <c r="H764">
        <v>3.8370000000000002</v>
      </c>
      <c r="I764">
        <v>3.9020000000000001</v>
      </c>
      <c r="J764">
        <v>31.364999999999998</v>
      </c>
      <c r="K764">
        <v>21.1</v>
      </c>
      <c r="L764">
        <v>-0.03</v>
      </c>
    </row>
    <row r="765" spans="1:12" x14ac:dyDescent="0.25">
      <c r="A765">
        <v>124763</v>
      </c>
      <c r="B765">
        <v>3.9540000000000002</v>
      </c>
      <c r="C765">
        <v>3.9660000000000002</v>
      </c>
      <c r="D765">
        <v>3.8679999999999999</v>
      </c>
      <c r="E765">
        <v>3.8090000000000002</v>
      </c>
      <c r="F765">
        <v>4.0759999999999996</v>
      </c>
      <c r="G765">
        <v>3.9529999999999998</v>
      </c>
      <c r="H765">
        <v>3.8370000000000002</v>
      </c>
      <c r="I765">
        <v>3.863</v>
      </c>
      <c r="J765">
        <v>31.326000000000001</v>
      </c>
      <c r="K765">
        <v>21.1</v>
      </c>
      <c r="L765">
        <v>-3.1E-2</v>
      </c>
    </row>
    <row r="766" spans="1:12" x14ac:dyDescent="0.25">
      <c r="A766">
        <v>129769</v>
      </c>
      <c r="B766">
        <v>3.9540000000000002</v>
      </c>
      <c r="C766">
        <v>3.9660000000000002</v>
      </c>
      <c r="D766">
        <v>3.8679999999999999</v>
      </c>
      <c r="E766">
        <v>3.8090000000000002</v>
      </c>
      <c r="F766">
        <v>4.0759999999999996</v>
      </c>
      <c r="G766">
        <v>3.9239999999999999</v>
      </c>
      <c r="H766">
        <v>3.8660000000000001</v>
      </c>
      <c r="I766">
        <v>3.863</v>
      </c>
      <c r="J766">
        <v>31.326000000000001</v>
      </c>
      <c r="K766">
        <v>21.1</v>
      </c>
      <c r="L766">
        <v>-2.9000000000000001E-2</v>
      </c>
    </row>
    <row r="767" spans="1:12" x14ac:dyDescent="0.25">
      <c r="A767">
        <v>134783</v>
      </c>
      <c r="B767">
        <v>3.9540000000000002</v>
      </c>
      <c r="C767">
        <v>3.9660000000000002</v>
      </c>
      <c r="D767">
        <v>3.8679999999999999</v>
      </c>
      <c r="E767">
        <v>3.8090000000000002</v>
      </c>
      <c r="F767">
        <v>4.0759999999999996</v>
      </c>
      <c r="G767">
        <v>3.9529999999999998</v>
      </c>
      <c r="H767">
        <v>3.8370000000000002</v>
      </c>
      <c r="I767">
        <v>3.863</v>
      </c>
      <c r="J767">
        <v>31.326000000000001</v>
      </c>
      <c r="K767">
        <v>21.1</v>
      </c>
      <c r="L767">
        <v>-1.4999999999999999E-2</v>
      </c>
    </row>
    <row r="768" spans="1:12" x14ac:dyDescent="0.25">
      <c r="A768">
        <v>139785</v>
      </c>
      <c r="B768">
        <v>3.9540000000000002</v>
      </c>
      <c r="C768">
        <v>3.9660000000000002</v>
      </c>
      <c r="D768">
        <v>3.8679999999999999</v>
      </c>
      <c r="E768">
        <v>3.8090000000000002</v>
      </c>
      <c r="F768">
        <v>4.0759999999999996</v>
      </c>
      <c r="G768">
        <v>3.9529999999999998</v>
      </c>
      <c r="H768">
        <v>3.8370000000000002</v>
      </c>
      <c r="I768">
        <v>3.863</v>
      </c>
      <c r="J768">
        <v>31.326000000000001</v>
      </c>
      <c r="K768">
        <v>21.1</v>
      </c>
      <c r="L768">
        <v>-1.6E-2</v>
      </c>
    </row>
    <row r="769" spans="1:12" x14ac:dyDescent="0.25">
      <c r="A769">
        <v>144789</v>
      </c>
      <c r="B769">
        <v>3.9540000000000002</v>
      </c>
      <c r="C769">
        <v>3.9660000000000002</v>
      </c>
      <c r="D769">
        <v>3.8679999999999999</v>
      </c>
      <c r="E769">
        <v>3.8090000000000002</v>
      </c>
      <c r="F769">
        <v>4.0759999999999996</v>
      </c>
      <c r="G769">
        <v>3.9529999999999998</v>
      </c>
      <c r="H769">
        <v>3.8370000000000002</v>
      </c>
      <c r="I769">
        <v>3.863</v>
      </c>
      <c r="J769">
        <v>31.326000000000001</v>
      </c>
      <c r="K769">
        <v>21.1</v>
      </c>
      <c r="L769">
        <v>-1.7999999999999999E-2</v>
      </c>
    </row>
    <row r="770" spans="1:12" x14ac:dyDescent="0.25">
      <c r="A770">
        <v>149793</v>
      </c>
      <c r="B770">
        <v>3.9540000000000002</v>
      </c>
      <c r="C770">
        <v>3.9660000000000002</v>
      </c>
      <c r="D770">
        <v>3.8679999999999999</v>
      </c>
      <c r="E770">
        <v>3.8090000000000002</v>
      </c>
      <c r="F770">
        <v>4.0759999999999996</v>
      </c>
      <c r="G770">
        <v>3.9529999999999998</v>
      </c>
      <c r="H770">
        <v>3.8370000000000002</v>
      </c>
      <c r="I770">
        <v>3.863</v>
      </c>
      <c r="J770">
        <v>31.326000000000001</v>
      </c>
      <c r="K770">
        <v>21.1</v>
      </c>
      <c r="L770">
        <v>-3.5000000000000003E-2</v>
      </c>
    </row>
    <row r="771" spans="1:12" x14ac:dyDescent="0.25">
      <c r="A771">
        <v>154798</v>
      </c>
      <c r="B771">
        <v>3.9540000000000002</v>
      </c>
      <c r="C771">
        <v>3.9660000000000002</v>
      </c>
      <c r="D771">
        <v>3.8679999999999999</v>
      </c>
      <c r="E771">
        <v>3.8090000000000002</v>
      </c>
      <c r="F771">
        <v>4.0759999999999996</v>
      </c>
      <c r="G771">
        <v>3.9239999999999999</v>
      </c>
      <c r="H771">
        <v>3.8660000000000001</v>
      </c>
      <c r="I771">
        <v>3.863</v>
      </c>
      <c r="J771">
        <v>31.326000000000001</v>
      </c>
      <c r="K771">
        <v>21.1</v>
      </c>
      <c r="L771">
        <v>-3.5000000000000003E-2</v>
      </c>
    </row>
    <row r="772" spans="1:12" x14ac:dyDescent="0.25">
      <c r="A772">
        <v>159800</v>
      </c>
      <c r="B772">
        <v>3.9540000000000002</v>
      </c>
      <c r="C772">
        <v>3.9660000000000002</v>
      </c>
      <c r="D772">
        <v>3.8679999999999999</v>
      </c>
      <c r="E772">
        <v>3.8090000000000002</v>
      </c>
      <c r="F772">
        <v>4.0759999999999996</v>
      </c>
      <c r="G772">
        <v>3.9239999999999999</v>
      </c>
      <c r="H772">
        <v>3.8660000000000001</v>
      </c>
      <c r="I772">
        <v>3.863</v>
      </c>
      <c r="J772">
        <v>31.326000000000001</v>
      </c>
      <c r="K772">
        <v>21.1</v>
      </c>
      <c r="L772">
        <v>-3.7999999999999999E-2</v>
      </c>
    </row>
    <row r="773" spans="1:12" x14ac:dyDescent="0.25">
      <c r="A773">
        <v>164802</v>
      </c>
      <c r="B773">
        <v>3.9540000000000002</v>
      </c>
      <c r="C773">
        <v>3.9660000000000002</v>
      </c>
      <c r="D773">
        <v>3.8679999999999999</v>
      </c>
      <c r="E773">
        <v>3.8090000000000002</v>
      </c>
      <c r="F773">
        <v>4.0759999999999996</v>
      </c>
      <c r="G773">
        <v>3.9529999999999998</v>
      </c>
      <c r="H773">
        <v>3.8370000000000002</v>
      </c>
      <c r="I773">
        <v>3.863</v>
      </c>
      <c r="J773">
        <v>31.326000000000001</v>
      </c>
      <c r="K773">
        <v>21.1</v>
      </c>
      <c r="L773">
        <v>-3.5000000000000003E-2</v>
      </c>
    </row>
    <row r="774" spans="1:12" x14ac:dyDescent="0.25">
      <c r="A774">
        <v>169803</v>
      </c>
      <c r="B774">
        <v>3.9540000000000002</v>
      </c>
      <c r="C774">
        <v>3.9660000000000002</v>
      </c>
      <c r="D774">
        <v>3.883</v>
      </c>
      <c r="E774">
        <v>3.794</v>
      </c>
      <c r="F774">
        <v>4.0759999999999996</v>
      </c>
      <c r="G774">
        <v>3.9529999999999998</v>
      </c>
      <c r="H774">
        <v>3.8370000000000002</v>
      </c>
      <c r="I774">
        <v>3.9020000000000001</v>
      </c>
      <c r="J774">
        <v>31.364999999999998</v>
      </c>
      <c r="K774">
        <v>21.1</v>
      </c>
      <c r="L774">
        <v>-4.4999999999999998E-2</v>
      </c>
    </row>
    <row r="775" spans="1:12" x14ac:dyDescent="0.25">
      <c r="A775">
        <v>174813</v>
      </c>
      <c r="B775">
        <v>3.9540000000000002</v>
      </c>
      <c r="C775">
        <v>3.9660000000000002</v>
      </c>
      <c r="D775">
        <v>3.883</v>
      </c>
      <c r="E775">
        <v>3.794</v>
      </c>
      <c r="F775">
        <v>4.0759999999999996</v>
      </c>
      <c r="G775">
        <v>3.9529999999999998</v>
      </c>
      <c r="H775">
        <v>3.8370000000000002</v>
      </c>
      <c r="I775">
        <v>3.863</v>
      </c>
      <c r="J775">
        <v>31.326000000000001</v>
      </c>
      <c r="K775">
        <v>21.1</v>
      </c>
      <c r="L775">
        <v>-3.3000000000000002E-2</v>
      </c>
    </row>
    <row r="776" spans="1:12" x14ac:dyDescent="0.25">
      <c r="A776">
        <v>179821</v>
      </c>
      <c r="B776">
        <v>3.9540000000000002</v>
      </c>
      <c r="C776">
        <v>3.9660000000000002</v>
      </c>
      <c r="D776">
        <v>3.8679999999999999</v>
      </c>
      <c r="E776">
        <v>3.8090000000000002</v>
      </c>
      <c r="F776">
        <v>4.0759999999999996</v>
      </c>
      <c r="G776">
        <v>3.9239999999999999</v>
      </c>
      <c r="H776">
        <v>3.8660000000000001</v>
      </c>
      <c r="I776">
        <v>3.863</v>
      </c>
      <c r="J776">
        <v>31.326000000000001</v>
      </c>
      <c r="K776">
        <v>21.1</v>
      </c>
      <c r="L776">
        <v>-0.06</v>
      </c>
    </row>
    <row r="777" spans="1:12" x14ac:dyDescent="0.25">
      <c r="A777">
        <v>184822</v>
      </c>
      <c r="B777">
        <v>3.9540000000000002</v>
      </c>
      <c r="C777">
        <v>3.9660000000000002</v>
      </c>
      <c r="D777">
        <v>3.883</v>
      </c>
      <c r="E777">
        <v>3.794</v>
      </c>
      <c r="F777">
        <v>4.0759999999999996</v>
      </c>
      <c r="G777">
        <v>3.9529999999999998</v>
      </c>
      <c r="H777">
        <v>3.8370000000000002</v>
      </c>
      <c r="I777">
        <v>3.9020000000000001</v>
      </c>
      <c r="J777">
        <v>31.364999999999998</v>
      </c>
      <c r="K777">
        <v>21.1</v>
      </c>
      <c r="L777">
        <v>-3.2000000000000001E-2</v>
      </c>
    </row>
    <row r="778" spans="1:12" x14ac:dyDescent="0.25">
      <c r="A778">
        <v>189822</v>
      </c>
      <c r="B778">
        <v>3.9540000000000002</v>
      </c>
      <c r="C778">
        <v>3.9660000000000002</v>
      </c>
      <c r="D778">
        <v>3.8679999999999999</v>
      </c>
      <c r="E778">
        <v>3.8090000000000002</v>
      </c>
      <c r="F778">
        <v>4.0759999999999996</v>
      </c>
      <c r="G778">
        <v>3.9529999999999998</v>
      </c>
      <c r="H778">
        <v>3.8370000000000002</v>
      </c>
      <c r="I778">
        <v>3.9020000000000001</v>
      </c>
      <c r="J778">
        <v>31.364999999999998</v>
      </c>
      <c r="K778">
        <v>21.1</v>
      </c>
      <c r="L778">
        <v>-0.03</v>
      </c>
    </row>
    <row r="779" spans="1:12" x14ac:dyDescent="0.25">
      <c r="A779">
        <v>194823</v>
      </c>
      <c r="B779">
        <v>3.9540000000000002</v>
      </c>
      <c r="C779">
        <v>3.9660000000000002</v>
      </c>
      <c r="D779">
        <v>3.8679999999999999</v>
      </c>
      <c r="E779">
        <v>3.8090000000000002</v>
      </c>
      <c r="F779">
        <v>4.0759999999999996</v>
      </c>
      <c r="G779">
        <v>3.9529999999999998</v>
      </c>
      <c r="H779">
        <v>3.8370000000000002</v>
      </c>
      <c r="I779">
        <v>3.863</v>
      </c>
      <c r="J779">
        <v>31.326000000000001</v>
      </c>
      <c r="K779">
        <v>21.1</v>
      </c>
      <c r="L779">
        <v>-3.5000000000000003E-2</v>
      </c>
    </row>
    <row r="780" spans="1:12" x14ac:dyDescent="0.25">
      <c r="A780">
        <v>199826</v>
      </c>
      <c r="B780">
        <v>3.9540000000000002</v>
      </c>
      <c r="C780">
        <v>3.9660000000000002</v>
      </c>
      <c r="D780">
        <v>3.8679999999999999</v>
      </c>
      <c r="E780">
        <v>3.8090000000000002</v>
      </c>
      <c r="F780">
        <v>4.0759999999999996</v>
      </c>
      <c r="G780">
        <v>3.9529999999999998</v>
      </c>
      <c r="H780">
        <v>3.8370000000000002</v>
      </c>
      <c r="I780">
        <v>3.863</v>
      </c>
      <c r="J780">
        <v>31.326000000000001</v>
      </c>
      <c r="K780">
        <v>21.1</v>
      </c>
      <c r="L780">
        <v>-3.5000000000000003E-2</v>
      </c>
    </row>
    <row r="781" spans="1:12" x14ac:dyDescent="0.25">
      <c r="A781">
        <v>204831</v>
      </c>
      <c r="B781">
        <v>3.9540000000000002</v>
      </c>
      <c r="C781">
        <v>3.9660000000000002</v>
      </c>
      <c r="D781">
        <v>3.8679999999999999</v>
      </c>
      <c r="E781">
        <v>3.8090000000000002</v>
      </c>
      <c r="F781">
        <v>4.0759999999999996</v>
      </c>
      <c r="G781">
        <v>3.9529999999999998</v>
      </c>
      <c r="H781">
        <v>3.8370000000000002</v>
      </c>
      <c r="I781">
        <v>3.863</v>
      </c>
      <c r="J781">
        <v>31.326000000000001</v>
      </c>
      <c r="K781">
        <v>21.1</v>
      </c>
      <c r="L781">
        <v>-2.7E-2</v>
      </c>
    </row>
    <row r="782" spans="1:12" x14ac:dyDescent="0.25">
      <c r="A782">
        <v>209833</v>
      </c>
      <c r="B782">
        <v>3.9540000000000002</v>
      </c>
      <c r="C782">
        <v>3.9660000000000002</v>
      </c>
      <c r="D782">
        <v>3.883</v>
      </c>
      <c r="E782">
        <v>3.794</v>
      </c>
      <c r="F782">
        <v>4.0759999999999996</v>
      </c>
      <c r="G782">
        <v>3.9529999999999998</v>
      </c>
      <c r="H782">
        <v>3.8370000000000002</v>
      </c>
      <c r="I782">
        <v>3.9020000000000001</v>
      </c>
      <c r="J782">
        <v>31.364999999999998</v>
      </c>
      <c r="K782">
        <v>21.1</v>
      </c>
      <c r="L782">
        <v>1.9E-2</v>
      </c>
    </row>
    <row r="783" spans="1:12" x14ac:dyDescent="0.25">
      <c r="A783">
        <v>214839</v>
      </c>
      <c r="B783">
        <v>3.9540000000000002</v>
      </c>
      <c r="C783">
        <v>3.9660000000000002</v>
      </c>
      <c r="D783">
        <v>3.8679999999999999</v>
      </c>
      <c r="E783">
        <v>3.8090000000000002</v>
      </c>
      <c r="F783">
        <v>4.0759999999999996</v>
      </c>
      <c r="G783">
        <v>3.9239999999999999</v>
      </c>
      <c r="H783">
        <v>3.8660000000000001</v>
      </c>
      <c r="I783">
        <v>3.863</v>
      </c>
      <c r="J783">
        <v>31.326000000000001</v>
      </c>
      <c r="K783">
        <v>21.1</v>
      </c>
      <c r="L783">
        <v>-3.7999999999999999E-2</v>
      </c>
    </row>
    <row r="784" spans="1:12" x14ac:dyDescent="0.25">
      <c r="A784">
        <v>219845</v>
      </c>
      <c r="B784">
        <v>3.9540000000000002</v>
      </c>
      <c r="C784">
        <v>3.9660000000000002</v>
      </c>
      <c r="D784">
        <v>3.8679999999999999</v>
      </c>
      <c r="E784">
        <v>3.8090000000000002</v>
      </c>
      <c r="F784">
        <v>4.0759999999999996</v>
      </c>
      <c r="G784">
        <v>3.9529999999999998</v>
      </c>
      <c r="H784">
        <v>3.8370000000000002</v>
      </c>
      <c r="I784">
        <v>3.9020000000000001</v>
      </c>
      <c r="J784">
        <v>31.364999999999998</v>
      </c>
      <c r="K784">
        <v>21.1</v>
      </c>
      <c r="L784">
        <v>-5.6000000000000001E-2</v>
      </c>
    </row>
    <row r="785" spans="1:12" x14ac:dyDescent="0.25">
      <c r="A785">
        <v>224846</v>
      </c>
      <c r="B785">
        <v>3.9540000000000002</v>
      </c>
      <c r="C785">
        <v>3.9660000000000002</v>
      </c>
      <c r="D785">
        <v>3.8679999999999999</v>
      </c>
      <c r="E785">
        <v>3.8090000000000002</v>
      </c>
      <c r="F785">
        <v>4.0759999999999996</v>
      </c>
      <c r="G785">
        <v>3.9529999999999998</v>
      </c>
      <c r="H785">
        <v>3.8370000000000002</v>
      </c>
      <c r="I785">
        <v>3.9020000000000001</v>
      </c>
      <c r="J785">
        <v>31.364999999999998</v>
      </c>
      <c r="K785">
        <v>21.1</v>
      </c>
      <c r="L785">
        <v>-3.5000000000000003E-2</v>
      </c>
    </row>
    <row r="786" spans="1:12" x14ac:dyDescent="0.25">
      <c r="A786">
        <v>229852</v>
      </c>
      <c r="B786">
        <v>3.9540000000000002</v>
      </c>
      <c r="C786">
        <v>3.9660000000000002</v>
      </c>
      <c r="D786">
        <v>3.8679999999999999</v>
      </c>
      <c r="E786">
        <v>3.8090000000000002</v>
      </c>
      <c r="F786">
        <v>4.0759999999999996</v>
      </c>
      <c r="G786">
        <v>3.9529999999999998</v>
      </c>
      <c r="H786">
        <v>3.8370000000000002</v>
      </c>
      <c r="I786">
        <v>3.9020000000000001</v>
      </c>
      <c r="J786">
        <v>31.364999999999998</v>
      </c>
      <c r="K786">
        <v>21.1</v>
      </c>
      <c r="L786">
        <v>-6.8000000000000005E-2</v>
      </c>
    </row>
    <row r="787" spans="1:12" x14ac:dyDescent="0.25">
      <c r="A787">
        <v>234855</v>
      </c>
      <c r="B787">
        <v>3.9540000000000002</v>
      </c>
      <c r="C787">
        <v>3.9660000000000002</v>
      </c>
      <c r="D787">
        <v>3.8679999999999999</v>
      </c>
      <c r="E787">
        <v>3.8090000000000002</v>
      </c>
      <c r="F787">
        <v>4.0759999999999996</v>
      </c>
      <c r="G787">
        <v>3.9529999999999998</v>
      </c>
      <c r="H787">
        <v>3.8370000000000002</v>
      </c>
      <c r="I787">
        <v>3.863</v>
      </c>
      <c r="J787">
        <v>31.326000000000001</v>
      </c>
      <c r="K787">
        <v>21.1</v>
      </c>
      <c r="L787">
        <v>-4.4999999999999998E-2</v>
      </c>
    </row>
    <row r="788" spans="1:12" x14ac:dyDescent="0.25">
      <c r="A788">
        <v>239859</v>
      </c>
      <c r="B788">
        <v>3.9540000000000002</v>
      </c>
      <c r="C788">
        <v>3.9660000000000002</v>
      </c>
      <c r="D788">
        <v>3.8679999999999999</v>
      </c>
      <c r="E788">
        <v>3.8090000000000002</v>
      </c>
      <c r="F788">
        <v>4.0759999999999996</v>
      </c>
      <c r="G788">
        <v>3.9529999999999998</v>
      </c>
      <c r="H788">
        <v>3.8370000000000002</v>
      </c>
      <c r="I788">
        <v>3.863</v>
      </c>
      <c r="J788">
        <v>31.326000000000001</v>
      </c>
      <c r="K788">
        <v>21.1</v>
      </c>
      <c r="L788">
        <v>-4.8000000000000001E-2</v>
      </c>
    </row>
    <row r="789" spans="1:12" x14ac:dyDescent="0.25">
      <c r="A789">
        <v>244867</v>
      </c>
      <c r="B789">
        <v>3.9590000000000001</v>
      </c>
      <c r="C789">
        <v>3.9609999999999999</v>
      </c>
      <c r="D789">
        <v>3.883</v>
      </c>
      <c r="E789">
        <v>3.8119999999999998</v>
      </c>
      <c r="F789">
        <v>4.0759999999999996</v>
      </c>
      <c r="G789">
        <v>3.9529999999999998</v>
      </c>
      <c r="H789">
        <v>3.8370000000000002</v>
      </c>
      <c r="I789">
        <v>3.863</v>
      </c>
      <c r="J789">
        <v>31.344000000000001</v>
      </c>
      <c r="K789">
        <v>21.1</v>
      </c>
      <c r="L789">
        <v>-4.4999999999999998E-2</v>
      </c>
    </row>
    <row r="790" spans="1:12" x14ac:dyDescent="0.25">
      <c r="A790">
        <v>249867</v>
      </c>
      <c r="B790">
        <v>3.9540000000000002</v>
      </c>
      <c r="C790">
        <v>3.9660000000000002</v>
      </c>
      <c r="D790">
        <v>3.8679999999999999</v>
      </c>
      <c r="E790">
        <v>3.8090000000000002</v>
      </c>
      <c r="F790">
        <v>4.0759999999999996</v>
      </c>
      <c r="G790">
        <v>3.9529999999999998</v>
      </c>
      <c r="H790">
        <v>3.87</v>
      </c>
      <c r="I790">
        <v>3.8690000000000002</v>
      </c>
      <c r="J790">
        <v>31.364999999999998</v>
      </c>
      <c r="K790">
        <v>21.1</v>
      </c>
      <c r="L790">
        <v>-1.6E-2</v>
      </c>
    </row>
    <row r="791" spans="1:12" x14ac:dyDescent="0.25">
      <c r="A791">
        <v>254872</v>
      </c>
      <c r="B791">
        <v>3.9540000000000002</v>
      </c>
      <c r="C791">
        <v>3.9660000000000002</v>
      </c>
      <c r="D791">
        <v>3.8679999999999999</v>
      </c>
      <c r="E791">
        <v>3.8090000000000002</v>
      </c>
      <c r="F791">
        <v>4.0759999999999996</v>
      </c>
      <c r="G791">
        <v>3.9529999999999998</v>
      </c>
      <c r="H791">
        <v>3.8370000000000002</v>
      </c>
      <c r="I791">
        <v>3.9020000000000001</v>
      </c>
      <c r="J791">
        <v>31.364999999999998</v>
      </c>
      <c r="K791">
        <v>21.1</v>
      </c>
      <c r="L791">
        <v>-2.9000000000000001E-2</v>
      </c>
    </row>
    <row r="792" spans="1:12" x14ac:dyDescent="0.25">
      <c r="A792">
        <v>259877</v>
      </c>
      <c r="B792">
        <v>3.9540000000000002</v>
      </c>
      <c r="C792">
        <v>3.9660000000000002</v>
      </c>
      <c r="D792">
        <v>3.8679999999999999</v>
      </c>
      <c r="E792">
        <v>3.8090000000000002</v>
      </c>
      <c r="F792">
        <v>4.0759999999999996</v>
      </c>
      <c r="G792">
        <v>3.9529999999999998</v>
      </c>
      <c r="H792">
        <v>3.8370000000000002</v>
      </c>
      <c r="I792">
        <v>3.863</v>
      </c>
      <c r="J792">
        <v>31.326000000000001</v>
      </c>
      <c r="K792">
        <v>21.1</v>
      </c>
      <c r="L792">
        <v>2E-3</v>
      </c>
    </row>
    <row r="793" spans="1:12" x14ac:dyDescent="0.25">
      <c r="A793">
        <v>264877</v>
      </c>
      <c r="B793">
        <v>3.9540000000000002</v>
      </c>
      <c r="C793">
        <v>3.9660000000000002</v>
      </c>
      <c r="D793">
        <v>3.8679999999999999</v>
      </c>
      <c r="E793">
        <v>3.8090000000000002</v>
      </c>
      <c r="F793">
        <v>4.0759999999999996</v>
      </c>
      <c r="G793">
        <v>3.9529999999999998</v>
      </c>
      <c r="H793">
        <v>3.8370000000000002</v>
      </c>
      <c r="I793">
        <v>3.863</v>
      </c>
      <c r="J793">
        <v>31.326000000000001</v>
      </c>
      <c r="K793">
        <v>21.1</v>
      </c>
      <c r="L793">
        <v>-4.1000000000000002E-2</v>
      </c>
    </row>
    <row r="794" spans="1:12" x14ac:dyDescent="0.25">
      <c r="A794">
        <v>269883</v>
      </c>
      <c r="B794">
        <v>3.9540000000000002</v>
      </c>
      <c r="C794">
        <v>3.9660000000000002</v>
      </c>
      <c r="D794">
        <v>3.8679999999999999</v>
      </c>
      <c r="E794">
        <v>3.8090000000000002</v>
      </c>
      <c r="F794">
        <v>4.0759999999999996</v>
      </c>
      <c r="G794">
        <v>3.9529999999999998</v>
      </c>
      <c r="H794">
        <v>3.8370000000000002</v>
      </c>
      <c r="I794">
        <v>3.863</v>
      </c>
      <c r="J794">
        <v>31.326000000000001</v>
      </c>
      <c r="K794">
        <v>21.1</v>
      </c>
      <c r="L794">
        <v>-2.9000000000000001E-2</v>
      </c>
    </row>
    <row r="795" spans="1:12" x14ac:dyDescent="0.25">
      <c r="A795">
        <v>274894</v>
      </c>
      <c r="B795">
        <v>3.964</v>
      </c>
      <c r="C795">
        <v>3.9740000000000002</v>
      </c>
      <c r="D795">
        <v>3.88</v>
      </c>
      <c r="E795">
        <v>3.8149999999999999</v>
      </c>
      <c r="F795">
        <v>4.077</v>
      </c>
      <c r="G795">
        <v>3.9550000000000001</v>
      </c>
      <c r="H795">
        <v>3.8780000000000001</v>
      </c>
      <c r="I795">
        <v>3.843</v>
      </c>
      <c r="J795">
        <v>31.385999999999999</v>
      </c>
      <c r="K795">
        <v>21.1</v>
      </c>
      <c r="L795">
        <v>-1.2999999999999999E-2</v>
      </c>
    </row>
    <row r="796" spans="1:12" x14ac:dyDescent="0.25">
      <c r="A796">
        <v>279897</v>
      </c>
      <c r="B796">
        <v>3.9540000000000002</v>
      </c>
      <c r="C796">
        <v>3.9660000000000002</v>
      </c>
      <c r="D796">
        <v>3.883</v>
      </c>
      <c r="E796">
        <v>3.8119999999999998</v>
      </c>
      <c r="F796">
        <v>4.0579999999999998</v>
      </c>
      <c r="G796">
        <v>3.9529999999999998</v>
      </c>
      <c r="H796">
        <v>3.87</v>
      </c>
      <c r="I796">
        <v>3.8690000000000002</v>
      </c>
      <c r="J796">
        <v>31.364999999999998</v>
      </c>
      <c r="K796">
        <v>21.1</v>
      </c>
      <c r="L796">
        <v>7.2999999999999995E-2</v>
      </c>
    </row>
    <row r="797" spans="1:12" x14ac:dyDescent="0.25">
      <c r="A797">
        <v>284901</v>
      </c>
      <c r="B797">
        <v>3.9590000000000001</v>
      </c>
      <c r="C797">
        <v>3.9609999999999999</v>
      </c>
      <c r="D797">
        <v>3.883</v>
      </c>
      <c r="E797">
        <v>3.8119999999999998</v>
      </c>
      <c r="F797">
        <v>4.0579999999999998</v>
      </c>
      <c r="G797">
        <v>3.9529999999999998</v>
      </c>
      <c r="H797">
        <v>3.87</v>
      </c>
      <c r="I797">
        <v>3.8690000000000002</v>
      </c>
      <c r="J797">
        <v>31.364999999999998</v>
      </c>
      <c r="K797">
        <v>21.1</v>
      </c>
      <c r="L797">
        <v>-2.5000000000000001E-2</v>
      </c>
    </row>
    <row r="798" spans="1:12" x14ac:dyDescent="0.25">
      <c r="A798">
        <v>289904</v>
      </c>
      <c r="B798">
        <v>3.9590000000000001</v>
      </c>
      <c r="C798">
        <v>3.9609999999999999</v>
      </c>
      <c r="D798">
        <v>3.883</v>
      </c>
      <c r="E798">
        <v>3.8119999999999998</v>
      </c>
      <c r="F798">
        <v>4.0579999999999998</v>
      </c>
      <c r="G798">
        <v>3.9529999999999998</v>
      </c>
      <c r="H798">
        <v>3.87</v>
      </c>
      <c r="I798">
        <v>3.8690000000000002</v>
      </c>
      <c r="J798">
        <v>31.364999999999998</v>
      </c>
      <c r="K798">
        <v>21.1</v>
      </c>
      <c r="L798">
        <v>-0.04</v>
      </c>
    </row>
    <row r="799" spans="1:12" x14ac:dyDescent="0.25">
      <c r="A799">
        <v>294908</v>
      </c>
      <c r="B799">
        <v>3.9540000000000002</v>
      </c>
      <c r="C799">
        <v>3.9660000000000002</v>
      </c>
      <c r="D799">
        <v>3.8679999999999999</v>
      </c>
      <c r="E799">
        <v>3.8090000000000002</v>
      </c>
      <c r="F799">
        <v>4.0759999999999996</v>
      </c>
      <c r="G799">
        <v>3.9529999999999998</v>
      </c>
      <c r="H799">
        <v>3.8370000000000002</v>
      </c>
      <c r="I799">
        <v>3.863</v>
      </c>
      <c r="J799">
        <v>31.326000000000001</v>
      </c>
      <c r="K799">
        <v>21.1</v>
      </c>
      <c r="L799">
        <v>-3.5000000000000003E-2</v>
      </c>
    </row>
    <row r="800" spans="1:12" x14ac:dyDescent="0.25">
      <c r="A800">
        <v>299912</v>
      </c>
      <c r="B800">
        <v>3.9540000000000002</v>
      </c>
      <c r="C800">
        <v>3.9660000000000002</v>
      </c>
      <c r="D800">
        <v>3.8679999999999999</v>
      </c>
      <c r="E800">
        <v>3.8090000000000002</v>
      </c>
      <c r="F800">
        <v>4.0759999999999996</v>
      </c>
      <c r="G800">
        <v>3.9239999999999999</v>
      </c>
      <c r="H800">
        <v>3.8660000000000001</v>
      </c>
      <c r="I800">
        <v>3.863</v>
      </c>
      <c r="J800">
        <v>31.326000000000001</v>
      </c>
      <c r="K800">
        <v>21.1</v>
      </c>
      <c r="L800">
        <v>3.4000000000000002E-2</v>
      </c>
    </row>
    <row r="801" spans="1:12" x14ac:dyDescent="0.25">
      <c r="A801">
        <v>304921</v>
      </c>
      <c r="B801">
        <v>3.9540000000000002</v>
      </c>
      <c r="C801">
        <v>3.9660000000000002</v>
      </c>
      <c r="D801">
        <v>3.8679999999999999</v>
      </c>
      <c r="E801">
        <v>3.8090000000000002</v>
      </c>
      <c r="F801">
        <v>4.0759999999999996</v>
      </c>
      <c r="G801">
        <v>3.9239999999999999</v>
      </c>
      <c r="H801">
        <v>3.8660000000000001</v>
      </c>
      <c r="I801">
        <v>3.863</v>
      </c>
      <c r="J801">
        <v>31.326000000000001</v>
      </c>
      <c r="K801">
        <v>21.1</v>
      </c>
      <c r="L801">
        <v>-2.1999999999999999E-2</v>
      </c>
    </row>
    <row r="802" spans="1:12" x14ac:dyDescent="0.25">
      <c r="A802">
        <v>309929</v>
      </c>
      <c r="B802">
        <v>3.9590000000000001</v>
      </c>
      <c r="C802">
        <v>3.9609999999999999</v>
      </c>
      <c r="D802">
        <v>3.883</v>
      </c>
      <c r="E802">
        <v>3.794</v>
      </c>
      <c r="F802">
        <v>4.0949999999999998</v>
      </c>
      <c r="G802">
        <v>3.9830000000000001</v>
      </c>
      <c r="H802">
        <v>3.915</v>
      </c>
      <c r="I802">
        <v>3.972</v>
      </c>
      <c r="J802">
        <v>31.562000000000001</v>
      </c>
      <c r="K802">
        <v>21.1</v>
      </c>
      <c r="L802">
        <v>-0.03</v>
      </c>
    </row>
    <row r="803" spans="1:12" x14ac:dyDescent="0.25">
      <c r="A803">
        <v>314934</v>
      </c>
      <c r="B803">
        <v>3.9590000000000001</v>
      </c>
      <c r="C803">
        <v>3.97</v>
      </c>
      <c r="D803">
        <v>3.8740000000000001</v>
      </c>
      <c r="E803">
        <v>3.8119999999999998</v>
      </c>
      <c r="F803">
        <v>4.0759999999999996</v>
      </c>
      <c r="G803">
        <v>3.9529999999999998</v>
      </c>
      <c r="H803">
        <v>3.8370000000000002</v>
      </c>
      <c r="I803">
        <v>3.9020000000000001</v>
      </c>
      <c r="J803">
        <v>31.382999999999999</v>
      </c>
      <c r="K803">
        <v>21.1</v>
      </c>
      <c r="L803">
        <v>-4.5999999999999999E-2</v>
      </c>
    </row>
    <row r="804" spans="1:12" x14ac:dyDescent="0.25">
      <c r="A804">
        <v>319937</v>
      </c>
      <c r="B804">
        <v>3.9540000000000002</v>
      </c>
      <c r="C804">
        <v>3.9660000000000002</v>
      </c>
      <c r="D804">
        <v>3.8679999999999999</v>
      </c>
      <c r="E804">
        <v>3.8090000000000002</v>
      </c>
      <c r="F804">
        <v>4.0759999999999996</v>
      </c>
      <c r="G804">
        <v>3.9529999999999998</v>
      </c>
      <c r="H804">
        <v>3.8370000000000002</v>
      </c>
      <c r="I804">
        <v>3.9020000000000001</v>
      </c>
      <c r="J804">
        <v>31.364999999999998</v>
      </c>
      <c r="K804">
        <v>21.1</v>
      </c>
      <c r="L804">
        <v>4.9000000000000002E-2</v>
      </c>
    </row>
    <row r="805" spans="1:12" x14ac:dyDescent="0.25">
      <c r="A805">
        <v>324945</v>
      </c>
      <c r="B805">
        <v>3.9590000000000001</v>
      </c>
      <c r="C805">
        <v>3.97</v>
      </c>
      <c r="D805">
        <v>3.8740000000000001</v>
      </c>
      <c r="E805">
        <v>3.8119999999999998</v>
      </c>
      <c r="F805">
        <v>4.0579999999999998</v>
      </c>
      <c r="G805">
        <v>3.9529999999999998</v>
      </c>
      <c r="H805">
        <v>3.87</v>
      </c>
      <c r="I805">
        <v>3.8690000000000002</v>
      </c>
      <c r="J805">
        <v>31.364999999999998</v>
      </c>
      <c r="K805">
        <v>21.1</v>
      </c>
      <c r="L805">
        <v>-3.5000000000000003E-2</v>
      </c>
    </row>
    <row r="806" spans="1:12" x14ac:dyDescent="0.25">
      <c r="A806">
        <v>329949</v>
      </c>
      <c r="B806">
        <v>3.9540000000000002</v>
      </c>
      <c r="C806">
        <v>3.9660000000000002</v>
      </c>
      <c r="D806">
        <v>3.8679999999999999</v>
      </c>
      <c r="E806">
        <v>3.8090000000000002</v>
      </c>
      <c r="F806">
        <v>4.0759999999999996</v>
      </c>
      <c r="G806">
        <v>3.9529999999999998</v>
      </c>
      <c r="H806">
        <v>3.8370000000000002</v>
      </c>
      <c r="I806">
        <v>3.9020000000000001</v>
      </c>
      <c r="J806">
        <v>31.364999999999998</v>
      </c>
      <c r="K806">
        <v>21.2</v>
      </c>
      <c r="L806">
        <v>-0.03</v>
      </c>
    </row>
    <row r="807" spans="1:12" x14ac:dyDescent="0.25">
      <c r="A807">
        <v>334951</v>
      </c>
      <c r="B807">
        <v>3.9590000000000001</v>
      </c>
      <c r="C807">
        <v>3.9609999999999999</v>
      </c>
      <c r="D807">
        <v>3.883</v>
      </c>
      <c r="E807">
        <v>3.8119999999999998</v>
      </c>
      <c r="F807">
        <v>4.0759999999999996</v>
      </c>
      <c r="G807">
        <v>3.9529999999999998</v>
      </c>
      <c r="H807">
        <v>3.8370000000000002</v>
      </c>
      <c r="I807">
        <v>3.9020000000000001</v>
      </c>
      <c r="J807">
        <v>31.382999999999999</v>
      </c>
      <c r="K807">
        <v>21.2</v>
      </c>
      <c r="L807">
        <v>-4.4999999999999998E-2</v>
      </c>
    </row>
    <row r="808" spans="1:12" x14ac:dyDescent="0.25">
      <c r="A808">
        <v>339963</v>
      </c>
      <c r="B808">
        <v>4.0030000000000001</v>
      </c>
      <c r="C808">
        <v>4.0140000000000002</v>
      </c>
      <c r="D808">
        <v>3.9169999999999998</v>
      </c>
      <c r="E808">
        <v>3.8420000000000001</v>
      </c>
      <c r="F808">
        <v>4.0789999999999997</v>
      </c>
      <c r="G808">
        <v>3.93</v>
      </c>
      <c r="H808">
        <v>3.8580000000000001</v>
      </c>
      <c r="I808">
        <v>3.895</v>
      </c>
      <c r="J808">
        <v>31.538</v>
      </c>
      <c r="K808">
        <v>21.1</v>
      </c>
      <c r="L808">
        <v>-3.4000000000000002E-2</v>
      </c>
    </row>
    <row r="809" spans="1:12" x14ac:dyDescent="0.25">
      <c r="A809">
        <v>348932</v>
      </c>
      <c r="B809">
        <v>3.9540000000000002</v>
      </c>
      <c r="C809">
        <v>3.9660000000000002</v>
      </c>
      <c r="D809">
        <v>3.8679999999999999</v>
      </c>
      <c r="E809">
        <v>3.8090000000000002</v>
      </c>
      <c r="F809">
        <v>4.0759999999999996</v>
      </c>
      <c r="G809">
        <v>3.9239999999999999</v>
      </c>
      <c r="H809">
        <v>3.8660000000000001</v>
      </c>
      <c r="I809">
        <v>3.863</v>
      </c>
      <c r="J809">
        <v>31.326000000000001</v>
      </c>
      <c r="K809">
        <v>21.2</v>
      </c>
      <c r="L809">
        <v>-3.3000000000000002E-2</v>
      </c>
    </row>
    <row r="810" spans="1:12" x14ac:dyDescent="0.25">
      <c r="A810">
        <v>353936</v>
      </c>
      <c r="B810">
        <v>3.9540000000000002</v>
      </c>
      <c r="C810">
        <v>3.9660000000000002</v>
      </c>
      <c r="D810">
        <v>3.8679999999999999</v>
      </c>
      <c r="E810">
        <v>3.8090000000000002</v>
      </c>
      <c r="F810">
        <v>4.1130000000000004</v>
      </c>
      <c r="G810">
        <v>3.9260000000000002</v>
      </c>
      <c r="H810">
        <v>3.8740000000000001</v>
      </c>
      <c r="I810">
        <v>3.8759999999999999</v>
      </c>
      <c r="J810">
        <v>31.385999999999999</v>
      </c>
      <c r="K810">
        <v>21.1</v>
      </c>
      <c r="L810">
        <v>-5.0999999999999997E-2</v>
      </c>
    </row>
    <row r="811" spans="1:12" x14ac:dyDescent="0.25">
      <c r="A811">
        <v>358941</v>
      </c>
      <c r="B811">
        <v>3.9540000000000002</v>
      </c>
      <c r="C811">
        <v>3.9569999999999999</v>
      </c>
      <c r="D811">
        <v>3.8769999999999998</v>
      </c>
      <c r="E811">
        <v>3.8090000000000002</v>
      </c>
      <c r="F811">
        <v>4.0659999999999998</v>
      </c>
      <c r="G811">
        <v>3.952</v>
      </c>
      <c r="H811">
        <v>3.8330000000000002</v>
      </c>
      <c r="I811">
        <v>3.895</v>
      </c>
      <c r="J811">
        <v>31.343</v>
      </c>
      <c r="K811">
        <v>21.1</v>
      </c>
      <c r="L811">
        <v>-3.5000000000000003E-2</v>
      </c>
    </row>
    <row r="812" spans="1:12" x14ac:dyDescent="0.25">
      <c r="A812">
        <v>363951</v>
      </c>
      <c r="B812">
        <v>3.9489999999999998</v>
      </c>
      <c r="C812">
        <v>3.9620000000000002</v>
      </c>
      <c r="D812">
        <v>3.8769999999999998</v>
      </c>
      <c r="E812">
        <v>3.7909999999999999</v>
      </c>
      <c r="F812">
        <v>4.0659999999999998</v>
      </c>
      <c r="G812">
        <v>3.952</v>
      </c>
      <c r="H812">
        <v>3.8330000000000002</v>
      </c>
      <c r="I812">
        <v>3.895</v>
      </c>
      <c r="J812">
        <v>31.324999999999999</v>
      </c>
      <c r="K812">
        <v>21.1</v>
      </c>
      <c r="L812">
        <v>-3.9E-2</v>
      </c>
    </row>
    <row r="813" spans="1:12" x14ac:dyDescent="0.25">
      <c r="A813">
        <v>368951</v>
      </c>
      <c r="B813">
        <v>3.9540000000000002</v>
      </c>
      <c r="C813">
        <v>3.9569999999999999</v>
      </c>
      <c r="D813">
        <v>3.8769999999999998</v>
      </c>
      <c r="E813">
        <v>3.7909999999999999</v>
      </c>
      <c r="F813">
        <v>4.0659999999999998</v>
      </c>
      <c r="G813">
        <v>3.952</v>
      </c>
      <c r="H813">
        <v>3.8330000000000002</v>
      </c>
      <c r="I813">
        <v>3.895</v>
      </c>
      <c r="J813">
        <v>31.324999999999999</v>
      </c>
      <c r="K813">
        <v>21.1</v>
      </c>
      <c r="L813">
        <v>-4.7E-2</v>
      </c>
    </row>
    <row r="814" spans="1:12" x14ac:dyDescent="0.25">
      <c r="A814">
        <v>374280</v>
      </c>
      <c r="B814">
        <v>3.9489999999999998</v>
      </c>
      <c r="C814">
        <v>3.9620000000000002</v>
      </c>
      <c r="D814">
        <v>3.8769999999999998</v>
      </c>
      <c r="E814">
        <v>3.8090000000000002</v>
      </c>
      <c r="F814">
        <v>4.0659999999999998</v>
      </c>
      <c r="G814">
        <v>3.952</v>
      </c>
      <c r="H814">
        <v>3.8330000000000002</v>
      </c>
      <c r="I814">
        <v>3.895</v>
      </c>
      <c r="J814">
        <v>31.343</v>
      </c>
      <c r="K814">
        <v>21.1</v>
      </c>
      <c r="L814">
        <v>-4.1000000000000002E-2</v>
      </c>
    </row>
    <row r="815" spans="1:12" x14ac:dyDescent="0.25">
      <c r="A815">
        <v>379286</v>
      </c>
      <c r="B815">
        <v>3.9540000000000002</v>
      </c>
      <c r="C815">
        <v>3.9569999999999999</v>
      </c>
      <c r="D815">
        <v>3.8769999999999998</v>
      </c>
      <c r="E815">
        <v>3.7909999999999999</v>
      </c>
      <c r="F815">
        <v>4.0659999999999998</v>
      </c>
      <c r="G815">
        <v>3.952</v>
      </c>
      <c r="H815">
        <v>3.8330000000000002</v>
      </c>
      <c r="I815">
        <v>3.895</v>
      </c>
      <c r="J815">
        <v>31.324999999999999</v>
      </c>
      <c r="K815">
        <v>21.2</v>
      </c>
      <c r="L815">
        <v>-5.5E-2</v>
      </c>
    </row>
    <row r="816" spans="1:12" x14ac:dyDescent="0.25">
      <c r="A816">
        <v>384290</v>
      </c>
      <c r="B816">
        <v>3.9489999999999998</v>
      </c>
      <c r="C816">
        <v>3.9620000000000002</v>
      </c>
      <c r="D816">
        <v>3.8769999999999998</v>
      </c>
      <c r="E816">
        <v>3.7909999999999999</v>
      </c>
      <c r="F816">
        <v>4.0659999999999998</v>
      </c>
      <c r="G816">
        <v>3.952</v>
      </c>
      <c r="H816">
        <v>3.8330000000000002</v>
      </c>
      <c r="I816">
        <v>3.895</v>
      </c>
      <c r="J816">
        <v>31.324999999999999</v>
      </c>
      <c r="K816">
        <v>21.2</v>
      </c>
      <c r="L816">
        <v>-4.4999999999999998E-2</v>
      </c>
    </row>
    <row r="817" spans="1:12" x14ac:dyDescent="0.25">
      <c r="A817">
        <v>389294</v>
      </c>
      <c r="B817">
        <v>3.9489999999999998</v>
      </c>
      <c r="C817">
        <v>3.9620000000000002</v>
      </c>
      <c r="D817">
        <v>3.8769999999999998</v>
      </c>
      <c r="E817">
        <v>3.7909999999999999</v>
      </c>
      <c r="F817">
        <v>4.0659999999999998</v>
      </c>
      <c r="G817">
        <v>3.952</v>
      </c>
      <c r="H817">
        <v>3.8330000000000002</v>
      </c>
      <c r="I817">
        <v>3.895</v>
      </c>
      <c r="J817">
        <v>31.324999999999999</v>
      </c>
      <c r="K817">
        <v>21.2</v>
      </c>
      <c r="L817">
        <v>-5.6000000000000001E-2</v>
      </c>
    </row>
    <row r="818" spans="1:12" x14ac:dyDescent="0.25">
      <c r="A818">
        <v>394298</v>
      </c>
      <c r="B818">
        <v>3.9540000000000002</v>
      </c>
      <c r="C818">
        <v>3.9569999999999999</v>
      </c>
      <c r="D818">
        <v>3.8769999999999998</v>
      </c>
      <c r="E818">
        <v>3.7909999999999999</v>
      </c>
      <c r="F818">
        <v>4.0659999999999998</v>
      </c>
      <c r="G818">
        <v>3.952</v>
      </c>
      <c r="H818">
        <v>3.8330000000000002</v>
      </c>
      <c r="I818">
        <v>3.895</v>
      </c>
      <c r="J818">
        <v>31.324999999999999</v>
      </c>
      <c r="K818">
        <v>21.2</v>
      </c>
      <c r="L818">
        <v>-3.6999999999999998E-2</v>
      </c>
    </row>
    <row r="819" spans="1:12" x14ac:dyDescent="0.25">
      <c r="A819">
        <v>399303</v>
      </c>
      <c r="B819">
        <v>3.9540000000000002</v>
      </c>
      <c r="C819">
        <v>3.9569999999999999</v>
      </c>
      <c r="D819">
        <v>3.8769999999999998</v>
      </c>
      <c r="E819">
        <v>3.7909999999999999</v>
      </c>
      <c r="F819">
        <v>4.0659999999999998</v>
      </c>
      <c r="G819">
        <v>3.952</v>
      </c>
      <c r="H819">
        <v>3.8330000000000002</v>
      </c>
      <c r="I819">
        <v>3.895</v>
      </c>
      <c r="J819">
        <v>31.324999999999999</v>
      </c>
      <c r="K819">
        <v>21.1</v>
      </c>
      <c r="L819">
        <v>-2.3E-2</v>
      </c>
    </row>
    <row r="820" spans="1:12" x14ac:dyDescent="0.25">
      <c r="A820">
        <v>404310</v>
      </c>
      <c r="B820">
        <v>3.9540000000000002</v>
      </c>
      <c r="C820">
        <v>3.9569999999999999</v>
      </c>
      <c r="D820">
        <v>3.8769999999999998</v>
      </c>
      <c r="E820">
        <v>3.7909999999999999</v>
      </c>
      <c r="F820">
        <v>4.0659999999999998</v>
      </c>
      <c r="G820">
        <v>3.952</v>
      </c>
      <c r="H820">
        <v>3.8330000000000002</v>
      </c>
      <c r="I820">
        <v>3.895</v>
      </c>
      <c r="J820">
        <v>31.324999999999999</v>
      </c>
      <c r="K820">
        <v>21.1</v>
      </c>
      <c r="L820">
        <v>-3.9E-2</v>
      </c>
    </row>
    <row r="821" spans="1:12" x14ac:dyDescent="0.25">
      <c r="A821">
        <v>409313</v>
      </c>
      <c r="B821">
        <v>3.9540000000000002</v>
      </c>
      <c r="C821">
        <v>3.9569999999999999</v>
      </c>
      <c r="D821">
        <v>3.8769999999999998</v>
      </c>
      <c r="E821">
        <v>3.7909999999999999</v>
      </c>
      <c r="F821">
        <v>4.048</v>
      </c>
      <c r="G821">
        <v>3.952</v>
      </c>
      <c r="H821">
        <v>3.8330000000000002</v>
      </c>
      <c r="I821">
        <v>3.895</v>
      </c>
      <c r="J821">
        <v>31.306999999999999</v>
      </c>
      <c r="K821">
        <v>21.1</v>
      </c>
      <c r="L821">
        <v>-0.05</v>
      </c>
    </row>
    <row r="822" spans="1:12" x14ac:dyDescent="0.25">
      <c r="A822">
        <v>414325</v>
      </c>
      <c r="B822">
        <v>3.9489999999999998</v>
      </c>
      <c r="C822">
        <v>3.9620000000000002</v>
      </c>
      <c r="D822">
        <v>3.8769999999999998</v>
      </c>
      <c r="E822">
        <v>3.7909999999999999</v>
      </c>
      <c r="F822">
        <v>4.0659999999999998</v>
      </c>
      <c r="G822">
        <v>3.952</v>
      </c>
      <c r="H822">
        <v>3.8330000000000002</v>
      </c>
      <c r="I822">
        <v>3.895</v>
      </c>
      <c r="J822">
        <v>31.324999999999999</v>
      </c>
      <c r="K822">
        <v>21.1</v>
      </c>
      <c r="L822">
        <v>-4.4999999999999998E-2</v>
      </c>
    </row>
    <row r="823" spans="1:12" x14ac:dyDescent="0.25">
      <c r="A823">
        <v>419325</v>
      </c>
      <c r="B823">
        <v>3.9489999999999998</v>
      </c>
      <c r="C823">
        <v>3.9620000000000002</v>
      </c>
      <c r="D823">
        <v>3.8769999999999998</v>
      </c>
      <c r="E823">
        <v>3.7909999999999999</v>
      </c>
      <c r="F823">
        <v>4.0659999999999998</v>
      </c>
      <c r="G823">
        <v>3.952</v>
      </c>
      <c r="H823">
        <v>3.8330000000000002</v>
      </c>
      <c r="I823">
        <v>3.895</v>
      </c>
      <c r="J823">
        <v>31.324999999999999</v>
      </c>
      <c r="K823">
        <v>21.2</v>
      </c>
      <c r="L823">
        <v>-4.1000000000000002E-2</v>
      </c>
    </row>
    <row r="824" spans="1:12" x14ac:dyDescent="0.25">
      <c r="A824">
        <v>424329</v>
      </c>
      <c r="B824">
        <v>3.9489999999999998</v>
      </c>
      <c r="C824">
        <v>3.9620000000000002</v>
      </c>
      <c r="D824">
        <v>3.8769999999999998</v>
      </c>
      <c r="E824">
        <v>3.7909999999999999</v>
      </c>
      <c r="F824">
        <v>4.0659999999999998</v>
      </c>
      <c r="G824">
        <v>3.952</v>
      </c>
      <c r="H824">
        <v>3.8330000000000002</v>
      </c>
      <c r="I824">
        <v>3.895</v>
      </c>
      <c r="J824">
        <v>31.324999999999999</v>
      </c>
      <c r="K824">
        <v>21.1</v>
      </c>
      <c r="L824">
        <v>-3.6999999999999998E-2</v>
      </c>
    </row>
    <row r="825" spans="1:12" x14ac:dyDescent="0.25">
      <c r="A825">
        <v>429332</v>
      </c>
      <c r="B825">
        <v>3.9489999999999998</v>
      </c>
      <c r="C825">
        <v>3.9620000000000002</v>
      </c>
      <c r="D825">
        <v>3.8769999999999998</v>
      </c>
      <c r="E825">
        <v>3.7909999999999999</v>
      </c>
      <c r="F825">
        <v>4.0659999999999998</v>
      </c>
      <c r="G825">
        <v>3.952</v>
      </c>
      <c r="H825">
        <v>3.8330000000000002</v>
      </c>
      <c r="I825">
        <v>3.895</v>
      </c>
      <c r="J825">
        <v>31.324999999999999</v>
      </c>
      <c r="K825">
        <v>21.1</v>
      </c>
      <c r="L825">
        <v>-3.3000000000000002E-2</v>
      </c>
    </row>
    <row r="826" spans="1:12" x14ac:dyDescent="0.25">
      <c r="A826">
        <v>434336</v>
      </c>
      <c r="B826">
        <v>3.9489999999999998</v>
      </c>
      <c r="C826">
        <v>3.9620000000000002</v>
      </c>
      <c r="D826">
        <v>3.8769999999999998</v>
      </c>
      <c r="E826">
        <v>3.7909999999999999</v>
      </c>
      <c r="F826">
        <v>4.0659999999999998</v>
      </c>
      <c r="G826">
        <v>3.952</v>
      </c>
      <c r="H826">
        <v>3.8330000000000002</v>
      </c>
      <c r="I826">
        <v>3.895</v>
      </c>
      <c r="J826">
        <v>31.324999999999999</v>
      </c>
      <c r="K826">
        <v>21.1</v>
      </c>
      <c r="L826">
        <v>-3.7999999999999999E-2</v>
      </c>
    </row>
    <row r="827" spans="1:12" x14ac:dyDescent="0.25">
      <c r="A827">
        <v>439339</v>
      </c>
      <c r="B827">
        <v>3.9489999999999998</v>
      </c>
      <c r="C827">
        <v>3.9620000000000002</v>
      </c>
      <c r="D827">
        <v>3.8769999999999998</v>
      </c>
      <c r="E827">
        <v>3.7909999999999999</v>
      </c>
      <c r="F827">
        <v>4.048</v>
      </c>
      <c r="G827">
        <v>3.952</v>
      </c>
      <c r="H827">
        <v>3.8660000000000001</v>
      </c>
      <c r="I827">
        <v>3.863</v>
      </c>
      <c r="J827">
        <v>31.308</v>
      </c>
      <c r="K827">
        <v>21.1</v>
      </c>
      <c r="L827">
        <v>-3.6999999999999998E-2</v>
      </c>
    </row>
    <row r="828" spans="1:12" x14ac:dyDescent="0.25">
      <c r="A828">
        <v>444339</v>
      </c>
      <c r="B828">
        <v>3.9489999999999998</v>
      </c>
      <c r="C828">
        <v>3.9620000000000002</v>
      </c>
      <c r="D828">
        <v>3.8769999999999998</v>
      </c>
      <c r="E828">
        <v>3.7909999999999999</v>
      </c>
      <c r="F828">
        <v>4.0659999999999998</v>
      </c>
      <c r="G828">
        <v>3.952</v>
      </c>
      <c r="H828">
        <v>3.8330000000000002</v>
      </c>
      <c r="I828">
        <v>3.895</v>
      </c>
      <c r="J828">
        <v>31.324999999999999</v>
      </c>
      <c r="K828">
        <v>21.1</v>
      </c>
      <c r="L828">
        <v>-0.03</v>
      </c>
    </row>
    <row r="829" spans="1:12" x14ac:dyDescent="0.25">
      <c r="A829">
        <v>449341</v>
      </c>
      <c r="B829">
        <v>3.9540000000000002</v>
      </c>
      <c r="C829">
        <v>3.9569999999999999</v>
      </c>
      <c r="D829">
        <v>3.8769999999999998</v>
      </c>
      <c r="E829">
        <v>3.7909999999999999</v>
      </c>
      <c r="F829">
        <v>4.0659999999999998</v>
      </c>
      <c r="G829">
        <v>3.952</v>
      </c>
      <c r="H829">
        <v>3.8330000000000002</v>
      </c>
      <c r="I829">
        <v>3.895</v>
      </c>
      <c r="J829">
        <v>31.324999999999999</v>
      </c>
      <c r="K829">
        <v>21.1</v>
      </c>
      <c r="L829">
        <v>-3.9E-2</v>
      </c>
    </row>
    <row r="830" spans="1:12" x14ac:dyDescent="0.25">
      <c r="A830">
        <v>454352</v>
      </c>
      <c r="B830">
        <v>3.9489999999999998</v>
      </c>
      <c r="C830">
        <v>3.9620000000000002</v>
      </c>
      <c r="D830">
        <v>3.8769999999999998</v>
      </c>
      <c r="E830">
        <v>3.7909999999999999</v>
      </c>
      <c r="F830">
        <v>4.0659999999999998</v>
      </c>
      <c r="G830">
        <v>3.952</v>
      </c>
      <c r="H830">
        <v>3.8330000000000002</v>
      </c>
      <c r="I830">
        <v>3.895</v>
      </c>
      <c r="J830">
        <v>31.324999999999999</v>
      </c>
      <c r="K830">
        <v>21.1</v>
      </c>
      <c r="L830">
        <v>-4.2999999999999997E-2</v>
      </c>
    </row>
    <row r="831" spans="1:12" x14ac:dyDescent="0.25">
      <c r="A831">
        <v>459359</v>
      </c>
      <c r="B831">
        <v>3.9489999999999998</v>
      </c>
      <c r="C831">
        <v>3.9620000000000002</v>
      </c>
      <c r="D831">
        <v>3.8769999999999998</v>
      </c>
      <c r="E831">
        <v>3.7909999999999999</v>
      </c>
      <c r="F831">
        <v>4.0659999999999998</v>
      </c>
      <c r="G831">
        <v>3.952</v>
      </c>
      <c r="H831">
        <v>3.8330000000000002</v>
      </c>
      <c r="I831">
        <v>3.895</v>
      </c>
      <c r="J831">
        <v>31.324999999999999</v>
      </c>
      <c r="K831">
        <v>21.1</v>
      </c>
      <c r="L831">
        <v>-3.7999999999999999E-2</v>
      </c>
    </row>
    <row r="832" spans="1:12" x14ac:dyDescent="0.25">
      <c r="A832">
        <v>464359</v>
      </c>
      <c r="B832">
        <v>3.9540000000000002</v>
      </c>
      <c r="C832">
        <v>3.9569999999999999</v>
      </c>
      <c r="D832">
        <v>3.8769999999999998</v>
      </c>
      <c r="E832">
        <v>3.7909999999999999</v>
      </c>
      <c r="F832">
        <v>4.0659999999999998</v>
      </c>
      <c r="G832">
        <v>3.952</v>
      </c>
      <c r="H832">
        <v>3.8330000000000002</v>
      </c>
      <c r="I832">
        <v>3.895</v>
      </c>
      <c r="J832">
        <v>31.324999999999999</v>
      </c>
      <c r="K832">
        <v>21.1</v>
      </c>
      <c r="L832">
        <v>-3.1E-2</v>
      </c>
    </row>
    <row r="833" spans="1:12" x14ac:dyDescent="0.25">
      <c r="A833">
        <v>469363</v>
      </c>
      <c r="B833">
        <v>3.9489999999999998</v>
      </c>
      <c r="C833">
        <v>3.9620000000000002</v>
      </c>
      <c r="D833">
        <v>3.8769999999999998</v>
      </c>
      <c r="E833">
        <v>3.7909999999999999</v>
      </c>
      <c r="F833">
        <v>4.0659999999999998</v>
      </c>
      <c r="G833">
        <v>3.952</v>
      </c>
      <c r="H833">
        <v>3.8330000000000002</v>
      </c>
      <c r="I833">
        <v>3.895</v>
      </c>
      <c r="J833">
        <v>31.324999999999999</v>
      </c>
      <c r="K833">
        <v>21.1</v>
      </c>
      <c r="L833">
        <v>-4.1000000000000002E-2</v>
      </c>
    </row>
    <row r="834" spans="1:12" x14ac:dyDescent="0.25">
      <c r="A834">
        <v>22582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-5.0999999999999997E-2</v>
      </c>
    </row>
    <row r="835" spans="1:12" x14ac:dyDescent="0.25">
      <c r="A835">
        <v>27594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-4.4999999999999998E-2</v>
      </c>
    </row>
    <row r="836" spans="1:12" x14ac:dyDescent="0.25">
      <c r="A836">
        <v>22431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-0.04</v>
      </c>
    </row>
    <row r="837" spans="1:12" x14ac:dyDescent="0.25">
      <c r="A837">
        <v>27457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-3.5999999999999997E-2</v>
      </c>
    </row>
    <row r="838" spans="1:12" x14ac:dyDescent="0.25">
      <c r="A838">
        <v>33543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-1.4E-2</v>
      </c>
    </row>
    <row r="839" spans="1:12" x14ac:dyDescent="0.25">
      <c r="A839">
        <v>39628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-4.2000000000000003E-2</v>
      </c>
    </row>
    <row r="840" spans="1:12" x14ac:dyDescent="0.25">
      <c r="A840">
        <v>45713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-4.5999999999999999E-2</v>
      </c>
    </row>
    <row r="841" spans="1:12" x14ac:dyDescent="0.25">
      <c r="A841">
        <v>51798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-3.7999999999999999E-2</v>
      </c>
    </row>
    <row r="842" spans="1:12" x14ac:dyDescent="0.25">
      <c r="A842">
        <v>57885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-3.9E-2</v>
      </c>
    </row>
    <row r="843" spans="1:12" x14ac:dyDescent="0.25">
      <c r="A843">
        <v>63969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-5.0999999999999997E-2</v>
      </c>
    </row>
    <row r="844" spans="1:12" x14ac:dyDescent="0.25">
      <c r="A844">
        <v>70053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-4.2000000000000003E-2</v>
      </c>
    </row>
    <row r="845" spans="1:12" x14ac:dyDescent="0.25">
      <c r="A845">
        <v>76137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-4.5999999999999999E-2</v>
      </c>
    </row>
    <row r="846" spans="1:12" x14ac:dyDescent="0.25">
      <c r="A846">
        <v>82221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-4.2000000000000003E-2</v>
      </c>
    </row>
    <row r="847" spans="1:12" x14ac:dyDescent="0.25">
      <c r="A847">
        <v>88307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-0.06</v>
      </c>
    </row>
    <row r="848" spans="1:12" x14ac:dyDescent="0.25">
      <c r="A848">
        <v>94392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-4.9000000000000002E-2</v>
      </c>
    </row>
    <row r="849" spans="1:12" x14ac:dyDescent="0.25">
      <c r="A849">
        <v>22432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-3.3000000000000002E-2</v>
      </c>
    </row>
    <row r="850" spans="1:12" x14ac:dyDescent="0.25">
      <c r="A850">
        <v>27455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-2.5000000000000001E-2</v>
      </c>
    </row>
    <row r="851" spans="1:12" x14ac:dyDescent="0.25">
      <c r="A851">
        <v>33542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-2.9000000000000001E-2</v>
      </c>
    </row>
    <row r="852" spans="1:12" x14ac:dyDescent="0.25">
      <c r="A852">
        <v>39627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-3.5000000000000003E-2</v>
      </c>
    </row>
    <row r="853" spans="1:12" x14ac:dyDescent="0.25">
      <c r="A853">
        <v>45713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-0.03</v>
      </c>
    </row>
    <row r="854" spans="1:12" x14ac:dyDescent="0.25">
      <c r="A854">
        <v>51798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-2.5999999999999999E-2</v>
      </c>
    </row>
    <row r="855" spans="1:12" x14ac:dyDescent="0.25">
      <c r="A855">
        <v>57882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-3.3000000000000002E-2</v>
      </c>
    </row>
    <row r="856" spans="1:12" x14ac:dyDescent="0.25">
      <c r="A856">
        <v>63969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-4.1000000000000002E-2</v>
      </c>
    </row>
    <row r="857" spans="1:12" x14ac:dyDescent="0.25">
      <c r="A857">
        <v>70059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-2.4E-2</v>
      </c>
    </row>
    <row r="858" spans="1:12" x14ac:dyDescent="0.25">
      <c r="A858">
        <v>76144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-4.1000000000000002E-2</v>
      </c>
    </row>
    <row r="859" spans="1:12" x14ac:dyDescent="0.25">
      <c r="A859">
        <v>82837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-2.5000000000000001E-2</v>
      </c>
    </row>
    <row r="860" spans="1:12" x14ac:dyDescent="0.25">
      <c r="A860">
        <v>88954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-3.7999999999999999E-2</v>
      </c>
    </row>
    <row r="861" spans="1:12" x14ac:dyDescent="0.25">
      <c r="A861">
        <v>95039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-1.7000000000000001E-2</v>
      </c>
    </row>
    <row r="862" spans="1:12" x14ac:dyDescent="0.25">
      <c r="A862">
        <v>101124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-3.5999999999999997E-2</v>
      </c>
    </row>
    <row r="863" spans="1:12" x14ac:dyDescent="0.25">
      <c r="A863">
        <v>107211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-2.1000000000000001E-2</v>
      </c>
    </row>
    <row r="864" spans="1:12" x14ac:dyDescent="0.25">
      <c r="A864">
        <v>22431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-2.4E-2</v>
      </c>
    </row>
    <row r="865" spans="1:12" x14ac:dyDescent="0.25">
      <c r="A865">
        <v>27454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-1.9E-2</v>
      </c>
    </row>
    <row r="866" spans="1:12" x14ac:dyDescent="0.25">
      <c r="A866">
        <v>33539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-3.1E-2</v>
      </c>
    </row>
    <row r="867" spans="1:12" x14ac:dyDescent="0.25">
      <c r="A867">
        <v>22585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-5.2999999999999999E-2</v>
      </c>
    </row>
    <row r="868" spans="1:12" x14ac:dyDescent="0.25">
      <c r="A868">
        <v>27596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-4.8000000000000001E-2</v>
      </c>
    </row>
    <row r="869" spans="1:12" x14ac:dyDescent="0.25">
      <c r="A869">
        <v>32922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-7.4999999999999997E-2</v>
      </c>
    </row>
    <row r="870" spans="1:12" x14ac:dyDescent="0.25">
      <c r="A870">
        <v>39718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-6.0999999999999999E-2</v>
      </c>
    </row>
    <row r="871" spans="1:12" x14ac:dyDescent="0.25">
      <c r="A871">
        <v>45805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-6.6000000000000003E-2</v>
      </c>
    </row>
    <row r="872" spans="1:12" x14ac:dyDescent="0.25">
      <c r="A872">
        <v>51890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-8.3000000000000004E-2</v>
      </c>
    </row>
    <row r="873" spans="1:12" x14ac:dyDescent="0.25">
      <c r="A873">
        <v>57974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-7.3999999999999996E-2</v>
      </c>
    </row>
    <row r="874" spans="1:12" x14ac:dyDescent="0.25">
      <c r="A874">
        <v>22433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-0.04</v>
      </c>
    </row>
    <row r="875" spans="1:12" x14ac:dyDescent="0.25">
      <c r="A875">
        <v>27458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-2.5999999999999999E-2</v>
      </c>
    </row>
    <row r="876" spans="1:12" x14ac:dyDescent="0.25">
      <c r="A876">
        <v>33543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-0.02</v>
      </c>
    </row>
    <row r="877" spans="1:12" x14ac:dyDescent="0.25">
      <c r="A877">
        <v>39628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-3.5999999999999997E-2</v>
      </c>
    </row>
    <row r="878" spans="1:12" x14ac:dyDescent="0.25">
      <c r="A878">
        <v>44630</v>
      </c>
      <c r="B878">
        <v>3.9489999999999998</v>
      </c>
      <c r="C878">
        <v>3.9620000000000002</v>
      </c>
      <c r="D878">
        <v>3.863</v>
      </c>
      <c r="E878">
        <v>3.8050000000000002</v>
      </c>
      <c r="F878">
        <v>4.0659999999999998</v>
      </c>
      <c r="G878">
        <v>3.923</v>
      </c>
      <c r="H878">
        <v>3.8620000000000001</v>
      </c>
      <c r="I878">
        <v>3.8570000000000002</v>
      </c>
      <c r="J878">
        <v>31.286999999999999</v>
      </c>
      <c r="K878">
        <v>21.1</v>
      </c>
      <c r="L878">
        <v>-3.7999999999999999E-2</v>
      </c>
    </row>
    <row r="879" spans="1:12" x14ac:dyDescent="0.25">
      <c r="A879">
        <v>51064</v>
      </c>
      <c r="B879">
        <v>3.9489999999999998</v>
      </c>
      <c r="C879">
        <v>3.9620000000000002</v>
      </c>
      <c r="D879">
        <v>3.863</v>
      </c>
      <c r="E879">
        <v>3.8050000000000002</v>
      </c>
      <c r="F879">
        <v>4.0659999999999998</v>
      </c>
      <c r="G879">
        <v>3.952</v>
      </c>
      <c r="H879">
        <v>3.8330000000000002</v>
      </c>
      <c r="I879">
        <v>3.8570000000000002</v>
      </c>
      <c r="J879">
        <v>31.286999999999999</v>
      </c>
      <c r="K879">
        <v>21.1</v>
      </c>
      <c r="L879">
        <v>-2.4E-2</v>
      </c>
    </row>
    <row r="880" spans="1:12" x14ac:dyDescent="0.25">
      <c r="A880">
        <v>58457</v>
      </c>
      <c r="B880">
        <v>3.9489999999999998</v>
      </c>
      <c r="C880">
        <v>3.9529999999999998</v>
      </c>
      <c r="D880">
        <v>3.8719999999999999</v>
      </c>
      <c r="E880">
        <v>3.8050000000000002</v>
      </c>
      <c r="F880">
        <v>4.0659999999999998</v>
      </c>
      <c r="G880">
        <v>3.923</v>
      </c>
      <c r="H880">
        <v>3.8620000000000001</v>
      </c>
      <c r="I880">
        <v>3.8570000000000002</v>
      </c>
      <c r="J880">
        <v>31.286999999999999</v>
      </c>
      <c r="K880">
        <v>21.1</v>
      </c>
      <c r="L880">
        <v>-2.5999999999999999E-2</v>
      </c>
    </row>
    <row r="881" spans="1:12" x14ac:dyDescent="0.25">
      <c r="A881">
        <v>63461</v>
      </c>
      <c r="B881">
        <v>3.9489999999999998</v>
      </c>
      <c r="C881">
        <v>3.9620000000000002</v>
      </c>
      <c r="D881">
        <v>3.863</v>
      </c>
      <c r="E881">
        <v>3.8050000000000002</v>
      </c>
      <c r="F881">
        <v>4.0659999999999998</v>
      </c>
      <c r="G881">
        <v>3.923</v>
      </c>
      <c r="H881">
        <v>3.8620000000000001</v>
      </c>
      <c r="I881">
        <v>3.8570000000000002</v>
      </c>
      <c r="J881">
        <v>31.286999999999999</v>
      </c>
      <c r="K881">
        <v>21.1</v>
      </c>
      <c r="L881">
        <v>-2.4E-2</v>
      </c>
    </row>
    <row r="882" spans="1:12" x14ac:dyDescent="0.25">
      <c r="A882">
        <v>69935</v>
      </c>
      <c r="B882">
        <v>3.9489999999999998</v>
      </c>
      <c r="C882">
        <v>3.9620000000000002</v>
      </c>
      <c r="D882">
        <v>3.863</v>
      </c>
      <c r="E882">
        <v>3.8050000000000002</v>
      </c>
      <c r="F882">
        <v>4.0659999999999998</v>
      </c>
      <c r="G882">
        <v>3.923</v>
      </c>
      <c r="H882">
        <v>3.8620000000000001</v>
      </c>
      <c r="I882">
        <v>3.8570000000000002</v>
      </c>
      <c r="J882">
        <v>31.286999999999999</v>
      </c>
      <c r="K882">
        <v>21.1</v>
      </c>
      <c r="L882">
        <v>-4.1000000000000002E-2</v>
      </c>
    </row>
    <row r="883" spans="1:12" x14ac:dyDescent="0.25">
      <c r="A883">
        <v>77328</v>
      </c>
      <c r="B883">
        <v>3.9489999999999998</v>
      </c>
      <c r="C883">
        <v>3.9620000000000002</v>
      </c>
      <c r="D883">
        <v>3.863</v>
      </c>
      <c r="E883">
        <v>3.8050000000000002</v>
      </c>
      <c r="F883">
        <v>4.0659999999999998</v>
      </c>
      <c r="G883">
        <v>3.923</v>
      </c>
      <c r="H883">
        <v>3.8620000000000001</v>
      </c>
      <c r="I883">
        <v>3.8570000000000002</v>
      </c>
      <c r="J883">
        <v>31.286999999999999</v>
      </c>
      <c r="K883">
        <v>21.1</v>
      </c>
      <c r="L883">
        <v>-3.5999999999999997E-2</v>
      </c>
    </row>
    <row r="884" spans="1:12" x14ac:dyDescent="0.25">
      <c r="A884">
        <v>21746</v>
      </c>
      <c r="B884">
        <v>0</v>
      </c>
      <c r="C884">
        <v>3.9620000000000002</v>
      </c>
      <c r="D884">
        <v>3.863</v>
      </c>
      <c r="E884">
        <v>3.8050000000000002</v>
      </c>
      <c r="F884">
        <v>4.0659999999999998</v>
      </c>
      <c r="G884">
        <v>3.952</v>
      </c>
      <c r="H884">
        <v>3.8330000000000002</v>
      </c>
      <c r="I884">
        <v>3.895</v>
      </c>
      <c r="J884">
        <v>27.376000000000001</v>
      </c>
      <c r="K884">
        <v>21.1</v>
      </c>
      <c r="L884">
        <v>-8.9999999999999993E-3</v>
      </c>
    </row>
    <row r="885" spans="1:12" x14ac:dyDescent="0.25">
      <c r="A885">
        <v>28786</v>
      </c>
      <c r="B885">
        <v>3.9489999999999998</v>
      </c>
      <c r="C885">
        <v>3.9620000000000002</v>
      </c>
      <c r="D885">
        <v>3.863</v>
      </c>
      <c r="E885">
        <v>3.8050000000000002</v>
      </c>
      <c r="F885">
        <v>4.0659999999999998</v>
      </c>
      <c r="G885">
        <v>3.952</v>
      </c>
      <c r="H885">
        <v>3.8330000000000002</v>
      </c>
      <c r="I885">
        <v>3.895</v>
      </c>
      <c r="J885">
        <v>31.324999999999999</v>
      </c>
      <c r="K885">
        <v>21.1</v>
      </c>
      <c r="L885">
        <v>-2.3E-2</v>
      </c>
    </row>
    <row r="886" spans="1:12" x14ac:dyDescent="0.25">
      <c r="A886">
        <v>36179</v>
      </c>
      <c r="B886">
        <v>3.9489999999999998</v>
      </c>
      <c r="C886">
        <v>3.9620000000000002</v>
      </c>
      <c r="D886">
        <v>3.863</v>
      </c>
      <c r="E886">
        <v>3.8050000000000002</v>
      </c>
      <c r="F886">
        <v>4.0659999999999998</v>
      </c>
      <c r="G886">
        <v>3.952</v>
      </c>
      <c r="H886">
        <v>3.8330000000000002</v>
      </c>
      <c r="I886">
        <v>3.895</v>
      </c>
      <c r="J886">
        <v>31.324999999999999</v>
      </c>
      <c r="K886">
        <v>21.1</v>
      </c>
      <c r="L886">
        <v>-3.7999999999999999E-2</v>
      </c>
    </row>
    <row r="887" spans="1:12" x14ac:dyDescent="0.25">
      <c r="A887">
        <v>43571</v>
      </c>
      <c r="B887">
        <v>3.9489999999999998</v>
      </c>
      <c r="C887">
        <v>3.9620000000000002</v>
      </c>
      <c r="D887">
        <v>3.863</v>
      </c>
      <c r="E887">
        <v>3.8050000000000002</v>
      </c>
      <c r="F887">
        <v>4.0659999999999998</v>
      </c>
      <c r="G887">
        <v>3.952</v>
      </c>
      <c r="H887">
        <v>3.8330000000000002</v>
      </c>
      <c r="I887">
        <v>3.895</v>
      </c>
      <c r="J887">
        <v>31.324999999999999</v>
      </c>
      <c r="K887">
        <v>21.1</v>
      </c>
      <c r="L887">
        <v>-3.5999999999999997E-2</v>
      </c>
    </row>
    <row r="888" spans="1:12" x14ac:dyDescent="0.25">
      <c r="A888">
        <v>50964</v>
      </c>
      <c r="B888">
        <v>3.9489999999999998</v>
      </c>
      <c r="C888">
        <v>3.9620000000000002</v>
      </c>
      <c r="D888">
        <v>3.863</v>
      </c>
      <c r="E888">
        <v>3.8050000000000002</v>
      </c>
      <c r="F888">
        <v>4.0659999999999998</v>
      </c>
      <c r="G888">
        <v>3.952</v>
      </c>
      <c r="H888">
        <v>3.8330000000000002</v>
      </c>
      <c r="I888">
        <v>3.895</v>
      </c>
      <c r="J888">
        <v>31.324999999999999</v>
      </c>
      <c r="K888">
        <v>21.1</v>
      </c>
      <c r="L888">
        <v>-4.9000000000000002E-2</v>
      </c>
    </row>
    <row r="889" spans="1:12" x14ac:dyDescent="0.25">
      <c r="A889">
        <v>58356</v>
      </c>
      <c r="B889">
        <v>3.9489999999999998</v>
      </c>
      <c r="C889">
        <v>3.9620000000000002</v>
      </c>
      <c r="D889">
        <v>3.863</v>
      </c>
      <c r="E889">
        <v>3.8050000000000002</v>
      </c>
      <c r="F889">
        <v>4.0659999999999998</v>
      </c>
      <c r="G889">
        <v>3.952</v>
      </c>
      <c r="H889">
        <v>3.8330000000000002</v>
      </c>
      <c r="I889">
        <v>3.895</v>
      </c>
      <c r="J889">
        <v>31.324999999999999</v>
      </c>
      <c r="K889">
        <v>21.1</v>
      </c>
      <c r="L889">
        <v>-4.2000000000000003E-2</v>
      </c>
    </row>
    <row r="890" spans="1:12" x14ac:dyDescent="0.25">
      <c r="A890">
        <v>65749</v>
      </c>
      <c r="B890">
        <v>3.9489999999999998</v>
      </c>
      <c r="C890">
        <v>3.9620000000000002</v>
      </c>
      <c r="D890">
        <v>3.863</v>
      </c>
      <c r="E890">
        <v>3.8050000000000002</v>
      </c>
      <c r="F890">
        <v>4.0659999999999998</v>
      </c>
      <c r="G890">
        <v>3.952</v>
      </c>
      <c r="H890">
        <v>3.8330000000000002</v>
      </c>
      <c r="I890">
        <v>3.895</v>
      </c>
      <c r="J890">
        <v>31.324999999999999</v>
      </c>
      <c r="K890">
        <v>21.1</v>
      </c>
      <c r="L890">
        <v>-3.7999999999999999E-2</v>
      </c>
    </row>
    <row r="891" spans="1:12" x14ac:dyDescent="0.25">
      <c r="A891">
        <v>71818</v>
      </c>
      <c r="B891">
        <v>3.9489999999999998</v>
      </c>
      <c r="C891">
        <v>3.9620000000000002</v>
      </c>
      <c r="D891">
        <v>3.863</v>
      </c>
      <c r="E891">
        <v>3.8050000000000002</v>
      </c>
      <c r="F891">
        <v>4.0659999999999998</v>
      </c>
      <c r="G891">
        <v>3.952</v>
      </c>
      <c r="H891">
        <v>3.8330000000000002</v>
      </c>
      <c r="I891">
        <v>3.895</v>
      </c>
      <c r="J891">
        <v>31.324999999999999</v>
      </c>
      <c r="K891">
        <v>21.1</v>
      </c>
      <c r="L891">
        <v>-3.9E-2</v>
      </c>
    </row>
    <row r="892" spans="1:12" x14ac:dyDescent="0.25">
      <c r="A892">
        <v>77905</v>
      </c>
      <c r="B892">
        <v>3.9489999999999998</v>
      </c>
      <c r="C892">
        <v>3.9620000000000002</v>
      </c>
      <c r="D892">
        <v>3.863</v>
      </c>
      <c r="E892">
        <v>3.8050000000000002</v>
      </c>
      <c r="F892">
        <v>4.0659999999999998</v>
      </c>
      <c r="G892">
        <v>3.952</v>
      </c>
      <c r="H892">
        <v>3.8330000000000002</v>
      </c>
      <c r="I892">
        <v>3.895</v>
      </c>
      <c r="J892">
        <v>31.324999999999999</v>
      </c>
      <c r="K892">
        <v>21.1</v>
      </c>
      <c r="L892">
        <v>-3.1E-2</v>
      </c>
    </row>
    <row r="893" spans="1:12" x14ac:dyDescent="0.25">
      <c r="A893">
        <v>85277</v>
      </c>
      <c r="B893">
        <v>3.9489999999999998</v>
      </c>
      <c r="C893">
        <v>3.9620000000000002</v>
      </c>
      <c r="D893">
        <v>3.863</v>
      </c>
      <c r="E893">
        <v>3.8050000000000002</v>
      </c>
      <c r="F893">
        <v>4.0659999999999998</v>
      </c>
      <c r="G893">
        <v>3.952</v>
      </c>
      <c r="H893">
        <v>3.8330000000000002</v>
      </c>
      <c r="I893">
        <v>3.895</v>
      </c>
      <c r="J893">
        <v>31.324999999999999</v>
      </c>
      <c r="K893">
        <v>21</v>
      </c>
      <c r="L893">
        <v>-4.4999999999999998E-2</v>
      </c>
    </row>
    <row r="894" spans="1:12" x14ac:dyDescent="0.25">
      <c r="A894">
        <v>92669</v>
      </c>
      <c r="B894">
        <v>3.9489999999999998</v>
      </c>
      <c r="C894">
        <v>3.9620000000000002</v>
      </c>
      <c r="D894">
        <v>3.863</v>
      </c>
      <c r="E894">
        <v>3.8050000000000002</v>
      </c>
      <c r="F894">
        <v>4.0659999999999998</v>
      </c>
      <c r="G894">
        <v>3.952</v>
      </c>
      <c r="H894">
        <v>3.8330000000000002</v>
      </c>
      <c r="I894">
        <v>3.895</v>
      </c>
      <c r="J894">
        <v>31.324999999999999</v>
      </c>
      <c r="K894">
        <v>21.1</v>
      </c>
      <c r="L894">
        <v>-5.5E-2</v>
      </c>
    </row>
    <row r="895" spans="1:12" x14ac:dyDescent="0.25">
      <c r="A895">
        <v>100062</v>
      </c>
      <c r="B895">
        <v>3.9489999999999998</v>
      </c>
      <c r="C895">
        <v>3.9620000000000002</v>
      </c>
      <c r="D895">
        <v>3.863</v>
      </c>
      <c r="E895">
        <v>3.8050000000000002</v>
      </c>
      <c r="F895">
        <v>4.0839999999999996</v>
      </c>
      <c r="G895">
        <v>3.923</v>
      </c>
      <c r="H895">
        <v>3.8290000000000002</v>
      </c>
      <c r="I895">
        <v>3.8889999999999998</v>
      </c>
      <c r="J895">
        <v>31.303999999999998</v>
      </c>
      <c r="K895">
        <v>21.1</v>
      </c>
      <c r="L895">
        <v>-5.7000000000000002E-2</v>
      </c>
    </row>
    <row r="896" spans="1:12" x14ac:dyDescent="0.25">
      <c r="A896">
        <v>107454</v>
      </c>
      <c r="B896">
        <v>3.9489999999999998</v>
      </c>
      <c r="C896">
        <v>3.9620000000000002</v>
      </c>
      <c r="D896">
        <v>3.863</v>
      </c>
      <c r="E896">
        <v>3.8050000000000002</v>
      </c>
      <c r="F896">
        <v>4.0570000000000004</v>
      </c>
      <c r="G896">
        <v>3.9510000000000001</v>
      </c>
      <c r="H896">
        <v>3.8290000000000002</v>
      </c>
      <c r="I896">
        <v>3.8889999999999998</v>
      </c>
      <c r="J896">
        <v>31.305</v>
      </c>
      <c r="K896">
        <v>21.2</v>
      </c>
      <c r="L896">
        <v>-4.2000000000000003E-2</v>
      </c>
    </row>
    <row r="897" spans="1:12" x14ac:dyDescent="0.25">
      <c r="A897">
        <v>113542</v>
      </c>
      <c r="B897">
        <v>3.9489999999999998</v>
      </c>
      <c r="C897">
        <v>3.9620000000000002</v>
      </c>
      <c r="D897">
        <v>3.863</v>
      </c>
      <c r="E897">
        <v>3.8050000000000002</v>
      </c>
      <c r="F897">
        <v>4.0570000000000004</v>
      </c>
      <c r="G897">
        <v>3.9510000000000001</v>
      </c>
      <c r="H897">
        <v>3.8290000000000002</v>
      </c>
      <c r="I897">
        <v>3.8889999999999998</v>
      </c>
      <c r="J897">
        <v>31.305</v>
      </c>
      <c r="K897">
        <v>21.2</v>
      </c>
      <c r="L897">
        <v>-2.7E-2</v>
      </c>
    </row>
    <row r="898" spans="1:12" x14ac:dyDescent="0.25">
      <c r="A898">
        <v>118549</v>
      </c>
      <c r="B898">
        <v>0.313</v>
      </c>
      <c r="C898">
        <v>-0.313</v>
      </c>
      <c r="D898">
        <v>0</v>
      </c>
      <c r="E898">
        <v>0</v>
      </c>
      <c r="F898">
        <v>0</v>
      </c>
      <c r="G898">
        <v>1.365</v>
      </c>
      <c r="H898">
        <v>3.742</v>
      </c>
      <c r="I898">
        <v>3.6019999999999999</v>
      </c>
      <c r="J898">
        <v>8.7089999999999996</v>
      </c>
      <c r="K898">
        <v>-126.5</v>
      </c>
      <c r="L898">
        <v>-4.2000000000000003E-2</v>
      </c>
    </row>
    <row r="899" spans="1:12" x14ac:dyDescent="0.25">
      <c r="A899">
        <v>123554</v>
      </c>
      <c r="B899">
        <v>0.318</v>
      </c>
      <c r="C899">
        <v>-0.318</v>
      </c>
      <c r="D899">
        <v>0</v>
      </c>
      <c r="E899">
        <v>0</v>
      </c>
      <c r="F899">
        <v>0</v>
      </c>
      <c r="G899">
        <v>1.365</v>
      </c>
      <c r="H899">
        <v>3.71</v>
      </c>
      <c r="I899">
        <v>3.6349999999999998</v>
      </c>
      <c r="J899">
        <v>8.7100000000000009</v>
      </c>
      <c r="K899">
        <v>-126.5</v>
      </c>
      <c r="L899">
        <v>-0.05</v>
      </c>
    </row>
    <row r="900" spans="1:12" x14ac:dyDescent="0.25">
      <c r="A900">
        <v>128563</v>
      </c>
      <c r="B900">
        <v>0.27900000000000003</v>
      </c>
      <c r="C900">
        <v>-0.27900000000000003</v>
      </c>
      <c r="D900">
        <v>0</v>
      </c>
      <c r="E900">
        <v>0</v>
      </c>
      <c r="F900">
        <v>0</v>
      </c>
      <c r="G900">
        <v>1.365</v>
      </c>
      <c r="H900">
        <v>3.742</v>
      </c>
      <c r="I900">
        <v>3.641</v>
      </c>
      <c r="J900">
        <v>8.7479999999999993</v>
      </c>
      <c r="K900">
        <v>-126.5</v>
      </c>
      <c r="L900">
        <v>-4.2000000000000003E-2</v>
      </c>
    </row>
    <row r="901" spans="1:12" x14ac:dyDescent="0.25">
      <c r="A901">
        <v>133572</v>
      </c>
      <c r="B901">
        <v>0.34699999999999998</v>
      </c>
      <c r="C901">
        <v>-0.34699999999999998</v>
      </c>
      <c r="D901">
        <v>0</v>
      </c>
      <c r="E901">
        <v>0</v>
      </c>
      <c r="F901">
        <v>0</v>
      </c>
      <c r="G901">
        <v>1.365</v>
      </c>
      <c r="H901">
        <v>3.742</v>
      </c>
      <c r="I901">
        <v>3.6019999999999999</v>
      </c>
      <c r="J901">
        <v>8.7089999999999996</v>
      </c>
      <c r="K901">
        <v>-126.5</v>
      </c>
      <c r="L901">
        <v>-4.4999999999999998E-2</v>
      </c>
    </row>
    <row r="902" spans="1:12" x14ac:dyDescent="0.25">
      <c r="A902">
        <v>138572</v>
      </c>
      <c r="B902">
        <v>0.318</v>
      </c>
      <c r="C902">
        <v>-0.318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-273.10000000000002</v>
      </c>
      <c r="L902">
        <v>-3.3000000000000002E-2</v>
      </c>
    </row>
    <row r="903" spans="1:12" x14ac:dyDescent="0.25">
      <c r="A903">
        <v>143573</v>
      </c>
      <c r="B903">
        <v>0.36199999999999999</v>
      </c>
      <c r="C903">
        <v>-0.36199999999999999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-273.10000000000002</v>
      </c>
      <c r="L903">
        <v>-4.8000000000000001E-2</v>
      </c>
    </row>
    <row r="904" spans="1:12" x14ac:dyDescent="0.25">
      <c r="A904">
        <v>148582</v>
      </c>
      <c r="B904">
        <v>0.371</v>
      </c>
      <c r="C904">
        <v>-0.371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-273.10000000000002</v>
      </c>
      <c r="L904">
        <v>-4.3999999999999997E-2</v>
      </c>
    </row>
    <row r="905" spans="1:12" x14ac:dyDescent="0.25">
      <c r="A905">
        <v>153587</v>
      </c>
      <c r="B905">
        <v>0.36699999999999999</v>
      </c>
      <c r="C905">
        <v>-0.36699999999999999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-273.10000000000002</v>
      </c>
      <c r="L905">
        <v>-5.6000000000000001E-2</v>
      </c>
    </row>
    <row r="906" spans="1:12" x14ac:dyDescent="0.25">
      <c r="A906">
        <v>21824</v>
      </c>
      <c r="B906">
        <v>0</v>
      </c>
      <c r="C906">
        <v>-0.29799999999999999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-0.29799999999999999</v>
      </c>
      <c r="K906">
        <v>-273.10000000000002</v>
      </c>
      <c r="L906">
        <v>-8.9999999999999993E-3</v>
      </c>
    </row>
    <row r="907" spans="1:12" x14ac:dyDescent="0.25">
      <c r="A907">
        <v>26828</v>
      </c>
      <c r="B907">
        <v>0.34699999999999998</v>
      </c>
      <c r="C907">
        <v>-0.34699999999999998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-273.10000000000002</v>
      </c>
      <c r="L907">
        <v>-1.7000000000000001E-2</v>
      </c>
    </row>
    <row r="908" spans="1:12" x14ac:dyDescent="0.25">
      <c r="A908">
        <v>31841</v>
      </c>
      <c r="B908">
        <v>0.29799999999999999</v>
      </c>
      <c r="C908">
        <v>-0.29799999999999999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-273.10000000000002</v>
      </c>
      <c r="L908">
        <v>-1.9E-2</v>
      </c>
    </row>
    <row r="909" spans="1:12" x14ac:dyDescent="0.25">
      <c r="A909">
        <v>36850</v>
      </c>
      <c r="B909">
        <v>0.33200000000000002</v>
      </c>
      <c r="C909">
        <v>-0.33200000000000002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-273.10000000000002</v>
      </c>
      <c r="L909">
        <v>4.0000000000000001E-3</v>
      </c>
    </row>
    <row r="910" spans="1:12" x14ac:dyDescent="0.25">
      <c r="A910">
        <v>7814</v>
      </c>
      <c r="B910">
        <v>0</v>
      </c>
      <c r="C910">
        <v>-0.36199999999999999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-0.36199999999999999</v>
      </c>
      <c r="K910">
        <v>-273.10000000000002</v>
      </c>
      <c r="L910">
        <v>-8.9999999999999993E-3</v>
      </c>
    </row>
    <row r="911" spans="1:12" x14ac:dyDescent="0.25">
      <c r="A911">
        <v>12818</v>
      </c>
      <c r="B911">
        <v>0.38100000000000001</v>
      </c>
      <c r="C911">
        <v>-0.38100000000000001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-273.10000000000002</v>
      </c>
      <c r="L911">
        <v>5.0000000000000001E-3</v>
      </c>
    </row>
    <row r="912" spans="1:12" x14ac:dyDescent="0.25">
      <c r="A912">
        <v>17853</v>
      </c>
      <c r="B912">
        <v>0.29799999999999999</v>
      </c>
      <c r="C912">
        <v>-0.29799999999999999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-273.10000000000002</v>
      </c>
      <c r="L912">
        <v>8.9999999999999993E-3</v>
      </c>
    </row>
    <row r="913" spans="1:12" x14ac:dyDescent="0.25">
      <c r="A913">
        <v>22854</v>
      </c>
      <c r="B913">
        <v>0.33700000000000002</v>
      </c>
      <c r="C913">
        <v>-0.33700000000000002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-273.10000000000002</v>
      </c>
      <c r="L913">
        <v>2.4E-2</v>
      </c>
    </row>
    <row r="914" spans="1:12" x14ac:dyDescent="0.25">
      <c r="A914">
        <v>27861</v>
      </c>
      <c r="B914">
        <v>0.30299999999999999</v>
      </c>
      <c r="C914">
        <v>-0.30299999999999999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-273.10000000000002</v>
      </c>
      <c r="L914">
        <v>2E-3</v>
      </c>
    </row>
    <row r="915" spans="1:12" x14ac:dyDescent="0.25">
      <c r="A915">
        <v>32866</v>
      </c>
      <c r="B915">
        <v>0.318</v>
      </c>
      <c r="C915">
        <v>-0.318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-273.10000000000002</v>
      </c>
      <c r="L915">
        <v>0.01</v>
      </c>
    </row>
    <row r="916" spans="1:12" x14ac:dyDescent="0.25">
      <c r="A916">
        <v>37872</v>
      </c>
      <c r="B916">
        <v>0.313</v>
      </c>
      <c r="C916">
        <v>-0.313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-273.10000000000002</v>
      </c>
      <c r="L916">
        <v>4.0000000000000001E-3</v>
      </c>
    </row>
    <row r="917" spans="1:12" x14ac:dyDescent="0.25">
      <c r="A917">
        <v>42881</v>
      </c>
      <c r="B917">
        <v>0.32300000000000001</v>
      </c>
      <c r="C917">
        <v>-0.32300000000000001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-273.10000000000002</v>
      </c>
      <c r="L917">
        <v>8.0000000000000002E-3</v>
      </c>
    </row>
    <row r="918" spans="1:12" x14ac:dyDescent="0.25">
      <c r="A918">
        <v>47885</v>
      </c>
      <c r="B918">
        <v>0.38100000000000001</v>
      </c>
      <c r="C918">
        <v>-0.38100000000000001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-273.10000000000002</v>
      </c>
      <c r="L918">
        <v>7.0000000000000001E-3</v>
      </c>
    </row>
    <row r="919" spans="1:12" x14ac:dyDescent="0.25">
      <c r="A919">
        <v>52900</v>
      </c>
      <c r="B919">
        <v>0.35699999999999998</v>
      </c>
      <c r="C919">
        <v>-0.35699999999999998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-273.10000000000002</v>
      </c>
      <c r="L919">
        <v>1.2999999999999999E-2</v>
      </c>
    </row>
    <row r="920" spans="1:12" x14ac:dyDescent="0.25">
      <c r="A920">
        <v>7706</v>
      </c>
      <c r="B920">
        <v>0</v>
      </c>
      <c r="C920">
        <v>-0.38600000000000001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-0.38600000000000001</v>
      </c>
      <c r="K920">
        <v>-273.10000000000002</v>
      </c>
      <c r="L920">
        <v>-6.0000000000000001E-3</v>
      </c>
    </row>
    <row r="921" spans="1:12" x14ac:dyDescent="0.25">
      <c r="A921">
        <v>12711</v>
      </c>
      <c r="B921">
        <v>0.376</v>
      </c>
      <c r="C921">
        <v>-0.376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-273.10000000000002</v>
      </c>
      <c r="L921">
        <v>-7.0000000000000001E-3</v>
      </c>
    </row>
    <row r="922" spans="1:12" x14ac:dyDescent="0.25">
      <c r="A922">
        <v>17758</v>
      </c>
      <c r="B922">
        <v>0.371</v>
      </c>
      <c r="C922">
        <v>-0.371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-273.10000000000002</v>
      </c>
      <c r="L922">
        <v>-2E-3</v>
      </c>
    </row>
    <row r="923" spans="1:12" x14ac:dyDescent="0.25">
      <c r="A923">
        <v>22763</v>
      </c>
      <c r="B923">
        <v>0.34200000000000003</v>
      </c>
      <c r="C923">
        <v>-0.34200000000000003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-273.10000000000002</v>
      </c>
      <c r="L923">
        <v>-4.0000000000000001E-3</v>
      </c>
    </row>
    <row r="924" spans="1:12" x14ac:dyDescent="0.25">
      <c r="A924">
        <v>7768</v>
      </c>
      <c r="B924">
        <v>0</v>
      </c>
      <c r="C924">
        <v>-0.371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-0.371</v>
      </c>
      <c r="K924">
        <v>-273.10000000000002</v>
      </c>
      <c r="L924">
        <v>-6.0000000000000001E-3</v>
      </c>
    </row>
    <row r="925" spans="1:12" x14ac:dyDescent="0.25">
      <c r="A925">
        <v>12775</v>
      </c>
      <c r="B925">
        <v>0.29799999999999999</v>
      </c>
      <c r="C925">
        <v>-0.29799999999999999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-273.10000000000002</v>
      </c>
      <c r="L925">
        <v>8.9999999999999993E-3</v>
      </c>
    </row>
    <row r="926" spans="1:12" x14ac:dyDescent="0.25">
      <c r="A926">
        <v>17820</v>
      </c>
      <c r="B926">
        <v>0.39600000000000002</v>
      </c>
      <c r="C926">
        <v>-0.39600000000000002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-273.10000000000002</v>
      </c>
      <c r="L926">
        <v>-8.9999999999999993E-3</v>
      </c>
    </row>
    <row r="927" spans="1:12" x14ac:dyDescent="0.25">
      <c r="A927">
        <v>22821</v>
      </c>
      <c r="B927">
        <v>0.33200000000000002</v>
      </c>
      <c r="C927">
        <v>-0.33200000000000002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-273.10000000000002</v>
      </c>
      <c r="L927">
        <v>3.0000000000000001E-3</v>
      </c>
    </row>
    <row r="928" spans="1:12" x14ac:dyDescent="0.25">
      <c r="A928">
        <v>27866</v>
      </c>
      <c r="B928">
        <v>0.318</v>
      </c>
      <c r="C928">
        <v>-0.318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-273.10000000000002</v>
      </c>
      <c r="L928">
        <v>1.6E-2</v>
      </c>
    </row>
    <row r="929" spans="1:12" x14ac:dyDescent="0.25">
      <c r="A929">
        <v>32867</v>
      </c>
      <c r="B929">
        <v>0.38600000000000001</v>
      </c>
      <c r="C929">
        <v>-0.38600000000000001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-273.10000000000002</v>
      </c>
      <c r="L929">
        <v>-4.0000000000000001E-3</v>
      </c>
    </row>
    <row r="930" spans="1:12" x14ac:dyDescent="0.25">
      <c r="A930">
        <v>37874</v>
      </c>
      <c r="B930">
        <v>0.35199999999999998</v>
      </c>
      <c r="C930">
        <v>-0.35199999999999998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-273.10000000000002</v>
      </c>
      <c r="L930">
        <v>0</v>
      </c>
    </row>
    <row r="931" spans="1:12" x14ac:dyDescent="0.25">
      <c r="A931">
        <v>42879</v>
      </c>
      <c r="B931">
        <v>0.38600000000000001</v>
      </c>
      <c r="C931">
        <v>-0.38600000000000001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-273.10000000000002</v>
      </c>
      <c r="L931">
        <v>1E-3</v>
      </c>
    </row>
    <row r="932" spans="1:12" x14ac:dyDescent="0.25">
      <c r="A932">
        <v>47883</v>
      </c>
      <c r="B932">
        <v>0.38600000000000001</v>
      </c>
      <c r="C932">
        <v>-0.38600000000000001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-273.10000000000002</v>
      </c>
      <c r="L932">
        <v>5.0000000000000001E-3</v>
      </c>
    </row>
    <row r="933" spans="1:12" x14ac:dyDescent="0.25">
      <c r="A933">
        <v>52891</v>
      </c>
      <c r="B933">
        <v>0.38600000000000001</v>
      </c>
      <c r="C933">
        <v>-0.38600000000000001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-273.10000000000002</v>
      </c>
      <c r="L933">
        <v>-5.0000000000000001E-3</v>
      </c>
    </row>
    <row r="934" spans="1:12" x14ac:dyDescent="0.25">
      <c r="A934">
        <v>57899</v>
      </c>
      <c r="B934">
        <v>0.34200000000000003</v>
      </c>
      <c r="C934">
        <v>-0.34200000000000003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-273.10000000000002</v>
      </c>
      <c r="L934">
        <v>1.6E-2</v>
      </c>
    </row>
    <row r="935" spans="1:12" x14ac:dyDescent="0.25">
      <c r="A935">
        <v>62908</v>
      </c>
      <c r="B935">
        <v>0.318</v>
      </c>
      <c r="C935">
        <v>-0.318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-273.10000000000002</v>
      </c>
      <c r="L935">
        <v>0</v>
      </c>
    </row>
    <row r="936" spans="1:12" x14ac:dyDescent="0.25">
      <c r="A936">
        <v>67929</v>
      </c>
      <c r="B936">
        <v>0.371</v>
      </c>
      <c r="C936">
        <v>-0.371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-273.10000000000002</v>
      </c>
      <c r="L936">
        <v>4.0000000000000001E-3</v>
      </c>
    </row>
    <row r="937" spans="1:12" x14ac:dyDescent="0.25">
      <c r="A937">
        <v>72943</v>
      </c>
      <c r="B937">
        <v>0.376</v>
      </c>
      <c r="C937">
        <v>-0.376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-273.10000000000002</v>
      </c>
      <c r="L937">
        <v>1.4E-2</v>
      </c>
    </row>
    <row r="938" spans="1:12" x14ac:dyDescent="0.25">
      <c r="A938">
        <v>77998</v>
      </c>
      <c r="B938">
        <v>3.9489999999999998</v>
      </c>
      <c r="C938">
        <v>3.9620000000000002</v>
      </c>
      <c r="D938">
        <v>3.863</v>
      </c>
      <c r="E938">
        <v>3.8050000000000002</v>
      </c>
      <c r="F938">
        <v>0</v>
      </c>
      <c r="G938">
        <v>0</v>
      </c>
      <c r="H938">
        <v>0</v>
      </c>
      <c r="I938">
        <v>0</v>
      </c>
      <c r="J938">
        <v>15.579000000000001</v>
      </c>
      <c r="K938">
        <v>-126.2</v>
      </c>
      <c r="L938">
        <v>7.0000000000000001E-3</v>
      </c>
    </row>
    <row r="939" spans="1:12" x14ac:dyDescent="0.25">
      <c r="A939">
        <v>86932</v>
      </c>
      <c r="B939">
        <v>3.9489999999999998</v>
      </c>
      <c r="C939">
        <v>3.9620000000000002</v>
      </c>
      <c r="D939">
        <v>3.863</v>
      </c>
      <c r="E939">
        <v>3.8050000000000002</v>
      </c>
      <c r="F939">
        <v>4.0389999999999997</v>
      </c>
      <c r="G939">
        <v>3.9220000000000002</v>
      </c>
      <c r="H939">
        <v>3.8570000000000002</v>
      </c>
      <c r="I939">
        <v>3.85</v>
      </c>
      <c r="J939">
        <v>31.247</v>
      </c>
      <c r="K939">
        <v>21</v>
      </c>
      <c r="L939">
        <v>0</v>
      </c>
    </row>
    <row r="940" spans="1:12" x14ac:dyDescent="0.25">
      <c r="A940">
        <v>92162</v>
      </c>
      <c r="B940">
        <v>3.9489999999999998</v>
      </c>
      <c r="C940">
        <v>3.9529999999999998</v>
      </c>
      <c r="D940">
        <v>3.8719999999999999</v>
      </c>
      <c r="E940">
        <v>3.8050000000000002</v>
      </c>
      <c r="F940">
        <v>4.0389999999999997</v>
      </c>
      <c r="G940">
        <v>3.9510000000000001</v>
      </c>
      <c r="H940">
        <v>3.8290000000000002</v>
      </c>
      <c r="I940">
        <v>3.8889999999999998</v>
      </c>
      <c r="J940">
        <v>31.286999999999999</v>
      </c>
      <c r="K940">
        <v>21.2</v>
      </c>
      <c r="L940">
        <v>-3.0000000000000001E-3</v>
      </c>
    </row>
    <row r="941" spans="1:12" x14ac:dyDescent="0.25">
      <c r="A941">
        <v>97164</v>
      </c>
      <c r="B941">
        <v>3.9489999999999998</v>
      </c>
      <c r="C941">
        <v>3.9529999999999998</v>
      </c>
      <c r="D941">
        <v>3.8719999999999999</v>
      </c>
      <c r="E941">
        <v>3.8050000000000002</v>
      </c>
      <c r="F941">
        <v>4.0570000000000004</v>
      </c>
      <c r="G941">
        <v>3.9510000000000001</v>
      </c>
      <c r="H941">
        <v>3.8620000000000001</v>
      </c>
      <c r="I941">
        <v>3.8570000000000002</v>
      </c>
      <c r="J941">
        <v>31.306000000000001</v>
      </c>
      <c r="K941">
        <v>21.2</v>
      </c>
      <c r="L941">
        <v>-1.0999999999999999E-2</v>
      </c>
    </row>
    <row r="942" spans="1:12" x14ac:dyDescent="0.25">
      <c r="A942">
        <v>102236</v>
      </c>
      <c r="B942">
        <v>3.9489999999999998</v>
      </c>
      <c r="C942">
        <v>3.9529999999999998</v>
      </c>
      <c r="D942">
        <v>3.8719999999999999</v>
      </c>
      <c r="E942">
        <v>3.8050000000000002</v>
      </c>
      <c r="F942">
        <v>4.0570000000000004</v>
      </c>
      <c r="G942">
        <v>3.9510000000000001</v>
      </c>
      <c r="H942">
        <v>3.8620000000000001</v>
      </c>
      <c r="I942">
        <v>3.8570000000000002</v>
      </c>
      <c r="J942">
        <v>31.306000000000001</v>
      </c>
      <c r="K942">
        <v>21.2</v>
      </c>
      <c r="L942">
        <v>-7.0000000000000001E-3</v>
      </c>
    </row>
    <row r="943" spans="1:12" x14ac:dyDescent="0.25">
      <c r="A943">
        <v>107247</v>
      </c>
      <c r="B943">
        <v>3.9489999999999998</v>
      </c>
      <c r="C943">
        <v>3.9529999999999998</v>
      </c>
      <c r="D943">
        <v>3.8719999999999999</v>
      </c>
      <c r="E943">
        <v>3.8050000000000002</v>
      </c>
      <c r="F943">
        <v>4.0570000000000004</v>
      </c>
      <c r="G943">
        <v>3.9510000000000001</v>
      </c>
      <c r="H943">
        <v>3.8620000000000001</v>
      </c>
      <c r="I943">
        <v>3.8570000000000002</v>
      </c>
      <c r="J943">
        <v>31.306000000000001</v>
      </c>
      <c r="K943">
        <v>21.2</v>
      </c>
      <c r="L943">
        <v>1.2999999999999999E-2</v>
      </c>
    </row>
    <row r="944" spans="1:12" x14ac:dyDescent="0.25">
      <c r="A944">
        <v>112309</v>
      </c>
      <c r="B944">
        <v>3.9489999999999998</v>
      </c>
      <c r="C944">
        <v>3.9529999999999998</v>
      </c>
      <c r="D944">
        <v>3.8719999999999999</v>
      </c>
      <c r="E944">
        <v>3.8050000000000002</v>
      </c>
      <c r="F944">
        <v>4.0570000000000004</v>
      </c>
      <c r="G944">
        <v>3.9510000000000001</v>
      </c>
      <c r="H944">
        <v>3.8620000000000001</v>
      </c>
      <c r="I944">
        <v>3.8570000000000002</v>
      </c>
      <c r="J944">
        <v>31.306000000000001</v>
      </c>
      <c r="K944">
        <v>21.2</v>
      </c>
      <c r="L944">
        <v>0.02</v>
      </c>
    </row>
    <row r="945" spans="1:12" x14ac:dyDescent="0.25">
      <c r="A945">
        <v>117320</v>
      </c>
      <c r="B945">
        <v>3.9489999999999998</v>
      </c>
      <c r="C945">
        <v>3.9529999999999998</v>
      </c>
      <c r="D945">
        <v>3.8719999999999999</v>
      </c>
      <c r="E945">
        <v>3.8050000000000002</v>
      </c>
      <c r="F945">
        <v>4.0659999999999998</v>
      </c>
      <c r="G945">
        <v>3.923</v>
      </c>
      <c r="H945">
        <v>3.8620000000000001</v>
      </c>
      <c r="I945">
        <v>3.8570000000000002</v>
      </c>
      <c r="J945">
        <v>31.286999999999999</v>
      </c>
      <c r="K945">
        <v>21.2</v>
      </c>
      <c r="L945">
        <v>5.0000000000000001E-3</v>
      </c>
    </row>
    <row r="946" spans="1:12" x14ac:dyDescent="0.25">
      <c r="A946">
        <v>122327</v>
      </c>
      <c r="B946">
        <v>3.9489999999999998</v>
      </c>
      <c r="C946">
        <v>3.9529999999999998</v>
      </c>
      <c r="D946">
        <v>3.8719999999999999</v>
      </c>
      <c r="E946">
        <v>3.8050000000000002</v>
      </c>
      <c r="F946">
        <v>4.0570000000000004</v>
      </c>
      <c r="G946">
        <v>3.9510000000000001</v>
      </c>
      <c r="H946">
        <v>3.8620000000000001</v>
      </c>
      <c r="I946">
        <v>3.8570000000000002</v>
      </c>
      <c r="J946">
        <v>31.306000000000001</v>
      </c>
      <c r="K946">
        <v>21.2</v>
      </c>
      <c r="L946">
        <v>2.5999999999999999E-2</v>
      </c>
    </row>
    <row r="947" spans="1:12" x14ac:dyDescent="0.25">
      <c r="A947">
        <v>127327</v>
      </c>
      <c r="B947">
        <v>3.9489999999999998</v>
      </c>
      <c r="C947">
        <v>3.9529999999999998</v>
      </c>
      <c r="D947">
        <v>3.8719999999999999</v>
      </c>
      <c r="E947">
        <v>3.8050000000000002</v>
      </c>
      <c r="F947">
        <v>4.0570000000000004</v>
      </c>
      <c r="G947">
        <v>3.9510000000000001</v>
      </c>
      <c r="H947">
        <v>3.8620000000000001</v>
      </c>
      <c r="I947">
        <v>3.8570000000000002</v>
      </c>
      <c r="J947">
        <v>31.306000000000001</v>
      </c>
      <c r="K947">
        <v>21.2</v>
      </c>
      <c r="L947">
        <v>3.0000000000000001E-3</v>
      </c>
    </row>
    <row r="948" spans="1:12" x14ac:dyDescent="0.25">
      <c r="A948">
        <v>132329</v>
      </c>
      <c r="B948">
        <v>3.9489999999999998</v>
      </c>
      <c r="C948">
        <v>3.9620000000000002</v>
      </c>
      <c r="D948">
        <v>3.863</v>
      </c>
      <c r="E948">
        <v>3.8050000000000002</v>
      </c>
      <c r="F948">
        <v>4.0659999999999998</v>
      </c>
      <c r="G948">
        <v>3.923</v>
      </c>
      <c r="H948">
        <v>3.8620000000000001</v>
      </c>
      <c r="I948">
        <v>3.8570000000000002</v>
      </c>
      <c r="J948">
        <v>31.286999999999999</v>
      </c>
      <c r="K948">
        <v>21.2</v>
      </c>
      <c r="L948">
        <v>1.4999999999999999E-2</v>
      </c>
    </row>
    <row r="949" spans="1:12" x14ac:dyDescent="0.25">
      <c r="A949">
        <v>137334</v>
      </c>
      <c r="B949">
        <v>3.9489999999999998</v>
      </c>
      <c r="C949">
        <v>3.9529999999999998</v>
      </c>
      <c r="D949">
        <v>3.8719999999999999</v>
      </c>
      <c r="E949">
        <v>3.8050000000000002</v>
      </c>
      <c r="F949">
        <v>4.0659999999999998</v>
      </c>
      <c r="G949">
        <v>3.923</v>
      </c>
      <c r="H949">
        <v>3.8620000000000001</v>
      </c>
      <c r="I949">
        <v>3.8570000000000002</v>
      </c>
      <c r="J949">
        <v>31.286999999999999</v>
      </c>
      <c r="K949">
        <v>21.2</v>
      </c>
      <c r="L949">
        <v>8.9999999999999993E-3</v>
      </c>
    </row>
    <row r="950" spans="1:12" x14ac:dyDescent="0.25">
      <c r="A950">
        <v>142376</v>
      </c>
      <c r="B950">
        <v>3.9489999999999998</v>
      </c>
      <c r="C950">
        <v>3.9620000000000002</v>
      </c>
      <c r="D950">
        <v>3.863</v>
      </c>
      <c r="E950">
        <v>3.8050000000000002</v>
      </c>
      <c r="F950">
        <v>4.0389999999999997</v>
      </c>
      <c r="G950">
        <v>3.9510000000000001</v>
      </c>
      <c r="H950">
        <v>3.8620000000000001</v>
      </c>
      <c r="I950">
        <v>3.8570000000000002</v>
      </c>
      <c r="J950">
        <v>31.288</v>
      </c>
      <c r="K950">
        <v>21.2</v>
      </c>
      <c r="L950">
        <v>2E-3</v>
      </c>
    </row>
    <row r="951" spans="1:12" x14ac:dyDescent="0.25">
      <c r="A951">
        <v>147387</v>
      </c>
      <c r="B951">
        <v>3.9489999999999998</v>
      </c>
      <c r="C951">
        <v>3.9529999999999998</v>
      </c>
      <c r="D951">
        <v>3.8719999999999999</v>
      </c>
      <c r="E951">
        <v>3.8050000000000002</v>
      </c>
      <c r="F951">
        <v>4.0839999999999996</v>
      </c>
      <c r="G951">
        <v>3.923</v>
      </c>
      <c r="H951">
        <v>3.8620000000000001</v>
      </c>
      <c r="I951">
        <v>3.8570000000000002</v>
      </c>
      <c r="J951">
        <v>31.305</v>
      </c>
      <c r="K951">
        <v>21.2</v>
      </c>
      <c r="L951">
        <v>0.01</v>
      </c>
    </row>
    <row r="952" spans="1:12" x14ac:dyDescent="0.25">
      <c r="A952">
        <v>152394</v>
      </c>
      <c r="B952">
        <v>3.9489999999999998</v>
      </c>
      <c r="C952">
        <v>3.9620000000000002</v>
      </c>
      <c r="D952">
        <v>3.863</v>
      </c>
      <c r="E952">
        <v>3.8050000000000002</v>
      </c>
      <c r="F952">
        <v>4.0659999999999998</v>
      </c>
      <c r="G952">
        <v>3.923</v>
      </c>
      <c r="H952">
        <v>3.8620000000000001</v>
      </c>
      <c r="I952">
        <v>3.8570000000000002</v>
      </c>
      <c r="J952">
        <v>31.286999999999999</v>
      </c>
      <c r="K952">
        <v>21.2</v>
      </c>
      <c r="L952">
        <v>1.9E-2</v>
      </c>
    </row>
    <row r="953" spans="1:12" x14ac:dyDescent="0.25">
      <c r="A953">
        <v>157394</v>
      </c>
      <c r="B953">
        <v>3.9489999999999998</v>
      </c>
      <c r="C953">
        <v>3.9620000000000002</v>
      </c>
      <c r="D953">
        <v>3.863</v>
      </c>
      <c r="E953">
        <v>3.8050000000000002</v>
      </c>
      <c r="F953">
        <v>4.0659999999999998</v>
      </c>
      <c r="G953">
        <v>3.923</v>
      </c>
      <c r="H953">
        <v>3.8620000000000001</v>
      </c>
      <c r="I953">
        <v>3.8570000000000002</v>
      </c>
      <c r="J953">
        <v>31.286999999999999</v>
      </c>
      <c r="K953">
        <v>21.2</v>
      </c>
      <c r="L953">
        <v>2.1999999999999999E-2</v>
      </c>
    </row>
    <row r="954" spans="1:12" x14ac:dyDescent="0.25">
      <c r="A954">
        <v>162398</v>
      </c>
      <c r="B954">
        <v>3.9489999999999998</v>
      </c>
      <c r="C954">
        <v>3.9620000000000002</v>
      </c>
      <c r="D954">
        <v>3.863</v>
      </c>
      <c r="E954">
        <v>3.8050000000000002</v>
      </c>
      <c r="F954">
        <v>4.0659999999999998</v>
      </c>
      <c r="G954">
        <v>3.923</v>
      </c>
      <c r="H954">
        <v>3.8620000000000001</v>
      </c>
      <c r="I954">
        <v>3.8570000000000002</v>
      </c>
      <c r="J954">
        <v>31.286999999999999</v>
      </c>
      <c r="K954">
        <v>21.2</v>
      </c>
      <c r="L954">
        <v>3.2000000000000001E-2</v>
      </c>
    </row>
    <row r="955" spans="1:12" x14ac:dyDescent="0.25">
      <c r="A955">
        <v>167403</v>
      </c>
      <c r="B955">
        <v>3.9489999999999998</v>
      </c>
      <c r="C955">
        <v>3.9620000000000002</v>
      </c>
      <c r="D955">
        <v>3.863</v>
      </c>
      <c r="E955">
        <v>3.8050000000000002</v>
      </c>
      <c r="F955">
        <v>4.0659999999999998</v>
      </c>
      <c r="G955">
        <v>3.923</v>
      </c>
      <c r="H955">
        <v>3.8620000000000001</v>
      </c>
      <c r="I955">
        <v>3.8570000000000002</v>
      </c>
      <c r="J955">
        <v>31.286999999999999</v>
      </c>
      <c r="K955">
        <v>21.2</v>
      </c>
      <c r="L955">
        <v>1.6E-2</v>
      </c>
    </row>
    <row r="956" spans="1:12" x14ac:dyDescent="0.25">
      <c r="A956">
        <v>172445</v>
      </c>
      <c r="B956">
        <v>3.9489999999999998</v>
      </c>
      <c r="C956">
        <v>3.9620000000000002</v>
      </c>
      <c r="D956">
        <v>3.863</v>
      </c>
      <c r="E956">
        <v>3.8050000000000002</v>
      </c>
      <c r="F956">
        <v>4.0659999999999998</v>
      </c>
      <c r="G956">
        <v>3.923</v>
      </c>
      <c r="H956">
        <v>3.8620000000000001</v>
      </c>
      <c r="I956">
        <v>3.8570000000000002</v>
      </c>
      <c r="J956">
        <v>31.286999999999999</v>
      </c>
      <c r="K956">
        <v>21.2</v>
      </c>
      <c r="L956">
        <v>2.8000000000000001E-2</v>
      </c>
    </row>
    <row r="957" spans="1:12" x14ac:dyDescent="0.25">
      <c r="A957">
        <v>177456</v>
      </c>
      <c r="B957">
        <v>3.9489999999999998</v>
      </c>
      <c r="C957">
        <v>3.9620000000000002</v>
      </c>
      <c r="D957">
        <v>3.863</v>
      </c>
      <c r="E957">
        <v>3.8050000000000002</v>
      </c>
      <c r="F957">
        <v>4.0659999999999998</v>
      </c>
      <c r="G957">
        <v>3.923</v>
      </c>
      <c r="H957">
        <v>3.8620000000000001</v>
      </c>
      <c r="I957">
        <v>3.8570000000000002</v>
      </c>
      <c r="J957">
        <v>31.286999999999999</v>
      </c>
      <c r="K957">
        <v>21.2</v>
      </c>
      <c r="L957">
        <v>1.6E-2</v>
      </c>
    </row>
    <row r="958" spans="1:12" x14ac:dyDescent="0.25">
      <c r="A958">
        <v>182463</v>
      </c>
      <c r="B958">
        <v>3.9489999999999998</v>
      </c>
      <c r="C958">
        <v>3.9620000000000002</v>
      </c>
      <c r="D958">
        <v>3.863</v>
      </c>
      <c r="E958">
        <v>3.8050000000000002</v>
      </c>
      <c r="F958">
        <v>4.0659999999999998</v>
      </c>
      <c r="G958">
        <v>3.923</v>
      </c>
      <c r="H958">
        <v>3.8620000000000001</v>
      </c>
      <c r="I958">
        <v>3.8570000000000002</v>
      </c>
      <c r="J958">
        <v>31.286999999999999</v>
      </c>
      <c r="K958">
        <v>21.1</v>
      </c>
      <c r="L958">
        <v>3.3000000000000002E-2</v>
      </c>
    </row>
    <row r="959" spans="1:12" x14ac:dyDescent="0.25">
      <c r="A959">
        <v>187463</v>
      </c>
      <c r="B959">
        <v>3.9489999999999998</v>
      </c>
      <c r="C959">
        <v>3.9620000000000002</v>
      </c>
      <c r="D959">
        <v>3.863</v>
      </c>
      <c r="E959">
        <v>3.8050000000000002</v>
      </c>
      <c r="F959">
        <v>4.0659999999999998</v>
      </c>
      <c r="G959">
        <v>3.923</v>
      </c>
      <c r="H959">
        <v>3.8620000000000001</v>
      </c>
      <c r="I959">
        <v>3.8570000000000002</v>
      </c>
      <c r="J959">
        <v>31.286999999999999</v>
      </c>
      <c r="K959">
        <v>21.1</v>
      </c>
      <c r="L959">
        <v>0.03</v>
      </c>
    </row>
    <row r="960" spans="1:12" x14ac:dyDescent="0.25">
      <c r="A960">
        <v>192465</v>
      </c>
      <c r="B960">
        <v>3.9489999999999998</v>
      </c>
      <c r="C960">
        <v>3.9620000000000002</v>
      </c>
      <c r="D960">
        <v>3.863</v>
      </c>
      <c r="E960">
        <v>3.8050000000000002</v>
      </c>
      <c r="F960">
        <v>4.0659999999999998</v>
      </c>
      <c r="G960">
        <v>3.923</v>
      </c>
      <c r="H960">
        <v>3.8620000000000001</v>
      </c>
      <c r="I960">
        <v>3.8570000000000002</v>
      </c>
      <c r="J960">
        <v>31.286999999999999</v>
      </c>
      <c r="K960">
        <v>21.2</v>
      </c>
      <c r="L960">
        <v>2.3E-2</v>
      </c>
    </row>
    <row r="961" spans="1:12" x14ac:dyDescent="0.25">
      <c r="A961">
        <v>197470</v>
      </c>
      <c r="B961">
        <v>3.9489999999999998</v>
      </c>
      <c r="C961">
        <v>3.9620000000000002</v>
      </c>
      <c r="D961">
        <v>3.863</v>
      </c>
      <c r="E961">
        <v>3.8050000000000002</v>
      </c>
      <c r="F961">
        <v>4.0659999999999998</v>
      </c>
      <c r="G961">
        <v>3.923</v>
      </c>
      <c r="H961">
        <v>3.8620000000000001</v>
      </c>
      <c r="I961">
        <v>3.8570000000000002</v>
      </c>
      <c r="J961">
        <v>31.286999999999999</v>
      </c>
      <c r="K961">
        <v>21.2</v>
      </c>
      <c r="L961">
        <v>2.1999999999999999E-2</v>
      </c>
    </row>
    <row r="962" spans="1:12" x14ac:dyDescent="0.25">
      <c r="A962">
        <v>202512</v>
      </c>
      <c r="B962">
        <v>3.9489999999999998</v>
      </c>
      <c r="C962">
        <v>3.9620000000000002</v>
      </c>
      <c r="D962">
        <v>3.863</v>
      </c>
      <c r="E962">
        <v>3.8050000000000002</v>
      </c>
      <c r="F962">
        <v>4.0659999999999998</v>
      </c>
      <c r="G962">
        <v>3.923</v>
      </c>
      <c r="H962">
        <v>3.8620000000000001</v>
      </c>
      <c r="I962">
        <v>3.8570000000000002</v>
      </c>
      <c r="J962">
        <v>31.286999999999999</v>
      </c>
      <c r="K962">
        <v>21.2</v>
      </c>
      <c r="L962">
        <v>2.8000000000000001E-2</v>
      </c>
    </row>
    <row r="963" spans="1:12" x14ac:dyDescent="0.25">
      <c r="A963">
        <v>207523</v>
      </c>
      <c r="B963">
        <v>3.9489999999999998</v>
      </c>
      <c r="C963">
        <v>3.9620000000000002</v>
      </c>
      <c r="D963">
        <v>3.863</v>
      </c>
      <c r="E963">
        <v>3.8050000000000002</v>
      </c>
      <c r="F963">
        <v>4.0659999999999998</v>
      </c>
      <c r="G963">
        <v>3.923</v>
      </c>
      <c r="H963">
        <v>3.8620000000000001</v>
      </c>
      <c r="I963">
        <v>3.8570000000000002</v>
      </c>
      <c r="J963">
        <v>31.286999999999999</v>
      </c>
      <c r="K963">
        <v>21.2</v>
      </c>
      <c r="L963">
        <v>2.1999999999999999E-2</v>
      </c>
    </row>
    <row r="964" spans="1:12" x14ac:dyDescent="0.25">
      <c r="A964">
        <v>212530</v>
      </c>
      <c r="B964">
        <v>3.9489999999999998</v>
      </c>
      <c r="C964">
        <v>3.9620000000000002</v>
      </c>
      <c r="D964">
        <v>3.863</v>
      </c>
      <c r="E964">
        <v>3.8050000000000002</v>
      </c>
      <c r="F964">
        <v>4.0659999999999998</v>
      </c>
      <c r="G964">
        <v>3.923</v>
      </c>
      <c r="H964">
        <v>3.8620000000000001</v>
      </c>
      <c r="I964">
        <v>3.8570000000000002</v>
      </c>
      <c r="J964">
        <v>31.286999999999999</v>
      </c>
      <c r="K964">
        <v>21.2</v>
      </c>
      <c r="L964">
        <v>2.5999999999999999E-2</v>
      </c>
    </row>
    <row r="965" spans="1:12" x14ac:dyDescent="0.25">
      <c r="A965">
        <v>217530</v>
      </c>
      <c r="B965">
        <v>3.9489999999999998</v>
      </c>
      <c r="C965">
        <v>3.9620000000000002</v>
      </c>
      <c r="D965">
        <v>3.863</v>
      </c>
      <c r="E965">
        <v>3.8050000000000002</v>
      </c>
      <c r="F965">
        <v>0</v>
      </c>
      <c r="G965">
        <v>1.365</v>
      </c>
      <c r="H965">
        <v>3.71</v>
      </c>
      <c r="I965">
        <v>3.6739999999999999</v>
      </c>
      <c r="J965">
        <v>24.327999999999999</v>
      </c>
      <c r="K965">
        <v>20.5</v>
      </c>
      <c r="L965">
        <v>4.1000000000000002E-2</v>
      </c>
    </row>
    <row r="966" spans="1:12" x14ac:dyDescent="0.25">
      <c r="A966">
        <v>222537</v>
      </c>
      <c r="B966">
        <v>0.34699999999999998</v>
      </c>
      <c r="C966">
        <v>-0.34699999999999998</v>
      </c>
      <c r="D966">
        <v>0</v>
      </c>
      <c r="E966">
        <v>0</v>
      </c>
      <c r="F966">
        <v>0</v>
      </c>
      <c r="G966">
        <v>1.365</v>
      </c>
      <c r="H966">
        <v>3.71</v>
      </c>
      <c r="I966">
        <v>3.6349999999999998</v>
      </c>
      <c r="J966">
        <v>8.7100000000000009</v>
      </c>
      <c r="K966">
        <v>-126.5</v>
      </c>
      <c r="L966">
        <v>0.04</v>
      </c>
    </row>
    <row r="967" spans="1:12" x14ac:dyDescent="0.25">
      <c r="A967">
        <v>227543</v>
      </c>
      <c r="B967">
        <v>0.54300000000000004</v>
      </c>
      <c r="C967">
        <v>-0.54300000000000004</v>
      </c>
      <c r="D967">
        <v>0</v>
      </c>
      <c r="E967">
        <v>0</v>
      </c>
      <c r="F967">
        <v>0</v>
      </c>
      <c r="G967">
        <v>1.365</v>
      </c>
      <c r="H967">
        <v>3.71</v>
      </c>
      <c r="I967">
        <v>3.6349999999999998</v>
      </c>
      <c r="J967">
        <v>8.7100000000000009</v>
      </c>
      <c r="K967">
        <v>-126.5</v>
      </c>
      <c r="L967">
        <v>4.1000000000000002E-2</v>
      </c>
    </row>
    <row r="968" spans="1:12" x14ac:dyDescent="0.25">
      <c r="A968">
        <v>235523</v>
      </c>
      <c r="B968">
        <v>3.9489999999999998</v>
      </c>
      <c r="C968">
        <v>3.9620000000000002</v>
      </c>
      <c r="D968">
        <v>3.863</v>
      </c>
      <c r="E968">
        <v>3.8050000000000002</v>
      </c>
      <c r="F968">
        <v>4.0659999999999998</v>
      </c>
      <c r="G968">
        <v>3.923</v>
      </c>
      <c r="H968">
        <v>3.8620000000000001</v>
      </c>
      <c r="I968">
        <v>3.8570000000000002</v>
      </c>
      <c r="J968">
        <v>31.286999999999999</v>
      </c>
      <c r="K968">
        <v>21.1</v>
      </c>
      <c r="L968">
        <v>1.7999999999999999E-2</v>
      </c>
    </row>
    <row r="969" spans="1:12" x14ac:dyDescent="0.25">
      <c r="A969">
        <v>7768</v>
      </c>
      <c r="B969">
        <v>0</v>
      </c>
      <c r="C969">
        <v>3.9620000000000002</v>
      </c>
      <c r="D969">
        <v>3.8769999999999998</v>
      </c>
      <c r="E969">
        <v>3.8090000000000002</v>
      </c>
      <c r="F969">
        <v>4.0659999999999998</v>
      </c>
      <c r="G969">
        <v>3.923</v>
      </c>
      <c r="H969">
        <v>3.8620000000000001</v>
      </c>
      <c r="I969">
        <v>3.8570000000000002</v>
      </c>
      <c r="J969">
        <v>27.356000000000002</v>
      </c>
      <c r="K969">
        <v>21.2</v>
      </c>
      <c r="L969">
        <v>-2E-3</v>
      </c>
    </row>
    <row r="970" spans="1:12" x14ac:dyDescent="0.25">
      <c r="A970">
        <v>14808</v>
      </c>
      <c r="B970">
        <v>3.9489999999999998</v>
      </c>
      <c r="C970">
        <v>3.9620000000000002</v>
      </c>
      <c r="D970">
        <v>3.863</v>
      </c>
      <c r="E970">
        <v>3.8050000000000002</v>
      </c>
      <c r="F970">
        <v>4.0659999999999998</v>
      </c>
      <c r="G970">
        <v>3.923</v>
      </c>
      <c r="H970">
        <v>3.8620000000000001</v>
      </c>
      <c r="I970">
        <v>3.8570000000000002</v>
      </c>
      <c r="J970">
        <v>31.286999999999999</v>
      </c>
      <c r="K970">
        <v>21.2</v>
      </c>
      <c r="L970">
        <v>-1.2E-2</v>
      </c>
    </row>
    <row r="971" spans="1:12" x14ac:dyDescent="0.25">
      <c r="A971">
        <v>19814</v>
      </c>
      <c r="B971">
        <v>3.9489999999999998</v>
      </c>
      <c r="C971">
        <v>3.9620000000000002</v>
      </c>
      <c r="D971">
        <v>3.863</v>
      </c>
      <c r="E971">
        <v>3.8050000000000002</v>
      </c>
      <c r="F971">
        <v>4.0659999999999998</v>
      </c>
      <c r="G971">
        <v>3.923</v>
      </c>
      <c r="H971">
        <v>3.8620000000000001</v>
      </c>
      <c r="I971">
        <v>3.8570000000000002</v>
      </c>
      <c r="J971">
        <v>31.286999999999999</v>
      </c>
      <c r="K971">
        <v>21.2</v>
      </c>
      <c r="L971">
        <v>-6.0000000000000001E-3</v>
      </c>
    </row>
    <row r="972" spans="1:12" x14ac:dyDescent="0.25">
      <c r="A972">
        <v>24819</v>
      </c>
      <c r="B972">
        <v>3.9489999999999998</v>
      </c>
      <c r="C972">
        <v>3.9620000000000002</v>
      </c>
      <c r="D972">
        <v>3.863</v>
      </c>
      <c r="E972">
        <v>3.8050000000000002</v>
      </c>
      <c r="F972">
        <v>4.0659999999999998</v>
      </c>
      <c r="G972">
        <v>3.923</v>
      </c>
      <c r="H972">
        <v>3.8620000000000001</v>
      </c>
      <c r="I972">
        <v>3.8570000000000002</v>
      </c>
      <c r="J972">
        <v>31.286999999999999</v>
      </c>
      <c r="K972">
        <v>21.2</v>
      </c>
      <c r="L972">
        <v>-1E-3</v>
      </c>
    </row>
    <row r="973" spans="1:12" x14ac:dyDescent="0.25">
      <c r="A973">
        <v>29825</v>
      </c>
      <c r="B973">
        <v>3.9489999999999998</v>
      </c>
      <c r="C973">
        <v>3.9620000000000002</v>
      </c>
      <c r="D973">
        <v>3.863</v>
      </c>
      <c r="E973">
        <v>3.8050000000000002</v>
      </c>
      <c r="F973">
        <v>4.0659999999999998</v>
      </c>
      <c r="G973">
        <v>3.923</v>
      </c>
      <c r="H973">
        <v>3.8620000000000001</v>
      </c>
      <c r="I973">
        <v>3.8570000000000002</v>
      </c>
      <c r="J973">
        <v>31.286999999999999</v>
      </c>
      <c r="K973">
        <v>21.2</v>
      </c>
      <c r="L973">
        <v>-1.9E-2</v>
      </c>
    </row>
    <row r="974" spans="1:12" x14ac:dyDescent="0.25">
      <c r="A974">
        <v>34826</v>
      </c>
      <c r="B974">
        <v>3.9489999999999998</v>
      </c>
      <c r="C974">
        <v>3.9620000000000002</v>
      </c>
      <c r="D974">
        <v>3.863</v>
      </c>
      <c r="E974">
        <v>3.8050000000000002</v>
      </c>
      <c r="F974">
        <v>4.0659999999999998</v>
      </c>
      <c r="G974">
        <v>3.923</v>
      </c>
      <c r="H974">
        <v>3.8620000000000001</v>
      </c>
      <c r="I974">
        <v>3.8570000000000002</v>
      </c>
      <c r="J974">
        <v>31.286999999999999</v>
      </c>
      <c r="K974">
        <v>21.2</v>
      </c>
      <c r="L974">
        <v>-7.0000000000000001E-3</v>
      </c>
    </row>
    <row r="975" spans="1:12" x14ac:dyDescent="0.25">
      <c r="A975">
        <v>39832</v>
      </c>
      <c r="B975">
        <v>3.9489999999999998</v>
      </c>
      <c r="C975">
        <v>3.9620000000000002</v>
      </c>
      <c r="D975">
        <v>3.863</v>
      </c>
      <c r="E975">
        <v>3.8050000000000002</v>
      </c>
      <c r="F975">
        <v>4.0659999999999998</v>
      </c>
      <c r="G975">
        <v>3.923</v>
      </c>
      <c r="H975">
        <v>3.8620000000000001</v>
      </c>
      <c r="I975">
        <v>3.8570000000000002</v>
      </c>
      <c r="J975">
        <v>31.286999999999999</v>
      </c>
      <c r="K975">
        <v>21.2</v>
      </c>
      <c r="L975">
        <v>-8.9999999999999993E-3</v>
      </c>
    </row>
    <row r="976" spans="1:12" x14ac:dyDescent="0.25">
      <c r="A976">
        <v>44837</v>
      </c>
      <c r="B976">
        <v>3.9489999999999998</v>
      </c>
      <c r="C976">
        <v>3.9620000000000002</v>
      </c>
      <c r="D976">
        <v>3.863</v>
      </c>
      <c r="E976">
        <v>3.8050000000000002</v>
      </c>
      <c r="F976">
        <v>4.0659999999999998</v>
      </c>
      <c r="G976">
        <v>3.923</v>
      </c>
      <c r="H976">
        <v>3.8620000000000001</v>
      </c>
      <c r="I976">
        <v>3.8570000000000002</v>
      </c>
      <c r="J976">
        <v>31.286999999999999</v>
      </c>
      <c r="K976">
        <v>21.2</v>
      </c>
      <c r="L976">
        <v>-1.2999999999999999E-2</v>
      </c>
    </row>
    <row r="977" spans="1:12" x14ac:dyDescent="0.25">
      <c r="A977">
        <v>7307</v>
      </c>
      <c r="B977">
        <v>0</v>
      </c>
      <c r="C977">
        <v>3.9620000000000002</v>
      </c>
      <c r="D977">
        <v>3.8769999999999998</v>
      </c>
      <c r="E977">
        <v>3.7909999999999999</v>
      </c>
      <c r="F977">
        <v>4.0659999999999998</v>
      </c>
      <c r="G977">
        <v>3.952</v>
      </c>
      <c r="H977">
        <v>3.8330000000000002</v>
      </c>
      <c r="I977">
        <v>3.895</v>
      </c>
      <c r="J977">
        <v>27.376000000000001</v>
      </c>
      <c r="K977">
        <v>21.2</v>
      </c>
      <c r="L977">
        <v>-1.7999999999999999E-2</v>
      </c>
    </row>
    <row r="978" spans="1:12" x14ac:dyDescent="0.25">
      <c r="A978">
        <v>14195</v>
      </c>
      <c r="B978">
        <v>3.9489999999999998</v>
      </c>
      <c r="C978">
        <v>3.9620000000000002</v>
      </c>
      <c r="D978">
        <v>3.863</v>
      </c>
      <c r="E978">
        <v>3.8050000000000002</v>
      </c>
      <c r="F978">
        <v>4.0659999999999998</v>
      </c>
      <c r="G978">
        <v>3.923</v>
      </c>
      <c r="H978">
        <v>3.8620000000000001</v>
      </c>
      <c r="I978">
        <v>3.8570000000000002</v>
      </c>
      <c r="J978">
        <v>31.286999999999999</v>
      </c>
      <c r="K978">
        <v>21.2</v>
      </c>
      <c r="L978">
        <v>-1.9E-2</v>
      </c>
    </row>
    <row r="979" spans="1:12" x14ac:dyDescent="0.25">
      <c r="A979">
        <v>19200</v>
      </c>
      <c r="B979">
        <v>3.9489999999999998</v>
      </c>
      <c r="C979">
        <v>3.9620000000000002</v>
      </c>
      <c r="D979">
        <v>3.8769999999999998</v>
      </c>
      <c r="E979">
        <v>3.8090000000000002</v>
      </c>
      <c r="F979">
        <v>4.0659999999999998</v>
      </c>
      <c r="G979">
        <v>3.923</v>
      </c>
      <c r="H979">
        <v>3.8620000000000001</v>
      </c>
      <c r="I979">
        <v>3.8570000000000002</v>
      </c>
      <c r="J979">
        <v>31.305</v>
      </c>
      <c r="K979">
        <v>21.1</v>
      </c>
      <c r="L979">
        <v>-1.0999999999999999E-2</v>
      </c>
    </row>
    <row r="980" spans="1:12" x14ac:dyDescent="0.25">
      <c r="A980">
        <v>24205</v>
      </c>
      <c r="B980">
        <v>3.9489999999999998</v>
      </c>
      <c r="C980">
        <v>3.9620000000000002</v>
      </c>
      <c r="D980">
        <v>3.863</v>
      </c>
      <c r="E980">
        <v>3.8050000000000002</v>
      </c>
      <c r="F980">
        <v>4.0659999999999998</v>
      </c>
      <c r="G980">
        <v>3.923</v>
      </c>
      <c r="H980">
        <v>3.8620000000000001</v>
      </c>
      <c r="I980">
        <v>3.8570000000000002</v>
      </c>
      <c r="J980">
        <v>31.286999999999999</v>
      </c>
      <c r="K980">
        <v>21.1</v>
      </c>
      <c r="L980">
        <v>-2.5999999999999999E-2</v>
      </c>
    </row>
    <row r="981" spans="1:12" x14ac:dyDescent="0.25">
      <c r="A981">
        <v>29208</v>
      </c>
      <c r="B981">
        <v>3.9489999999999998</v>
      </c>
      <c r="C981">
        <v>3.9620000000000002</v>
      </c>
      <c r="D981">
        <v>3.863</v>
      </c>
      <c r="E981">
        <v>3.8050000000000002</v>
      </c>
      <c r="F981">
        <v>4.0659999999999998</v>
      </c>
      <c r="G981">
        <v>3.923</v>
      </c>
      <c r="H981">
        <v>3.8620000000000001</v>
      </c>
      <c r="I981">
        <v>3.8570000000000002</v>
      </c>
      <c r="J981">
        <v>31.286999999999999</v>
      </c>
      <c r="K981">
        <v>21.1</v>
      </c>
      <c r="L981">
        <v>-5.0000000000000001E-3</v>
      </c>
    </row>
    <row r="982" spans="1:12" x14ac:dyDescent="0.25">
      <c r="A982">
        <v>34212</v>
      </c>
      <c r="B982">
        <v>3.9489999999999998</v>
      </c>
      <c r="C982">
        <v>3.9620000000000002</v>
      </c>
      <c r="D982">
        <v>3.863</v>
      </c>
      <c r="E982">
        <v>3.8050000000000002</v>
      </c>
      <c r="F982">
        <v>4.0659999999999998</v>
      </c>
      <c r="G982">
        <v>3.923</v>
      </c>
      <c r="H982">
        <v>3.8620000000000001</v>
      </c>
      <c r="I982">
        <v>3.8570000000000002</v>
      </c>
      <c r="J982">
        <v>31.286999999999999</v>
      </c>
      <c r="K982">
        <v>21.1</v>
      </c>
      <c r="L982">
        <v>1E-3</v>
      </c>
    </row>
    <row r="983" spans="1:12" x14ac:dyDescent="0.25">
      <c r="A983">
        <v>39219</v>
      </c>
      <c r="B983">
        <v>3.9489999999999998</v>
      </c>
      <c r="C983">
        <v>3.9620000000000002</v>
      </c>
      <c r="D983">
        <v>3.863</v>
      </c>
      <c r="E983">
        <v>3.8050000000000002</v>
      </c>
      <c r="F983">
        <v>4.0659999999999998</v>
      </c>
      <c r="G983">
        <v>3.923</v>
      </c>
      <c r="H983">
        <v>3.8620000000000001</v>
      </c>
      <c r="I983">
        <v>3.8570000000000002</v>
      </c>
      <c r="J983">
        <v>31.286999999999999</v>
      </c>
      <c r="K983">
        <v>21.2</v>
      </c>
      <c r="L983">
        <v>-3.0000000000000001E-3</v>
      </c>
    </row>
    <row r="984" spans="1:12" x14ac:dyDescent="0.25">
      <c r="A984">
        <v>44225</v>
      </c>
      <c r="B984">
        <v>3.9489999999999998</v>
      </c>
      <c r="C984">
        <v>3.9620000000000002</v>
      </c>
      <c r="D984">
        <v>3.863</v>
      </c>
      <c r="E984">
        <v>3.8050000000000002</v>
      </c>
      <c r="F984">
        <v>4.0659999999999998</v>
      </c>
      <c r="G984">
        <v>3.923</v>
      </c>
      <c r="H984">
        <v>3.8620000000000001</v>
      </c>
      <c r="I984">
        <v>3.8570000000000002</v>
      </c>
      <c r="J984">
        <v>31.286999999999999</v>
      </c>
      <c r="K984">
        <v>21.2</v>
      </c>
      <c r="L984">
        <v>-8.0000000000000002E-3</v>
      </c>
    </row>
    <row r="985" spans="1:12" x14ac:dyDescent="0.25">
      <c r="A985">
        <v>49226</v>
      </c>
      <c r="B985">
        <v>3.9489999999999998</v>
      </c>
      <c r="C985">
        <v>3.9620000000000002</v>
      </c>
      <c r="D985">
        <v>3.863</v>
      </c>
      <c r="E985">
        <v>3.8050000000000002</v>
      </c>
      <c r="F985">
        <v>4.0659999999999998</v>
      </c>
      <c r="G985">
        <v>3.923</v>
      </c>
      <c r="H985">
        <v>3.8620000000000001</v>
      </c>
      <c r="I985">
        <v>3.8570000000000002</v>
      </c>
      <c r="J985">
        <v>31.286999999999999</v>
      </c>
      <c r="K985">
        <v>21.2</v>
      </c>
      <c r="L985">
        <v>0</v>
      </c>
    </row>
    <row r="986" spans="1:12" x14ac:dyDescent="0.25">
      <c r="A986">
        <v>54237</v>
      </c>
      <c r="B986">
        <v>3.9489999999999998</v>
      </c>
      <c r="C986">
        <v>3.9620000000000002</v>
      </c>
      <c r="D986">
        <v>3.863</v>
      </c>
      <c r="E986">
        <v>3.8050000000000002</v>
      </c>
      <c r="F986">
        <v>4.0659999999999998</v>
      </c>
      <c r="G986">
        <v>3.923</v>
      </c>
      <c r="H986">
        <v>3.8620000000000001</v>
      </c>
      <c r="I986">
        <v>3.8570000000000002</v>
      </c>
      <c r="J986">
        <v>31.286999999999999</v>
      </c>
      <c r="K986">
        <v>21.2</v>
      </c>
      <c r="L986">
        <v>6.0000000000000001E-3</v>
      </c>
    </row>
    <row r="987" spans="1:12" x14ac:dyDescent="0.25">
      <c r="A987">
        <v>59239</v>
      </c>
      <c r="B987">
        <v>3.9489999999999998</v>
      </c>
      <c r="C987">
        <v>3.9620000000000002</v>
      </c>
      <c r="D987">
        <v>3.863</v>
      </c>
      <c r="E987">
        <v>3.8050000000000002</v>
      </c>
      <c r="F987">
        <v>4.0659999999999998</v>
      </c>
      <c r="G987">
        <v>3.923</v>
      </c>
      <c r="H987">
        <v>3.8620000000000001</v>
      </c>
      <c r="I987">
        <v>3.8570000000000002</v>
      </c>
      <c r="J987">
        <v>31.286999999999999</v>
      </c>
      <c r="K987">
        <v>21.2</v>
      </c>
      <c r="L987">
        <v>-5.0000000000000001E-3</v>
      </c>
    </row>
    <row r="988" spans="1:12" x14ac:dyDescent="0.25">
      <c r="A988">
        <v>64244</v>
      </c>
      <c r="B988">
        <v>3.9489999999999998</v>
      </c>
      <c r="C988">
        <v>3.9620000000000002</v>
      </c>
      <c r="D988">
        <v>3.863</v>
      </c>
      <c r="E988">
        <v>3.8050000000000002</v>
      </c>
      <c r="F988">
        <v>4.0659999999999998</v>
      </c>
      <c r="G988">
        <v>3.923</v>
      </c>
      <c r="H988">
        <v>3.8620000000000001</v>
      </c>
      <c r="I988">
        <v>3.8570000000000002</v>
      </c>
      <c r="J988">
        <v>31.286999999999999</v>
      </c>
      <c r="K988">
        <v>21.2</v>
      </c>
      <c r="L988">
        <v>-6.0000000000000001E-3</v>
      </c>
    </row>
    <row r="989" spans="1:12" x14ac:dyDescent="0.25">
      <c r="A989">
        <v>69252</v>
      </c>
      <c r="B989">
        <v>3.9489999999999998</v>
      </c>
      <c r="C989">
        <v>3.9620000000000002</v>
      </c>
      <c r="D989">
        <v>3.863</v>
      </c>
      <c r="E989">
        <v>3.8050000000000002</v>
      </c>
      <c r="F989">
        <v>4.0659999999999998</v>
      </c>
      <c r="G989">
        <v>3.923</v>
      </c>
      <c r="H989">
        <v>3.8620000000000001</v>
      </c>
      <c r="I989">
        <v>3.8570000000000002</v>
      </c>
      <c r="J989">
        <v>31.286999999999999</v>
      </c>
      <c r="K989">
        <v>21.2</v>
      </c>
      <c r="L989">
        <v>6.0000000000000001E-3</v>
      </c>
    </row>
    <row r="990" spans="1:12" x14ac:dyDescent="0.25">
      <c r="A990">
        <v>74252</v>
      </c>
      <c r="B990">
        <v>3.9489999999999998</v>
      </c>
      <c r="C990">
        <v>3.9620000000000002</v>
      </c>
      <c r="D990">
        <v>3.863</v>
      </c>
      <c r="E990">
        <v>3.8050000000000002</v>
      </c>
      <c r="F990">
        <v>4.0659999999999998</v>
      </c>
      <c r="G990">
        <v>3.923</v>
      </c>
      <c r="H990">
        <v>3.8620000000000001</v>
      </c>
      <c r="I990">
        <v>3.8570000000000002</v>
      </c>
      <c r="J990">
        <v>31.286999999999999</v>
      </c>
      <c r="K990">
        <v>21.2</v>
      </c>
      <c r="L990">
        <v>1.2E-2</v>
      </c>
    </row>
    <row r="991" spans="1:12" x14ac:dyDescent="0.25">
      <c r="A991">
        <v>79254</v>
      </c>
      <c r="B991">
        <v>3.9489999999999998</v>
      </c>
      <c r="C991">
        <v>3.9620000000000002</v>
      </c>
      <c r="D991">
        <v>3.863</v>
      </c>
      <c r="E991">
        <v>3.8050000000000002</v>
      </c>
      <c r="F991">
        <v>4.0659999999999998</v>
      </c>
      <c r="G991">
        <v>3.923</v>
      </c>
      <c r="H991">
        <v>3.8620000000000001</v>
      </c>
      <c r="I991">
        <v>3.8570000000000002</v>
      </c>
      <c r="J991">
        <v>31.286999999999999</v>
      </c>
      <c r="K991">
        <v>21.2</v>
      </c>
      <c r="L991">
        <v>-8.0000000000000002E-3</v>
      </c>
    </row>
    <row r="992" spans="1:12" x14ac:dyDescent="0.25">
      <c r="A992">
        <v>84259</v>
      </c>
      <c r="B992">
        <v>3.9489999999999998</v>
      </c>
      <c r="C992">
        <v>3.9620000000000002</v>
      </c>
      <c r="D992">
        <v>3.863</v>
      </c>
      <c r="E992">
        <v>3.8050000000000002</v>
      </c>
      <c r="F992">
        <v>4.0659999999999998</v>
      </c>
      <c r="G992">
        <v>3.923</v>
      </c>
      <c r="H992">
        <v>3.8620000000000001</v>
      </c>
      <c r="I992">
        <v>3.8570000000000002</v>
      </c>
      <c r="J992">
        <v>31.286999999999999</v>
      </c>
      <c r="K992">
        <v>21.2</v>
      </c>
      <c r="L992">
        <v>-1.6E-2</v>
      </c>
    </row>
    <row r="993" spans="1:12" x14ac:dyDescent="0.25">
      <c r="A993">
        <v>89262</v>
      </c>
      <c r="B993">
        <v>3.9489999999999998</v>
      </c>
      <c r="C993">
        <v>3.9620000000000002</v>
      </c>
      <c r="D993">
        <v>3.863</v>
      </c>
      <c r="E993">
        <v>3.8050000000000002</v>
      </c>
      <c r="F993">
        <v>4.0659999999999998</v>
      </c>
      <c r="G993">
        <v>3.923</v>
      </c>
      <c r="H993">
        <v>3.8620000000000001</v>
      </c>
      <c r="I993">
        <v>3.8570000000000002</v>
      </c>
      <c r="J993">
        <v>31.286999999999999</v>
      </c>
      <c r="K993">
        <v>21.2</v>
      </c>
      <c r="L993">
        <v>-8.9999999999999993E-3</v>
      </c>
    </row>
    <row r="994" spans="1:12" x14ac:dyDescent="0.25">
      <c r="A994">
        <v>94266</v>
      </c>
      <c r="B994">
        <v>3.9489999999999998</v>
      </c>
      <c r="C994">
        <v>3.9620000000000002</v>
      </c>
      <c r="D994">
        <v>3.863</v>
      </c>
      <c r="E994">
        <v>3.8050000000000002</v>
      </c>
      <c r="F994">
        <v>4.0659999999999998</v>
      </c>
      <c r="G994">
        <v>3.923</v>
      </c>
      <c r="H994">
        <v>3.8620000000000001</v>
      </c>
      <c r="I994">
        <v>3.8570000000000002</v>
      </c>
      <c r="J994">
        <v>31.286999999999999</v>
      </c>
      <c r="K994">
        <v>21.2</v>
      </c>
      <c r="L994">
        <v>3.0000000000000001E-3</v>
      </c>
    </row>
    <row r="995" spans="1:12" x14ac:dyDescent="0.25">
      <c r="A995">
        <v>99269</v>
      </c>
      <c r="B995">
        <v>3.9489999999999998</v>
      </c>
      <c r="C995">
        <v>3.9620000000000002</v>
      </c>
      <c r="D995">
        <v>3.863</v>
      </c>
      <c r="E995">
        <v>3.8050000000000002</v>
      </c>
      <c r="F995">
        <v>4.0659999999999998</v>
      </c>
      <c r="G995">
        <v>3.923</v>
      </c>
      <c r="H995">
        <v>3.8620000000000001</v>
      </c>
      <c r="I995">
        <v>3.8570000000000002</v>
      </c>
      <c r="J995">
        <v>31.286999999999999</v>
      </c>
      <c r="K995">
        <v>21.2</v>
      </c>
      <c r="L995">
        <v>2E-3</v>
      </c>
    </row>
    <row r="996" spans="1:12" x14ac:dyDescent="0.25">
      <c r="A996">
        <v>104269</v>
      </c>
      <c r="B996">
        <v>3.9489999999999998</v>
      </c>
      <c r="C996">
        <v>3.9620000000000002</v>
      </c>
      <c r="D996">
        <v>3.863</v>
      </c>
      <c r="E996">
        <v>3.8050000000000002</v>
      </c>
      <c r="F996">
        <v>4.0659999999999998</v>
      </c>
      <c r="G996">
        <v>3.923</v>
      </c>
      <c r="H996">
        <v>3.8620000000000001</v>
      </c>
      <c r="I996">
        <v>3.8570000000000002</v>
      </c>
      <c r="J996">
        <v>31.286999999999999</v>
      </c>
      <c r="K996">
        <v>21.2</v>
      </c>
      <c r="L996">
        <v>-1.7000000000000001E-2</v>
      </c>
    </row>
    <row r="997" spans="1:12" x14ac:dyDescent="0.25">
      <c r="A997">
        <v>109282</v>
      </c>
      <c r="B997">
        <v>3.9489999999999998</v>
      </c>
      <c r="C997">
        <v>3.9620000000000002</v>
      </c>
      <c r="D997">
        <v>3.863</v>
      </c>
      <c r="E997">
        <v>3.8050000000000002</v>
      </c>
      <c r="F997">
        <v>4.0659999999999998</v>
      </c>
      <c r="G997">
        <v>3.923</v>
      </c>
      <c r="H997">
        <v>3.8620000000000001</v>
      </c>
      <c r="I997">
        <v>3.895</v>
      </c>
      <c r="J997">
        <v>31.324999999999999</v>
      </c>
      <c r="K997">
        <v>21.2</v>
      </c>
      <c r="L997">
        <v>-3.0000000000000001E-3</v>
      </c>
    </row>
    <row r="998" spans="1:12" x14ac:dyDescent="0.25">
      <c r="A998">
        <v>114282</v>
      </c>
      <c r="B998">
        <v>3.9489999999999998</v>
      </c>
      <c r="C998">
        <v>3.9620000000000002</v>
      </c>
      <c r="D998">
        <v>3.863</v>
      </c>
      <c r="E998">
        <v>3.8050000000000002</v>
      </c>
      <c r="F998">
        <v>4.0659999999999998</v>
      </c>
      <c r="G998">
        <v>3.923</v>
      </c>
      <c r="H998">
        <v>3.8620000000000001</v>
      </c>
      <c r="I998">
        <v>3.8570000000000002</v>
      </c>
      <c r="J998">
        <v>31.286999999999999</v>
      </c>
      <c r="K998">
        <v>21.2</v>
      </c>
      <c r="L998">
        <v>-1.2E-2</v>
      </c>
    </row>
    <row r="999" spans="1:12" x14ac:dyDescent="0.25">
      <c r="A999">
        <v>119284</v>
      </c>
      <c r="B999">
        <v>3.9540000000000002</v>
      </c>
      <c r="C999">
        <v>3.9569999999999999</v>
      </c>
      <c r="D999">
        <v>3.8769999999999998</v>
      </c>
      <c r="E999">
        <v>3.8090000000000002</v>
      </c>
      <c r="F999">
        <v>4.0659999999999998</v>
      </c>
      <c r="G999">
        <v>3.923</v>
      </c>
      <c r="H999">
        <v>3.8620000000000001</v>
      </c>
      <c r="I999">
        <v>3.8570000000000002</v>
      </c>
      <c r="J999">
        <v>31.305</v>
      </c>
      <c r="K999">
        <v>21.2</v>
      </c>
      <c r="L999">
        <v>-1.2E-2</v>
      </c>
    </row>
    <row r="1000" spans="1:12" x14ac:dyDescent="0.25">
      <c r="A1000">
        <v>124289</v>
      </c>
      <c r="B1000">
        <v>3.9489999999999998</v>
      </c>
      <c r="C1000">
        <v>3.9620000000000002</v>
      </c>
      <c r="D1000">
        <v>3.863</v>
      </c>
      <c r="E1000">
        <v>3.8050000000000002</v>
      </c>
      <c r="F1000">
        <v>4.0659999999999998</v>
      </c>
      <c r="G1000">
        <v>3.923</v>
      </c>
      <c r="H1000">
        <v>3.8620000000000001</v>
      </c>
      <c r="I1000">
        <v>3.8570000000000002</v>
      </c>
      <c r="J1000">
        <v>31.286999999999999</v>
      </c>
      <c r="K1000">
        <v>21.2</v>
      </c>
      <c r="L1000">
        <v>-3.0000000000000001E-3</v>
      </c>
    </row>
    <row r="1001" spans="1:12" x14ac:dyDescent="0.25">
      <c r="A1001">
        <v>129298</v>
      </c>
      <c r="B1001">
        <v>3.9489999999999998</v>
      </c>
      <c r="C1001">
        <v>3.9620000000000002</v>
      </c>
      <c r="D1001">
        <v>3.863</v>
      </c>
      <c r="E1001">
        <v>3.8050000000000002</v>
      </c>
      <c r="F1001">
        <v>4.0659999999999998</v>
      </c>
      <c r="G1001">
        <v>3.923</v>
      </c>
      <c r="H1001">
        <v>3.8620000000000001</v>
      </c>
      <c r="I1001">
        <v>3.8570000000000002</v>
      </c>
      <c r="J1001">
        <v>31.286999999999999</v>
      </c>
      <c r="K1001">
        <v>21.2</v>
      </c>
      <c r="L1001">
        <v>-0.02</v>
      </c>
    </row>
    <row r="1002" spans="1:12" x14ac:dyDescent="0.25">
      <c r="A1002">
        <v>134298</v>
      </c>
      <c r="B1002">
        <v>3.9489999999999998</v>
      </c>
      <c r="C1002">
        <v>3.9620000000000002</v>
      </c>
      <c r="D1002">
        <v>3.863</v>
      </c>
      <c r="E1002">
        <v>3.8050000000000002</v>
      </c>
      <c r="F1002">
        <v>4.0659999999999998</v>
      </c>
      <c r="G1002">
        <v>3.923</v>
      </c>
      <c r="H1002">
        <v>3.8620000000000001</v>
      </c>
      <c r="I1002">
        <v>3.8570000000000002</v>
      </c>
      <c r="J1002">
        <v>31.286999999999999</v>
      </c>
      <c r="K1002">
        <v>21.2</v>
      </c>
      <c r="L1002">
        <v>-5.0000000000000001E-3</v>
      </c>
    </row>
    <row r="1003" spans="1:12" x14ac:dyDescent="0.25">
      <c r="A1003">
        <v>139305</v>
      </c>
      <c r="B1003">
        <v>3.9489999999999998</v>
      </c>
      <c r="C1003">
        <v>3.9620000000000002</v>
      </c>
      <c r="D1003">
        <v>3.863</v>
      </c>
      <c r="E1003">
        <v>3.8050000000000002</v>
      </c>
      <c r="F1003">
        <v>4.0659999999999998</v>
      </c>
      <c r="G1003">
        <v>3.923</v>
      </c>
      <c r="H1003">
        <v>3.8620000000000001</v>
      </c>
      <c r="I1003">
        <v>3.8570000000000002</v>
      </c>
      <c r="J1003">
        <v>31.286999999999999</v>
      </c>
      <c r="K1003">
        <v>21.2</v>
      </c>
      <c r="L1003">
        <v>0</v>
      </c>
    </row>
    <row r="1004" spans="1:12" x14ac:dyDescent="0.25">
      <c r="A1004">
        <v>144306</v>
      </c>
      <c r="B1004">
        <v>3.9540000000000002</v>
      </c>
      <c r="C1004">
        <v>3.9569999999999999</v>
      </c>
      <c r="D1004">
        <v>3.863</v>
      </c>
      <c r="E1004">
        <v>3.8050000000000002</v>
      </c>
      <c r="F1004">
        <v>4.0659999999999998</v>
      </c>
      <c r="G1004">
        <v>3.923</v>
      </c>
      <c r="H1004">
        <v>3.8620000000000001</v>
      </c>
      <c r="I1004">
        <v>3.8570000000000002</v>
      </c>
      <c r="J1004">
        <v>31.286999999999999</v>
      </c>
      <c r="K1004">
        <v>21.2</v>
      </c>
      <c r="L1004">
        <v>-2.4E-2</v>
      </c>
    </row>
    <row r="1005" spans="1:12" x14ac:dyDescent="0.25">
      <c r="A1005">
        <v>149308</v>
      </c>
      <c r="B1005">
        <v>3.9489999999999998</v>
      </c>
      <c r="C1005">
        <v>3.9620000000000002</v>
      </c>
      <c r="D1005">
        <v>3.863</v>
      </c>
      <c r="E1005">
        <v>3.8050000000000002</v>
      </c>
      <c r="F1005">
        <v>4.0659999999999998</v>
      </c>
      <c r="G1005">
        <v>3.923</v>
      </c>
      <c r="H1005">
        <v>3.8620000000000001</v>
      </c>
      <c r="I1005">
        <v>3.8570000000000002</v>
      </c>
      <c r="J1005">
        <v>31.286999999999999</v>
      </c>
      <c r="K1005">
        <v>21.2</v>
      </c>
      <c r="L1005">
        <v>-1.4999999999999999E-2</v>
      </c>
    </row>
    <row r="1006" spans="1:12" x14ac:dyDescent="0.25">
      <c r="A1006">
        <v>154314</v>
      </c>
      <c r="B1006">
        <v>3.9489999999999998</v>
      </c>
      <c r="C1006">
        <v>3.9620000000000002</v>
      </c>
      <c r="D1006">
        <v>3.863</v>
      </c>
      <c r="E1006">
        <v>3.8050000000000002</v>
      </c>
      <c r="F1006">
        <v>4.0659999999999998</v>
      </c>
      <c r="G1006">
        <v>3.923</v>
      </c>
      <c r="H1006">
        <v>3.8620000000000001</v>
      </c>
      <c r="I1006">
        <v>3.8570000000000002</v>
      </c>
      <c r="J1006">
        <v>31.286999999999999</v>
      </c>
      <c r="K1006">
        <v>21.2</v>
      </c>
      <c r="L1006">
        <v>-8.9999999999999993E-3</v>
      </c>
    </row>
    <row r="1007" spans="1:12" x14ac:dyDescent="0.25">
      <c r="A1007">
        <v>159316</v>
      </c>
      <c r="B1007">
        <v>3.9489999999999998</v>
      </c>
      <c r="C1007">
        <v>3.9620000000000002</v>
      </c>
      <c r="D1007">
        <v>3.863</v>
      </c>
      <c r="E1007">
        <v>3.8050000000000002</v>
      </c>
      <c r="F1007">
        <v>4.0659999999999998</v>
      </c>
      <c r="G1007">
        <v>3.952</v>
      </c>
      <c r="H1007">
        <v>3.8330000000000002</v>
      </c>
      <c r="I1007">
        <v>3.8570000000000002</v>
      </c>
      <c r="J1007">
        <v>31.286999999999999</v>
      </c>
      <c r="K1007">
        <v>21.2</v>
      </c>
      <c r="L1007">
        <v>5.1999999999999998E-2</v>
      </c>
    </row>
    <row r="1008" spans="1:12" x14ac:dyDescent="0.25">
      <c r="A1008">
        <v>164321</v>
      </c>
      <c r="B1008">
        <v>3.9489999999999998</v>
      </c>
      <c r="C1008">
        <v>3.9620000000000002</v>
      </c>
      <c r="D1008">
        <v>3.863</v>
      </c>
      <c r="E1008">
        <v>3.8050000000000002</v>
      </c>
      <c r="F1008">
        <v>4.0659999999999998</v>
      </c>
      <c r="G1008">
        <v>3.923</v>
      </c>
      <c r="H1008">
        <v>3.8620000000000001</v>
      </c>
      <c r="I1008">
        <v>3.8570000000000002</v>
      </c>
      <c r="J1008">
        <v>31.286999999999999</v>
      </c>
      <c r="K1008">
        <v>21.2</v>
      </c>
      <c r="L1008">
        <v>-3.7999999999999999E-2</v>
      </c>
    </row>
    <row r="1009" spans="1:12" x14ac:dyDescent="0.25">
      <c r="A1009">
        <v>171928</v>
      </c>
      <c r="B1009">
        <v>3.9489999999999998</v>
      </c>
      <c r="C1009">
        <v>3.9620000000000002</v>
      </c>
      <c r="D1009">
        <v>3.863</v>
      </c>
      <c r="E1009">
        <v>3.8050000000000002</v>
      </c>
      <c r="F1009">
        <v>4.0659999999999998</v>
      </c>
      <c r="G1009">
        <v>3.952</v>
      </c>
      <c r="H1009">
        <v>3.8330000000000002</v>
      </c>
      <c r="I1009">
        <v>3.8570000000000002</v>
      </c>
      <c r="J1009">
        <v>31.286999999999999</v>
      </c>
      <c r="K1009">
        <v>21.2</v>
      </c>
      <c r="L1009">
        <v>-1.4999999999999999E-2</v>
      </c>
    </row>
    <row r="1010" spans="1:12" x14ac:dyDescent="0.25">
      <c r="A1010">
        <v>179326</v>
      </c>
      <c r="B1010">
        <v>3.9489999999999998</v>
      </c>
      <c r="C1010">
        <v>3.9620000000000002</v>
      </c>
      <c r="D1010">
        <v>3.863</v>
      </c>
      <c r="E1010">
        <v>3.8050000000000002</v>
      </c>
      <c r="F1010">
        <v>4.0659999999999998</v>
      </c>
      <c r="G1010">
        <v>3.923</v>
      </c>
      <c r="H1010">
        <v>3.8620000000000001</v>
      </c>
      <c r="I1010">
        <v>3.8570000000000002</v>
      </c>
      <c r="J1010">
        <v>31.286999999999999</v>
      </c>
      <c r="K1010">
        <v>21.2</v>
      </c>
      <c r="L1010">
        <v>-1.7000000000000001E-2</v>
      </c>
    </row>
    <row r="1011" spans="1:12" x14ac:dyDescent="0.25">
      <c r="A1011">
        <v>184335</v>
      </c>
      <c r="B1011">
        <v>3.9489999999999998</v>
      </c>
      <c r="C1011">
        <v>3.9620000000000002</v>
      </c>
      <c r="D1011">
        <v>3.863</v>
      </c>
      <c r="E1011">
        <v>3.8050000000000002</v>
      </c>
      <c r="F1011">
        <v>4.0659999999999998</v>
      </c>
      <c r="G1011">
        <v>3.952</v>
      </c>
      <c r="H1011">
        <v>3.8330000000000002</v>
      </c>
      <c r="I1011">
        <v>3.8570000000000002</v>
      </c>
      <c r="J1011">
        <v>31.286999999999999</v>
      </c>
      <c r="K1011">
        <v>21.2</v>
      </c>
      <c r="L1011">
        <v>-1.7999999999999999E-2</v>
      </c>
    </row>
    <row r="1012" spans="1:12" x14ac:dyDescent="0.25">
      <c r="A1012">
        <v>189335</v>
      </c>
      <c r="B1012">
        <v>3.9489999999999998</v>
      </c>
      <c r="C1012">
        <v>3.9620000000000002</v>
      </c>
      <c r="D1012">
        <v>3.863</v>
      </c>
      <c r="E1012">
        <v>3.8050000000000002</v>
      </c>
      <c r="F1012">
        <v>4.0659999999999998</v>
      </c>
      <c r="G1012">
        <v>3.952</v>
      </c>
      <c r="H1012">
        <v>3.8330000000000002</v>
      </c>
      <c r="I1012">
        <v>3.895</v>
      </c>
      <c r="J1012">
        <v>31.324999999999999</v>
      </c>
      <c r="K1012">
        <v>21.2</v>
      </c>
      <c r="L1012">
        <v>-1.2E-2</v>
      </c>
    </row>
    <row r="1013" spans="1:12" x14ac:dyDescent="0.25">
      <c r="A1013">
        <v>194342</v>
      </c>
      <c r="B1013">
        <v>3.9489999999999998</v>
      </c>
      <c r="C1013">
        <v>3.9620000000000002</v>
      </c>
      <c r="D1013">
        <v>3.863</v>
      </c>
      <c r="E1013">
        <v>3.8050000000000002</v>
      </c>
      <c r="F1013">
        <v>4.0659999999999998</v>
      </c>
      <c r="G1013">
        <v>3.952</v>
      </c>
      <c r="H1013">
        <v>3.8330000000000002</v>
      </c>
      <c r="I1013">
        <v>3.895</v>
      </c>
      <c r="J1013">
        <v>31.324999999999999</v>
      </c>
      <c r="K1013">
        <v>21.2</v>
      </c>
      <c r="L1013">
        <v>-8.9999999999999993E-3</v>
      </c>
    </row>
    <row r="1014" spans="1:12" x14ac:dyDescent="0.25">
      <c r="A1014">
        <v>199342</v>
      </c>
      <c r="B1014">
        <v>3.9489999999999998</v>
      </c>
      <c r="C1014">
        <v>3.9620000000000002</v>
      </c>
      <c r="D1014">
        <v>3.863</v>
      </c>
      <c r="E1014">
        <v>3.8050000000000002</v>
      </c>
      <c r="F1014">
        <v>4.0659999999999998</v>
      </c>
      <c r="G1014">
        <v>3.923</v>
      </c>
      <c r="H1014">
        <v>3.8620000000000001</v>
      </c>
      <c r="I1014">
        <v>3.8570000000000002</v>
      </c>
      <c r="J1014">
        <v>31.286999999999999</v>
      </c>
      <c r="K1014">
        <v>21.2</v>
      </c>
      <c r="L1014">
        <v>-1.9E-2</v>
      </c>
    </row>
    <row r="1015" spans="1:12" x14ac:dyDescent="0.25">
      <c r="A1015">
        <v>204349</v>
      </c>
      <c r="B1015">
        <v>3.9489999999999998</v>
      </c>
      <c r="C1015">
        <v>3.9620000000000002</v>
      </c>
      <c r="D1015">
        <v>3.863</v>
      </c>
      <c r="E1015">
        <v>3.8050000000000002</v>
      </c>
      <c r="F1015">
        <v>4.0659999999999998</v>
      </c>
      <c r="G1015">
        <v>3.952</v>
      </c>
      <c r="H1015">
        <v>3.8330000000000002</v>
      </c>
      <c r="I1015">
        <v>3.8570000000000002</v>
      </c>
      <c r="J1015">
        <v>31.286999999999999</v>
      </c>
      <c r="K1015">
        <v>21.2</v>
      </c>
      <c r="L1015">
        <v>-2.5999999999999999E-2</v>
      </c>
    </row>
    <row r="1016" spans="1:12" x14ac:dyDescent="0.25">
      <c r="A1016">
        <v>209355</v>
      </c>
      <c r="B1016">
        <v>3.9489999999999998</v>
      </c>
      <c r="C1016">
        <v>3.9620000000000002</v>
      </c>
      <c r="D1016">
        <v>3.863</v>
      </c>
      <c r="E1016">
        <v>3.8050000000000002</v>
      </c>
      <c r="F1016">
        <v>4.0659999999999998</v>
      </c>
      <c r="G1016">
        <v>3.952</v>
      </c>
      <c r="H1016">
        <v>3.8330000000000002</v>
      </c>
      <c r="I1016">
        <v>3.8570000000000002</v>
      </c>
      <c r="J1016">
        <v>31.286999999999999</v>
      </c>
      <c r="K1016">
        <v>21.2</v>
      </c>
      <c r="L1016">
        <v>-0.01</v>
      </c>
    </row>
    <row r="1017" spans="1:12" x14ac:dyDescent="0.25">
      <c r="A1017">
        <v>214357</v>
      </c>
      <c r="B1017">
        <v>3.9489999999999998</v>
      </c>
      <c r="C1017">
        <v>3.9620000000000002</v>
      </c>
      <c r="D1017">
        <v>3.863</v>
      </c>
      <c r="E1017">
        <v>3.8050000000000002</v>
      </c>
      <c r="F1017">
        <v>4.0659999999999998</v>
      </c>
      <c r="G1017">
        <v>3.923</v>
      </c>
      <c r="H1017">
        <v>3.8620000000000001</v>
      </c>
      <c r="I1017">
        <v>3.895</v>
      </c>
      <c r="J1017">
        <v>31.324999999999999</v>
      </c>
      <c r="K1017">
        <v>21.2</v>
      </c>
      <c r="L1017">
        <v>-0.04</v>
      </c>
    </row>
    <row r="1018" spans="1:12" x14ac:dyDescent="0.25">
      <c r="A1018">
        <v>219367</v>
      </c>
      <c r="B1018">
        <v>3.9489999999999998</v>
      </c>
      <c r="C1018">
        <v>3.9620000000000002</v>
      </c>
      <c r="D1018">
        <v>3.863</v>
      </c>
      <c r="E1018">
        <v>3.8050000000000002</v>
      </c>
      <c r="F1018">
        <v>4.0659999999999998</v>
      </c>
      <c r="G1018">
        <v>3.923</v>
      </c>
      <c r="H1018">
        <v>3.8620000000000001</v>
      </c>
      <c r="I1018">
        <v>3.8570000000000002</v>
      </c>
      <c r="J1018">
        <v>31.286999999999999</v>
      </c>
      <c r="K1018">
        <v>21.2</v>
      </c>
      <c r="L1018">
        <v>-3.0000000000000001E-3</v>
      </c>
    </row>
    <row r="1019" spans="1:12" x14ac:dyDescent="0.25">
      <c r="A1019">
        <v>224369</v>
      </c>
      <c r="B1019">
        <v>3.9489999999999998</v>
      </c>
      <c r="C1019">
        <v>3.9620000000000002</v>
      </c>
      <c r="D1019">
        <v>3.863</v>
      </c>
      <c r="E1019">
        <v>3.8050000000000002</v>
      </c>
      <c r="F1019">
        <v>4.0659999999999998</v>
      </c>
      <c r="G1019">
        <v>3.952</v>
      </c>
      <c r="H1019">
        <v>3.8660000000000001</v>
      </c>
      <c r="I1019">
        <v>3.863</v>
      </c>
      <c r="J1019">
        <v>31.326000000000001</v>
      </c>
      <c r="K1019">
        <v>21.1</v>
      </c>
      <c r="L1019">
        <v>-8.0000000000000002E-3</v>
      </c>
    </row>
    <row r="1020" spans="1:12" x14ac:dyDescent="0.25">
      <c r="A1020">
        <v>7983</v>
      </c>
      <c r="B1020">
        <v>0</v>
      </c>
      <c r="C1020">
        <v>3.9529999999999998</v>
      </c>
      <c r="D1020">
        <v>3.8719999999999999</v>
      </c>
      <c r="E1020">
        <v>3.8050000000000002</v>
      </c>
      <c r="F1020">
        <v>4.0659999999999998</v>
      </c>
      <c r="G1020">
        <v>3.952</v>
      </c>
      <c r="H1020">
        <v>3.8330000000000002</v>
      </c>
      <c r="I1020">
        <v>3.895</v>
      </c>
      <c r="J1020">
        <v>27.376000000000001</v>
      </c>
      <c r="K1020">
        <v>21.1</v>
      </c>
      <c r="L1020">
        <v>7.0000000000000001E-3</v>
      </c>
    </row>
    <row r="1021" spans="1:12" x14ac:dyDescent="0.25">
      <c r="A1021">
        <v>12986</v>
      </c>
      <c r="B1021">
        <v>3.9489999999999998</v>
      </c>
      <c r="C1021">
        <v>3.9529999999999998</v>
      </c>
      <c r="D1021">
        <v>3.8719999999999999</v>
      </c>
      <c r="E1021">
        <v>3.8050000000000002</v>
      </c>
      <c r="F1021">
        <v>4.0839999999999996</v>
      </c>
      <c r="G1021">
        <v>3.923</v>
      </c>
      <c r="H1021">
        <v>3.8620000000000001</v>
      </c>
      <c r="I1021">
        <v>3.8570000000000002</v>
      </c>
      <c r="J1021">
        <v>31.305</v>
      </c>
      <c r="K1021">
        <v>21.1</v>
      </c>
      <c r="L1021">
        <v>-1.2E-2</v>
      </c>
    </row>
    <row r="1022" spans="1:12" x14ac:dyDescent="0.25">
      <c r="A1022">
        <v>17992</v>
      </c>
      <c r="B1022">
        <v>3.9489999999999998</v>
      </c>
      <c r="C1022">
        <v>3.9529999999999998</v>
      </c>
      <c r="D1022">
        <v>3.8719999999999999</v>
      </c>
      <c r="E1022">
        <v>3.8050000000000002</v>
      </c>
      <c r="F1022">
        <v>4.0389999999999997</v>
      </c>
      <c r="G1022">
        <v>3.9510000000000001</v>
      </c>
      <c r="H1022">
        <v>3.8620000000000001</v>
      </c>
      <c r="I1022">
        <v>3.8570000000000002</v>
      </c>
      <c r="J1022">
        <v>31.288</v>
      </c>
      <c r="K1022">
        <v>21.2</v>
      </c>
      <c r="L1022">
        <v>-1.4E-2</v>
      </c>
    </row>
    <row r="1023" spans="1:12" x14ac:dyDescent="0.25">
      <c r="A1023">
        <v>22992</v>
      </c>
      <c r="B1023">
        <v>3.9489999999999998</v>
      </c>
      <c r="C1023">
        <v>3.9529999999999998</v>
      </c>
      <c r="D1023">
        <v>3.8719999999999999</v>
      </c>
      <c r="E1023">
        <v>3.7869999999999999</v>
      </c>
      <c r="F1023">
        <v>4.0570000000000004</v>
      </c>
      <c r="G1023">
        <v>3.9510000000000001</v>
      </c>
      <c r="H1023">
        <v>3.8620000000000001</v>
      </c>
      <c r="I1023">
        <v>3.8570000000000002</v>
      </c>
      <c r="J1023">
        <v>31.288</v>
      </c>
      <c r="K1023">
        <v>21.1</v>
      </c>
      <c r="L1023">
        <v>-1.4E-2</v>
      </c>
    </row>
    <row r="1024" spans="1:12" x14ac:dyDescent="0.25">
      <c r="A1024">
        <v>27996</v>
      </c>
      <c r="B1024">
        <v>3.9489999999999998</v>
      </c>
      <c r="C1024">
        <v>3.9529999999999998</v>
      </c>
      <c r="D1024">
        <v>3.8719999999999999</v>
      </c>
      <c r="E1024">
        <v>3.8050000000000002</v>
      </c>
      <c r="F1024">
        <v>4.0570000000000004</v>
      </c>
      <c r="G1024">
        <v>3.9510000000000001</v>
      </c>
      <c r="H1024">
        <v>3.8620000000000001</v>
      </c>
      <c r="I1024">
        <v>3.8570000000000002</v>
      </c>
      <c r="J1024">
        <v>31.306000000000001</v>
      </c>
      <c r="K1024">
        <v>21.1</v>
      </c>
      <c r="L1024">
        <v>-1.4999999999999999E-2</v>
      </c>
    </row>
    <row r="1025" spans="1:12" x14ac:dyDescent="0.25">
      <c r="A1025">
        <v>33005</v>
      </c>
      <c r="B1025">
        <v>3.9489999999999998</v>
      </c>
      <c r="C1025">
        <v>3.9529999999999998</v>
      </c>
      <c r="D1025">
        <v>3.8719999999999999</v>
      </c>
      <c r="E1025">
        <v>3.8050000000000002</v>
      </c>
      <c r="F1025">
        <v>4.0570000000000004</v>
      </c>
      <c r="G1025">
        <v>3.9510000000000001</v>
      </c>
      <c r="H1025">
        <v>3.8620000000000001</v>
      </c>
      <c r="I1025">
        <v>3.8570000000000002</v>
      </c>
      <c r="J1025">
        <v>31.306000000000001</v>
      </c>
      <c r="K1025">
        <v>21.1</v>
      </c>
      <c r="L1025">
        <v>2E-3</v>
      </c>
    </row>
    <row r="1026" spans="1:12" x14ac:dyDescent="0.25">
      <c r="A1026">
        <v>38042</v>
      </c>
      <c r="B1026">
        <v>3.9489999999999998</v>
      </c>
      <c r="C1026">
        <v>3.9529999999999998</v>
      </c>
      <c r="D1026">
        <v>3.8719999999999999</v>
      </c>
      <c r="E1026">
        <v>3.7869999999999999</v>
      </c>
      <c r="F1026">
        <v>4.0570000000000004</v>
      </c>
      <c r="G1026">
        <v>3.9510000000000001</v>
      </c>
      <c r="H1026">
        <v>3.8620000000000001</v>
      </c>
      <c r="I1026">
        <v>3.8570000000000002</v>
      </c>
      <c r="J1026">
        <v>31.288</v>
      </c>
      <c r="K1026">
        <v>21.2</v>
      </c>
      <c r="L1026">
        <v>-1.6E-2</v>
      </c>
    </row>
    <row r="1027" spans="1:12" x14ac:dyDescent="0.25">
      <c r="A1027">
        <v>43053</v>
      </c>
      <c r="B1027">
        <v>3.9489999999999998</v>
      </c>
      <c r="C1027">
        <v>3.9529999999999998</v>
      </c>
      <c r="D1027">
        <v>3.8719999999999999</v>
      </c>
      <c r="E1027">
        <v>3.7869999999999999</v>
      </c>
      <c r="F1027">
        <v>4.0570000000000004</v>
      </c>
      <c r="G1027">
        <v>3.9510000000000001</v>
      </c>
      <c r="H1027">
        <v>3.8620000000000001</v>
      </c>
      <c r="I1027">
        <v>3.8570000000000002</v>
      </c>
      <c r="J1027">
        <v>31.288</v>
      </c>
      <c r="K1027">
        <v>21.1</v>
      </c>
      <c r="L1027">
        <v>-3.3000000000000002E-2</v>
      </c>
    </row>
    <row r="1028" spans="1:12" x14ac:dyDescent="0.25">
      <c r="A1028">
        <v>48055</v>
      </c>
      <c r="B1028">
        <v>3.9489999999999998</v>
      </c>
      <c r="C1028">
        <v>3.9529999999999998</v>
      </c>
      <c r="D1028">
        <v>3.8719999999999999</v>
      </c>
      <c r="E1028">
        <v>3.8050000000000002</v>
      </c>
      <c r="F1028">
        <v>4.0570000000000004</v>
      </c>
      <c r="G1028">
        <v>3.9510000000000001</v>
      </c>
      <c r="H1028">
        <v>3.8620000000000001</v>
      </c>
      <c r="I1028">
        <v>3.8570000000000002</v>
      </c>
      <c r="J1028">
        <v>31.306000000000001</v>
      </c>
      <c r="K1028">
        <v>21.1</v>
      </c>
      <c r="L1028">
        <v>-2.5999999999999999E-2</v>
      </c>
    </row>
    <row r="1029" spans="1:12" x14ac:dyDescent="0.25">
      <c r="A1029">
        <v>53061</v>
      </c>
      <c r="B1029">
        <v>3.9489999999999998</v>
      </c>
      <c r="C1029">
        <v>3.9529999999999998</v>
      </c>
      <c r="D1029">
        <v>3.8719999999999999</v>
      </c>
      <c r="E1029">
        <v>3.8050000000000002</v>
      </c>
      <c r="F1029">
        <v>4.0659999999999998</v>
      </c>
      <c r="G1029">
        <v>3.923</v>
      </c>
      <c r="H1029">
        <v>3.8620000000000001</v>
      </c>
      <c r="I1029">
        <v>3.8570000000000002</v>
      </c>
      <c r="J1029">
        <v>31.286999999999999</v>
      </c>
      <c r="K1029">
        <v>21.1</v>
      </c>
      <c r="L1029">
        <v>-3.3000000000000002E-2</v>
      </c>
    </row>
    <row r="1030" spans="1:12" x14ac:dyDescent="0.25">
      <c r="A1030">
        <v>58067</v>
      </c>
      <c r="B1030">
        <v>3.9489999999999998</v>
      </c>
      <c r="C1030">
        <v>3.9529999999999998</v>
      </c>
      <c r="D1030">
        <v>3.8719999999999999</v>
      </c>
      <c r="E1030">
        <v>3.8050000000000002</v>
      </c>
      <c r="F1030">
        <v>4.0570000000000004</v>
      </c>
      <c r="G1030">
        <v>3.9510000000000001</v>
      </c>
      <c r="H1030">
        <v>3.8620000000000001</v>
      </c>
      <c r="I1030">
        <v>3.8570000000000002</v>
      </c>
      <c r="J1030">
        <v>31.306000000000001</v>
      </c>
      <c r="K1030">
        <v>21.1</v>
      </c>
      <c r="L1030">
        <v>-3.1E-2</v>
      </c>
    </row>
    <row r="1031" spans="1:12" x14ac:dyDescent="0.25">
      <c r="A1031">
        <v>63071</v>
      </c>
      <c r="B1031">
        <v>3.9489999999999998</v>
      </c>
      <c r="C1031">
        <v>3.9529999999999998</v>
      </c>
      <c r="D1031">
        <v>3.8719999999999999</v>
      </c>
      <c r="E1031">
        <v>3.8050000000000002</v>
      </c>
      <c r="F1031">
        <v>4.0659999999999998</v>
      </c>
      <c r="G1031">
        <v>3.923</v>
      </c>
      <c r="H1031">
        <v>3.8620000000000001</v>
      </c>
      <c r="I1031">
        <v>3.8570000000000002</v>
      </c>
      <c r="J1031">
        <v>31.286999999999999</v>
      </c>
      <c r="K1031">
        <v>21.2</v>
      </c>
      <c r="L1031">
        <v>-4.8000000000000001E-2</v>
      </c>
    </row>
    <row r="1032" spans="1:12" x14ac:dyDescent="0.25">
      <c r="A1032">
        <v>68071</v>
      </c>
      <c r="B1032">
        <v>3.9489999999999998</v>
      </c>
      <c r="C1032">
        <v>3.9529999999999998</v>
      </c>
      <c r="D1032">
        <v>3.8719999999999999</v>
      </c>
      <c r="E1032">
        <v>3.8050000000000002</v>
      </c>
      <c r="F1032">
        <v>4.0570000000000004</v>
      </c>
      <c r="G1032">
        <v>3.9510000000000001</v>
      </c>
      <c r="H1032">
        <v>3.8620000000000001</v>
      </c>
      <c r="I1032">
        <v>3.8570000000000002</v>
      </c>
      <c r="J1032">
        <v>31.306000000000001</v>
      </c>
      <c r="K1032">
        <v>21.2</v>
      </c>
      <c r="L1032">
        <v>-4.2000000000000003E-2</v>
      </c>
    </row>
    <row r="1033" spans="1:12" x14ac:dyDescent="0.25">
      <c r="A1033">
        <v>73078</v>
      </c>
      <c r="B1033">
        <v>3.9489999999999998</v>
      </c>
      <c r="C1033">
        <v>3.9529999999999998</v>
      </c>
      <c r="D1033">
        <v>3.8719999999999999</v>
      </c>
      <c r="E1033">
        <v>3.8050000000000002</v>
      </c>
      <c r="F1033">
        <v>4.0659999999999998</v>
      </c>
      <c r="G1033">
        <v>3.923</v>
      </c>
      <c r="H1033">
        <v>3.8620000000000001</v>
      </c>
      <c r="I1033">
        <v>3.8570000000000002</v>
      </c>
      <c r="J1033">
        <v>31.286999999999999</v>
      </c>
      <c r="K1033">
        <v>21.1</v>
      </c>
      <c r="L1033">
        <v>-4.8000000000000001E-2</v>
      </c>
    </row>
    <row r="1034" spans="1:12" x14ac:dyDescent="0.25">
      <c r="A1034">
        <v>78084</v>
      </c>
      <c r="B1034">
        <v>3.9489999999999998</v>
      </c>
      <c r="C1034">
        <v>3.9529999999999998</v>
      </c>
      <c r="D1034">
        <v>3.8719999999999999</v>
      </c>
      <c r="E1034">
        <v>3.8050000000000002</v>
      </c>
      <c r="F1034">
        <v>4.0659999999999998</v>
      </c>
      <c r="G1034">
        <v>3.923</v>
      </c>
      <c r="H1034">
        <v>3.8620000000000001</v>
      </c>
      <c r="I1034">
        <v>3.8570000000000002</v>
      </c>
      <c r="J1034">
        <v>31.286999999999999</v>
      </c>
      <c r="K1034">
        <v>21.2</v>
      </c>
      <c r="L1034">
        <v>-4.3999999999999997E-2</v>
      </c>
    </row>
    <row r="1035" spans="1:12" x14ac:dyDescent="0.25">
      <c r="A1035">
        <v>83084</v>
      </c>
      <c r="B1035">
        <v>3.9489999999999998</v>
      </c>
      <c r="C1035">
        <v>3.9529999999999998</v>
      </c>
      <c r="D1035">
        <v>3.8719999999999999</v>
      </c>
      <c r="E1035">
        <v>3.8050000000000002</v>
      </c>
      <c r="F1035">
        <v>4.0659999999999998</v>
      </c>
      <c r="G1035">
        <v>3.923</v>
      </c>
      <c r="H1035">
        <v>3.8620000000000001</v>
      </c>
      <c r="I1035">
        <v>3.8570000000000002</v>
      </c>
      <c r="J1035">
        <v>31.286999999999999</v>
      </c>
      <c r="K1035">
        <v>21.1</v>
      </c>
      <c r="L1035">
        <v>-6.8000000000000005E-2</v>
      </c>
    </row>
    <row r="1036" spans="1:12" x14ac:dyDescent="0.25">
      <c r="A1036">
        <v>88111</v>
      </c>
      <c r="B1036">
        <v>3.9489999999999998</v>
      </c>
      <c r="C1036">
        <v>3.9620000000000002</v>
      </c>
      <c r="D1036">
        <v>3.863</v>
      </c>
      <c r="E1036">
        <v>3.8050000000000002</v>
      </c>
      <c r="F1036">
        <v>4.0659999999999998</v>
      </c>
      <c r="G1036">
        <v>3.923</v>
      </c>
      <c r="H1036">
        <v>3.8620000000000001</v>
      </c>
      <c r="I1036">
        <v>3.8570000000000002</v>
      </c>
      <c r="J1036">
        <v>31.286999999999999</v>
      </c>
      <c r="K1036">
        <v>21.1</v>
      </c>
      <c r="L1036">
        <v>-6.0999999999999999E-2</v>
      </c>
    </row>
    <row r="1037" spans="1:12" x14ac:dyDescent="0.25">
      <c r="A1037">
        <v>93115</v>
      </c>
      <c r="B1037">
        <v>3.9489999999999998</v>
      </c>
      <c r="C1037">
        <v>3.9529999999999998</v>
      </c>
      <c r="D1037">
        <v>3.8719999999999999</v>
      </c>
      <c r="E1037">
        <v>3.8050000000000002</v>
      </c>
      <c r="F1037">
        <v>4.0659999999999998</v>
      </c>
      <c r="G1037">
        <v>3.923</v>
      </c>
      <c r="H1037">
        <v>3.8620000000000001</v>
      </c>
      <c r="I1037">
        <v>3.8570000000000002</v>
      </c>
      <c r="J1037">
        <v>31.286999999999999</v>
      </c>
      <c r="K1037">
        <v>21.1</v>
      </c>
      <c r="L1037">
        <v>-0.06</v>
      </c>
    </row>
    <row r="1038" spans="1:12" x14ac:dyDescent="0.25">
      <c r="A1038">
        <v>98117</v>
      </c>
      <c r="B1038">
        <v>3.9489999999999998</v>
      </c>
      <c r="C1038">
        <v>3.9529999999999998</v>
      </c>
      <c r="D1038">
        <v>3.8719999999999999</v>
      </c>
      <c r="E1038">
        <v>3.8050000000000002</v>
      </c>
      <c r="F1038">
        <v>4.0659999999999998</v>
      </c>
      <c r="G1038">
        <v>3.923</v>
      </c>
      <c r="H1038">
        <v>3.8620000000000001</v>
      </c>
      <c r="I1038">
        <v>3.8570000000000002</v>
      </c>
      <c r="J1038">
        <v>31.286999999999999</v>
      </c>
      <c r="K1038">
        <v>21.1</v>
      </c>
      <c r="L1038">
        <v>-6.8000000000000005E-2</v>
      </c>
    </row>
    <row r="1039" spans="1:12" x14ac:dyDescent="0.25">
      <c r="A1039">
        <v>103118</v>
      </c>
      <c r="B1039">
        <v>3.9489999999999998</v>
      </c>
      <c r="C1039">
        <v>3.9529999999999998</v>
      </c>
      <c r="D1039">
        <v>3.8719999999999999</v>
      </c>
      <c r="E1039">
        <v>3.8050000000000002</v>
      </c>
      <c r="F1039">
        <v>4.0659999999999998</v>
      </c>
      <c r="G1039">
        <v>3.923</v>
      </c>
      <c r="H1039">
        <v>3.8620000000000001</v>
      </c>
      <c r="I1039">
        <v>3.8570000000000002</v>
      </c>
      <c r="J1039">
        <v>31.286999999999999</v>
      </c>
      <c r="K1039">
        <v>21.2</v>
      </c>
      <c r="L1039">
        <v>-5.5E-2</v>
      </c>
    </row>
    <row r="1040" spans="1:12" x14ac:dyDescent="0.25">
      <c r="A1040">
        <v>108132</v>
      </c>
      <c r="B1040">
        <v>3.9489999999999998</v>
      </c>
      <c r="C1040">
        <v>3.9529999999999998</v>
      </c>
      <c r="D1040">
        <v>3.8719999999999999</v>
      </c>
      <c r="E1040">
        <v>3.8050000000000002</v>
      </c>
      <c r="F1040">
        <v>4.0389999999999997</v>
      </c>
      <c r="G1040">
        <v>3.9510000000000001</v>
      </c>
      <c r="H1040">
        <v>3.8620000000000001</v>
      </c>
      <c r="I1040">
        <v>3.8570000000000002</v>
      </c>
      <c r="J1040">
        <v>31.288</v>
      </c>
      <c r="K1040">
        <v>21.1</v>
      </c>
      <c r="L1040">
        <v>-6.4000000000000001E-2</v>
      </c>
    </row>
    <row r="1041" spans="1:12" x14ac:dyDescent="0.25">
      <c r="A1041">
        <v>113138</v>
      </c>
      <c r="B1041">
        <v>3.9489999999999998</v>
      </c>
      <c r="C1041">
        <v>3.9620000000000002</v>
      </c>
      <c r="D1041">
        <v>3.863</v>
      </c>
      <c r="E1041">
        <v>3.8050000000000002</v>
      </c>
      <c r="F1041">
        <v>4.0389999999999997</v>
      </c>
      <c r="G1041">
        <v>3.9510000000000001</v>
      </c>
      <c r="H1041">
        <v>3.8620000000000001</v>
      </c>
      <c r="I1041">
        <v>3.8570000000000002</v>
      </c>
      <c r="J1041">
        <v>31.288</v>
      </c>
      <c r="K1041">
        <v>21.2</v>
      </c>
      <c r="L1041">
        <v>-7.4999999999999997E-2</v>
      </c>
    </row>
    <row r="1042" spans="1:12" x14ac:dyDescent="0.25">
      <c r="A1042">
        <v>118188</v>
      </c>
      <c r="B1042">
        <v>3.9489999999999998</v>
      </c>
      <c r="C1042">
        <v>3.9529999999999998</v>
      </c>
      <c r="D1042">
        <v>3.8719999999999999</v>
      </c>
      <c r="E1042">
        <v>3.8050000000000002</v>
      </c>
      <c r="F1042">
        <v>4.0389999999999997</v>
      </c>
      <c r="G1042">
        <v>3.9510000000000001</v>
      </c>
      <c r="H1042">
        <v>3.8620000000000001</v>
      </c>
      <c r="I1042">
        <v>3.8570000000000002</v>
      </c>
      <c r="J1042">
        <v>31.288</v>
      </c>
      <c r="K1042">
        <v>21.1</v>
      </c>
      <c r="L1042">
        <v>-7.0000000000000007E-2</v>
      </c>
    </row>
    <row r="1043" spans="1:12" x14ac:dyDescent="0.25">
      <c r="A1043">
        <v>123199</v>
      </c>
      <c r="B1043">
        <v>3.9489999999999998</v>
      </c>
      <c r="C1043">
        <v>3.9529999999999998</v>
      </c>
      <c r="D1043">
        <v>3.8719999999999999</v>
      </c>
      <c r="E1043">
        <v>3.8050000000000002</v>
      </c>
      <c r="F1043">
        <v>4.0659999999999998</v>
      </c>
      <c r="G1043">
        <v>3.923</v>
      </c>
      <c r="H1043">
        <v>3.8620000000000001</v>
      </c>
      <c r="I1043">
        <v>3.8570000000000002</v>
      </c>
      <c r="J1043">
        <v>31.286999999999999</v>
      </c>
      <c r="K1043">
        <v>21.1</v>
      </c>
      <c r="L1043">
        <v>-6.9000000000000006E-2</v>
      </c>
    </row>
    <row r="1044" spans="1:12" x14ac:dyDescent="0.25">
      <c r="A1044">
        <v>128201</v>
      </c>
      <c r="B1044">
        <v>3.9489999999999998</v>
      </c>
      <c r="C1044">
        <v>3.9529999999999998</v>
      </c>
      <c r="D1044">
        <v>3.8719999999999999</v>
      </c>
      <c r="E1044">
        <v>3.8050000000000002</v>
      </c>
      <c r="F1044">
        <v>4.0659999999999998</v>
      </c>
      <c r="G1044">
        <v>3.923</v>
      </c>
      <c r="H1044">
        <v>3.8620000000000001</v>
      </c>
      <c r="I1044">
        <v>3.8570000000000002</v>
      </c>
      <c r="J1044">
        <v>31.286999999999999</v>
      </c>
      <c r="K1044">
        <v>21.1</v>
      </c>
      <c r="L1044">
        <v>-6.2E-2</v>
      </c>
    </row>
    <row r="1045" spans="1:12" x14ac:dyDescent="0.25">
      <c r="A1045">
        <v>133206</v>
      </c>
      <c r="B1045">
        <v>3.9489999999999998</v>
      </c>
      <c r="C1045">
        <v>3.9529999999999998</v>
      </c>
      <c r="D1045">
        <v>3.8719999999999999</v>
      </c>
      <c r="E1045">
        <v>3.8050000000000002</v>
      </c>
      <c r="F1045">
        <v>4.0659999999999998</v>
      </c>
      <c r="G1045">
        <v>3.923</v>
      </c>
      <c r="H1045">
        <v>3.8620000000000001</v>
      </c>
      <c r="I1045">
        <v>3.8570000000000002</v>
      </c>
      <c r="J1045">
        <v>31.286999999999999</v>
      </c>
      <c r="K1045">
        <v>21.1</v>
      </c>
      <c r="L1045">
        <v>-5.3999999999999999E-2</v>
      </c>
    </row>
    <row r="1046" spans="1:12" x14ac:dyDescent="0.25">
      <c r="A1046">
        <v>138213</v>
      </c>
      <c r="B1046">
        <v>3.9489999999999998</v>
      </c>
      <c r="C1046">
        <v>3.9529999999999998</v>
      </c>
      <c r="D1046">
        <v>3.8719999999999999</v>
      </c>
      <c r="E1046">
        <v>3.8050000000000002</v>
      </c>
      <c r="F1046">
        <v>4.0389999999999997</v>
      </c>
      <c r="G1046">
        <v>3.9510000000000001</v>
      </c>
      <c r="H1046">
        <v>3.8620000000000001</v>
      </c>
      <c r="I1046">
        <v>3.8570000000000002</v>
      </c>
      <c r="J1046">
        <v>31.288</v>
      </c>
      <c r="K1046">
        <v>21.1</v>
      </c>
      <c r="L1046">
        <v>-5.3999999999999999E-2</v>
      </c>
    </row>
    <row r="1047" spans="1:12" x14ac:dyDescent="0.25">
      <c r="A1047">
        <v>143213</v>
      </c>
      <c r="B1047">
        <v>3.9489999999999998</v>
      </c>
      <c r="C1047">
        <v>3.9529999999999998</v>
      </c>
      <c r="D1047">
        <v>3.8719999999999999</v>
      </c>
      <c r="E1047">
        <v>3.8050000000000002</v>
      </c>
      <c r="F1047">
        <v>4.0659999999999998</v>
      </c>
      <c r="G1047">
        <v>3.923</v>
      </c>
      <c r="H1047">
        <v>3.8620000000000001</v>
      </c>
      <c r="I1047">
        <v>3.8570000000000002</v>
      </c>
      <c r="J1047">
        <v>31.286999999999999</v>
      </c>
      <c r="K1047">
        <v>21.1</v>
      </c>
      <c r="L1047">
        <v>-6.5000000000000002E-2</v>
      </c>
    </row>
    <row r="1048" spans="1:12" x14ac:dyDescent="0.25">
      <c r="A1048">
        <v>148213</v>
      </c>
      <c r="B1048">
        <v>3.9489999999999998</v>
      </c>
      <c r="C1048">
        <v>3.9529999999999998</v>
      </c>
      <c r="D1048">
        <v>3.8719999999999999</v>
      </c>
      <c r="E1048">
        <v>3.8050000000000002</v>
      </c>
      <c r="F1048">
        <v>4.0659999999999998</v>
      </c>
      <c r="G1048">
        <v>3.923</v>
      </c>
      <c r="H1048">
        <v>3.8620000000000001</v>
      </c>
      <c r="I1048">
        <v>3.8570000000000002</v>
      </c>
      <c r="J1048">
        <v>31.286999999999999</v>
      </c>
      <c r="K1048">
        <v>21.1</v>
      </c>
      <c r="L1048">
        <v>-5.8999999999999997E-2</v>
      </c>
    </row>
    <row r="1049" spans="1:12" x14ac:dyDescent="0.25">
      <c r="A1049">
        <v>153219</v>
      </c>
      <c r="B1049">
        <v>3.9489999999999998</v>
      </c>
      <c r="C1049">
        <v>3.9529999999999998</v>
      </c>
      <c r="D1049">
        <v>3.8719999999999999</v>
      </c>
      <c r="E1049">
        <v>3.8050000000000002</v>
      </c>
      <c r="F1049">
        <v>4.0659999999999998</v>
      </c>
      <c r="G1049">
        <v>3.923</v>
      </c>
      <c r="H1049">
        <v>3.8620000000000001</v>
      </c>
      <c r="I1049">
        <v>3.8570000000000002</v>
      </c>
      <c r="J1049">
        <v>31.286999999999999</v>
      </c>
      <c r="K1049">
        <v>21.1</v>
      </c>
      <c r="L1049">
        <v>-7.0000000000000007E-2</v>
      </c>
    </row>
    <row r="1050" spans="1:12" x14ac:dyDescent="0.25">
      <c r="A1050">
        <v>158222</v>
      </c>
      <c r="B1050">
        <v>3.9489999999999998</v>
      </c>
      <c r="C1050">
        <v>3.9620000000000002</v>
      </c>
      <c r="D1050">
        <v>3.863</v>
      </c>
      <c r="E1050">
        <v>3.8050000000000002</v>
      </c>
      <c r="F1050">
        <v>4.0659999999999998</v>
      </c>
      <c r="G1050">
        <v>3.923</v>
      </c>
      <c r="H1050">
        <v>3.8620000000000001</v>
      </c>
      <c r="I1050">
        <v>3.8570000000000002</v>
      </c>
      <c r="J1050">
        <v>31.286999999999999</v>
      </c>
      <c r="K1050">
        <v>21.1</v>
      </c>
      <c r="L1050">
        <v>-3.5999999999999997E-2</v>
      </c>
    </row>
    <row r="1051" spans="1:12" x14ac:dyDescent="0.25">
      <c r="A1051">
        <v>163223</v>
      </c>
      <c r="B1051">
        <v>3.9489999999999998</v>
      </c>
      <c r="C1051">
        <v>3.9620000000000002</v>
      </c>
      <c r="D1051">
        <v>3.863</v>
      </c>
      <c r="E1051">
        <v>3.8050000000000002</v>
      </c>
      <c r="F1051">
        <v>4.0389999999999997</v>
      </c>
      <c r="G1051">
        <v>3.9510000000000001</v>
      </c>
      <c r="H1051">
        <v>3.8620000000000001</v>
      </c>
      <c r="I1051">
        <v>3.8570000000000002</v>
      </c>
      <c r="J1051">
        <v>31.288</v>
      </c>
      <c r="K1051">
        <v>21.1</v>
      </c>
      <c r="L1051">
        <v>-8.5999999999999993E-2</v>
      </c>
    </row>
    <row r="1052" spans="1:12" x14ac:dyDescent="0.25">
      <c r="A1052">
        <v>168255</v>
      </c>
      <c r="B1052">
        <v>3.9489999999999998</v>
      </c>
      <c r="C1052">
        <v>3.9529999999999998</v>
      </c>
      <c r="D1052">
        <v>3.8719999999999999</v>
      </c>
      <c r="E1052">
        <v>3.8050000000000002</v>
      </c>
      <c r="F1052">
        <v>4.0659999999999998</v>
      </c>
      <c r="G1052">
        <v>3.923</v>
      </c>
      <c r="H1052">
        <v>3.8620000000000001</v>
      </c>
      <c r="I1052">
        <v>3.8570000000000002</v>
      </c>
      <c r="J1052">
        <v>31.286999999999999</v>
      </c>
      <c r="K1052">
        <v>21.1</v>
      </c>
      <c r="L1052">
        <v>-6.9000000000000006E-2</v>
      </c>
    </row>
    <row r="1053" spans="1:12" x14ac:dyDescent="0.25">
      <c r="A1053">
        <v>173266</v>
      </c>
      <c r="B1053">
        <v>3.9489999999999998</v>
      </c>
      <c r="C1053">
        <v>3.9529999999999998</v>
      </c>
      <c r="D1053">
        <v>3.8719999999999999</v>
      </c>
      <c r="E1053">
        <v>3.8050000000000002</v>
      </c>
      <c r="F1053">
        <v>4.0659999999999998</v>
      </c>
      <c r="G1053">
        <v>3.923</v>
      </c>
      <c r="H1053">
        <v>3.8620000000000001</v>
      </c>
      <c r="I1053">
        <v>3.8570000000000002</v>
      </c>
      <c r="J1053">
        <v>31.286999999999999</v>
      </c>
      <c r="K1053">
        <v>21.1</v>
      </c>
      <c r="L1053">
        <v>-7.6999999999999999E-2</v>
      </c>
    </row>
    <row r="1054" spans="1:12" x14ac:dyDescent="0.25">
      <c r="A1054">
        <v>178272</v>
      </c>
      <c r="B1054">
        <v>3.9489999999999998</v>
      </c>
      <c r="C1054">
        <v>3.9529999999999998</v>
      </c>
      <c r="D1054">
        <v>3.8719999999999999</v>
      </c>
      <c r="E1054">
        <v>3.7869999999999999</v>
      </c>
      <c r="F1054">
        <v>4.0659999999999998</v>
      </c>
      <c r="G1054">
        <v>3.923</v>
      </c>
      <c r="H1054">
        <v>3.8620000000000001</v>
      </c>
      <c r="I1054">
        <v>3.8570000000000002</v>
      </c>
      <c r="J1054">
        <v>31.268999999999998</v>
      </c>
      <c r="K1054">
        <v>21.1</v>
      </c>
      <c r="L1054">
        <v>-7.9000000000000001E-2</v>
      </c>
    </row>
    <row r="1055" spans="1:12" x14ac:dyDescent="0.25">
      <c r="A1055">
        <v>183272</v>
      </c>
      <c r="B1055">
        <v>3.9489999999999998</v>
      </c>
      <c r="C1055">
        <v>3.9529999999999998</v>
      </c>
      <c r="D1055">
        <v>3.8719999999999999</v>
      </c>
      <c r="E1055">
        <v>3.8050000000000002</v>
      </c>
      <c r="F1055">
        <v>4.0659999999999998</v>
      </c>
      <c r="G1055">
        <v>3.923</v>
      </c>
      <c r="H1055">
        <v>3.8620000000000001</v>
      </c>
      <c r="I1055">
        <v>3.8570000000000002</v>
      </c>
      <c r="J1055">
        <v>31.286999999999999</v>
      </c>
      <c r="K1055">
        <v>21.1</v>
      </c>
      <c r="L1055">
        <v>-8.3000000000000004E-2</v>
      </c>
    </row>
    <row r="1056" spans="1:12" x14ac:dyDescent="0.25">
      <c r="A1056">
        <v>188274</v>
      </c>
      <c r="B1056">
        <v>3.9489999999999998</v>
      </c>
      <c r="C1056">
        <v>3.9529999999999998</v>
      </c>
      <c r="D1056">
        <v>3.8719999999999999</v>
      </c>
      <c r="E1056">
        <v>3.8050000000000002</v>
      </c>
      <c r="F1056">
        <v>4.0389999999999997</v>
      </c>
      <c r="G1056">
        <v>3.9510000000000001</v>
      </c>
      <c r="H1056">
        <v>3.8620000000000001</v>
      </c>
      <c r="I1056">
        <v>3.8570000000000002</v>
      </c>
      <c r="J1056">
        <v>31.288</v>
      </c>
      <c r="K1056">
        <v>21.1</v>
      </c>
      <c r="L1056">
        <v>-6.7000000000000004E-2</v>
      </c>
    </row>
    <row r="1057" spans="1:12" x14ac:dyDescent="0.25">
      <c r="A1057">
        <v>193280</v>
      </c>
      <c r="B1057">
        <v>3.9489999999999998</v>
      </c>
      <c r="C1057">
        <v>3.9529999999999998</v>
      </c>
      <c r="D1057">
        <v>3.8719999999999999</v>
      </c>
      <c r="E1057">
        <v>3.8050000000000002</v>
      </c>
      <c r="F1057">
        <v>4.0389999999999997</v>
      </c>
      <c r="G1057">
        <v>3.9510000000000001</v>
      </c>
      <c r="H1057">
        <v>3.8620000000000001</v>
      </c>
      <c r="I1057">
        <v>3.8570000000000002</v>
      </c>
      <c r="J1057">
        <v>31.288</v>
      </c>
      <c r="K1057">
        <v>21.1</v>
      </c>
      <c r="L1057">
        <v>-8.2000000000000003E-2</v>
      </c>
    </row>
    <row r="1058" spans="1:12" x14ac:dyDescent="0.25">
      <c r="A1058">
        <v>198321</v>
      </c>
      <c r="B1058">
        <v>3.9489999999999998</v>
      </c>
      <c r="C1058">
        <v>3.9529999999999998</v>
      </c>
      <c r="D1058">
        <v>3.8719999999999999</v>
      </c>
      <c r="E1058">
        <v>3.8050000000000002</v>
      </c>
      <c r="F1058">
        <v>4.0389999999999997</v>
      </c>
      <c r="G1058">
        <v>3.9510000000000001</v>
      </c>
      <c r="H1058">
        <v>3.8620000000000001</v>
      </c>
      <c r="I1058">
        <v>3.8570000000000002</v>
      </c>
      <c r="J1058">
        <v>31.288</v>
      </c>
      <c r="K1058">
        <v>21.1</v>
      </c>
      <c r="L1058">
        <v>-7.4999999999999997E-2</v>
      </c>
    </row>
    <row r="1059" spans="1:12" x14ac:dyDescent="0.25">
      <c r="A1059">
        <v>203331</v>
      </c>
      <c r="B1059">
        <v>3.9489999999999998</v>
      </c>
      <c r="C1059">
        <v>3.9620000000000002</v>
      </c>
      <c r="D1059">
        <v>3.863</v>
      </c>
      <c r="E1059">
        <v>3.8050000000000002</v>
      </c>
      <c r="F1059">
        <v>4.0659999999999998</v>
      </c>
      <c r="G1059">
        <v>3.923</v>
      </c>
      <c r="H1059">
        <v>3.8620000000000001</v>
      </c>
      <c r="I1059">
        <v>3.8570000000000002</v>
      </c>
      <c r="J1059">
        <v>31.286999999999999</v>
      </c>
      <c r="K1059">
        <v>21.1</v>
      </c>
      <c r="L1059">
        <v>-9.4E-2</v>
      </c>
    </row>
    <row r="1060" spans="1:12" x14ac:dyDescent="0.25">
      <c r="A1060">
        <v>208338</v>
      </c>
      <c r="B1060">
        <v>3.9489999999999998</v>
      </c>
      <c r="C1060">
        <v>3.9529999999999998</v>
      </c>
      <c r="D1060">
        <v>3.8719999999999999</v>
      </c>
      <c r="E1060">
        <v>3.8050000000000002</v>
      </c>
      <c r="F1060">
        <v>4.0659999999999998</v>
      </c>
      <c r="G1060">
        <v>3.923</v>
      </c>
      <c r="H1060">
        <v>3.8620000000000001</v>
      </c>
      <c r="I1060">
        <v>3.8570000000000002</v>
      </c>
      <c r="J1060">
        <v>31.286999999999999</v>
      </c>
      <c r="K1060">
        <v>21.1</v>
      </c>
      <c r="L1060">
        <v>-7.6999999999999999E-2</v>
      </c>
    </row>
    <row r="1061" spans="1:12" x14ac:dyDescent="0.25">
      <c r="A1061">
        <v>213338</v>
      </c>
      <c r="B1061">
        <v>3.9489999999999998</v>
      </c>
      <c r="C1061">
        <v>3.9529999999999998</v>
      </c>
      <c r="D1061">
        <v>3.8719999999999999</v>
      </c>
      <c r="E1061">
        <v>3.8050000000000002</v>
      </c>
      <c r="F1061">
        <v>4.0659999999999998</v>
      </c>
      <c r="G1061">
        <v>3.923</v>
      </c>
      <c r="H1061">
        <v>3.8620000000000001</v>
      </c>
      <c r="I1061">
        <v>3.8570000000000002</v>
      </c>
      <c r="J1061">
        <v>31.286999999999999</v>
      </c>
      <c r="K1061">
        <v>21.1</v>
      </c>
      <c r="L1061">
        <v>-0.09</v>
      </c>
    </row>
    <row r="1062" spans="1:12" x14ac:dyDescent="0.25">
      <c r="A1062">
        <v>218342</v>
      </c>
      <c r="B1062">
        <v>3.9489999999999998</v>
      </c>
      <c r="C1062">
        <v>3.9529999999999998</v>
      </c>
      <c r="D1062">
        <v>3.8719999999999999</v>
      </c>
      <c r="E1062">
        <v>3.8050000000000002</v>
      </c>
      <c r="F1062">
        <v>4.0659999999999998</v>
      </c>
      <c r="G1062">
        <v>3.923</v>
      </c>
      <c r="H1062">
        <v>3.8620000000000001</v>
      </c>
      <c r="I1062">
        <v>3.8570000000000002</v>
      </c>
      <c r="J1062">
        <v>31.286999999999999</v>
      </c>
      <c r="K1062">
        <v>21.1</v>
      </c>
      <c r="L1062">
        <v>-9.2999999999999999E-2</v>
      </c>
    </row>
    <row r="1063" spans="1:12" x14ac:dyDescent="0.25">
      <c r="A1063">
        <v>223347</v>
      </c>
      <c r="B1063">
        <v>3.9489999999999998</v>
      </c>
      <c r="C1063">
        <v>3.9529999999999998</v>
      </c>
      <c r="D1063">
        <v>3.8719999999999999</v>
      </c>
      <c r="E1063">
        <v>3.8050000000000002</v>
      </c>
      <c r="F1063">
        <v>4.0389999999999997</v>
      </c>
      <c r="G1063">
        <v>3.9510000000000001</v>
      </c>
      <c r="H1063">
        <v>3.8620000000000001</v>
      </c>
      <c r="I1063">
        <v>3.8570000000000002</v>
      </c>
      <c r="J1063">
        <v>31.288</v>
      </c>
      <c r="K1063">
        <v>21.1</v>
      </c>
      <c r="L1063">
        <v>-8.5000000000000006E-2</v>
      </c>
    </row>
    <row r="1064" spans="1:12" x14ac:dyDescent="0.25">
      <c r="A1064">
        <v>228389</v>
      </c>
      <c r="B1064">
        <v>3.9489999999999998</v>
      </c>
      <c r="C1064">
        <v>3.9529999999999998</v>
      </c>
      <c r="D1064">
        <v>3.8719999999999999</v>
      </c>
      <c r="E1064">
        <v>3.8050000000000002</v>
      </c>
      <c r="F1064">
        <v>4.0659999999999998</v>
      </c>
      <c r="G1064">
        <v>3.923</v>
      </c>
      <c r="H1064">
        <v>3.8620000000000001</v>
      </c>
      <c r="I1064">
        <v>3.8570000000000002</v>
      </c>
      <c r="J1064">
        <v>31.286999999999999</v>
      </c>
      <c r="K1064">
        <v>21.1</v>
      </c>
      <c r="L1064">
        <v>-7.9000000000000001E-2</v>
      </c>
    </row>
    <row r="1065" spans="1:12" x14ac:dyDescent="0.25">
      <c r="A1065">
        <v>233399</v>
      </c>
      <c r="B1065">
        <v>3.9489999999999998</v>
      </c>
      <c r="C1065">
        <v>3.9529999999999998</v>
      </c>
      <c r="D1065">
        <v>3.8719999999999999</v>
      </c>
      <c r="E1065">
        <v>3.8050000000000002</v>
      </c>
      <c r="F1065">
        <v>4.0389999999999997</v>
      </c>
      <c r="G1065">
        <v>3.9510000000000001</v>
      </c>
      <c r="H1065">
        <v>3.8620000000000001</v>
      </c>
      <c r="I1065">
        <v>3.8570000000000002</v>
      </c>
      <c r="J1065">
        <v>31.288</v>
      </c>
      <c r="K1065">
        <v>21.1</v>
      </c>
      <c r="L1065">
        <v>-9.1999999999999998E-2</v>
      </c>
    </row>
    <row r="1066" spans="1:12" x14ac:dyDescent="0.25">
      <c r="A1066">
        <v>238401</v>
      </c>
      <c r="B1066">
        <v>3.9489999999999998</v>
      </c>
      <c r="C1066">
        <v>3.9529999999999998</v>
      </c>
      <c r="D1066">
        <v>3.8719999999999999</v>
      </c>
      <c r="E1066">
        <v>3.8050000000000002</v>
      </c>
      <c r="F1066">
        <v>4.0570000000000004</v>
      </c>
      <c r="G1066">
        <v>3.9510000000000001</v>
      </c>
      <c r="H1066">
        <v>3.8620000000000001</v>
      </c>
      <c r="I1066">
        <v>3.8570000000000002</v>
      </c>
      <c r="J1066">
        <v>31.306000000000001</v>
      </c>
      <c r="K1066">
        <v>21.1</v>
      </c>
      <c r="L1066">
        <v>-7.5999999999999998E-2</v>
      </c>
    </row>
    <row r="1067" spans="1:12" x14ac:dyDescent="0.25">
      <c r="A1067">
        <v>243407</v>
      </c>
      <c r="B1067">
        <v>3.9489999999999998</v>
      </c>
      <c r="C1067">
        <v>3.9529999999999998</v>
      </c>
      <c r="D1067">
        <v>3.8719999999999999</v>
      </c>
      <c r="E1067">
        <v>3.8050000000000002</v>
      </c>
      <c r="F1067">
        <v>4.0659999999999998</v>
      </c>
      <c r="G1067">
        <v>3.923</v>
      </c>
      <c r="H1067">
        <v>3.8620000000000001</v>
      </c>
      <c r="I1067">
        <v>3.8570000000000002</v>
      </c>
      <c r="J1067">
        <v>31.286999999999999</v>
      </c>
      <c r="K1067">
        <v>21.1</v>
      </c>
      <c r="L1067">
        <v>-8.7999999999999995E-2</v>
      </c>
    </row>
    <row r="1068" spans="1:12" x14ac:dyDescent="0.25">
      <c r="A1068">
        <v>248414</v>
      </c>
      <c r="B1068">
        <v>3.9489999999999998</v>
      </c>
      <c r="C1068">
        <v>3.9620000000000002</v>
      </c>
      <c r="D1068">
        <v>3.863</v>
      </c>
      <c r="E1068">
        <v>3.8050000000000002</v>
      </c>
      <c r="F1068">
        <v>4.0659999999999998</v>
      </c>
      <c r="G1068">
        <v>3.923</v>
      </c>
      <c r="H1068">
        <v>3.8620000000000001</v>
      </c>
      <c r="I1068">
        <v>3.8570000000000002</v>
      </c>
      <c r="J1068">
        <v>31.286999999999999</v>
      </c>
      <c r="K1068">
        <v>21.1</v>
      </c>
      <c r="L1068">
        <v>-0.09</v>
      </c>
    </row>
    <row r="1069" spans="1:12" x14ac:dyDescent="0.25">
      <c r="A1069">
        <v>253414</v>
      </c>
      <c r="B1069">
        <v>3.9489999999999998</v>
      </c>
      <c r="C1069">
        <v>3.9529999999999998</v>
      </c>
      <c r="D1069">
        <v>3.8719999999999999</v>
      </c>
      <c r="E1069">
        <v>3.8050000000000002</v>
      </c>
      <c r="F1069">
        <v>4.0659999999999998</v>
      </c>
      <c r="G1069">
        <v>3.923</v>
      </c>
      <c r="H1069">
        <v>3.8620000000000001</v>
      </c>
      <c r="I1069">
        <v>3.8570000000000002</v>
      </c>
      <c r="J1069">
        <v>31.286999999999999</v>
      </c>
      <c r="K1069">
        <v>21.1</v>
      </c>
      <c r="L1069">
        <v>-9.8000000000000004E-2</v>
      </c>
    </row>
    <row r="1070" spans="1:12" x14ac:dyDescent="0.25">
      <c r="A1070">
        <v>258460</v>
      </c>
      <c r="B1070">
        <v>3.9489999999999998</v>
      </c>
      <c r="C1070">
        <v>3.9529999999999998</v>
      </c>
      <c r="D1070">
        <v>3.8719999999999999</v>
      </c>
      <c r="E1070">
        <v>3.8050000000000002</v>
      </c>
      <c r="F1070">
        <v>4.0659999999999998</v>
      </c>
      <c r="G1070">
        <v>3.923</v>
      </c>
      <c r="H1070">
        <v>3.8620000000000001</v>
      </c>
      <c r="I1070">
        <v>3.8570000000000002</v>
      </c>
      <c r="J1070">
        <v>31.286999999999999</v>
      </c>
      <c r="K1070">
        <v>21.1</v>
      </c>
      <c r="L1070">
        <v>-9.4E-2</v>
      </c>
    </row>
    <row r="1071" spans="1:12" x14ac:dyDescent="0.25">
      <c r="A1071">
        <v>263471</v>
      </c>
      <c r="B1071">
        <v>3.9489999999999998</v>
      </c>
      <c r="C1071">
        <v>3.9529999999999998</v>
      </c>
      <c r="D1071">
        <v>3.8719999999999999</v>
      </c>
      <c r="E1071">
        <v>3.8050000000000002</v>
      </c>
      <c r="F1071">
        <v>4.0659999999999998</v>
      </c>
      <c r="G1071">
        <v>3.923</v>
      </c>
      <c r="H1071">
        <v>3.8620000000000001</v>
      </c>
      <c r="I1071">
        <v>3.8570000000000002</v>
      </c>
      <c r="J1071">
        <v>31.286999999999999</v>
      </c>
      <c r="K1071">
        <v>21.1</v>
      </c>
      <c r="L1071">
        <v>-0.104</v>
      </c>
    </row>
    <row r="1072" spans="1:12" x14ac:dyDescent="0.25">
      <c r="A1072">
        <v>268473</v>
      </c>
      <c r="B1072">
        <v>3.9489999999999998</v>
      </c>
      <c r="C1072">
        <v>3.9529999999999998</v>
      </c>
      <c r="D1072">
        <v>3.8719999999999999</v>
      </c>
      <c r="E1072">
        <v>3.8050000000000002</v>
      </c>
      <c r="F1072">
        <v>4.0659999999999998</v>
      </c>
      <c r="G1072">
        <v>3.923</v>
      </c>
      <c r="H1072">
        <v>3.8620000000000001</v>
      </c>
      <c r="I1072">
        <v>3.8570000000000002</v>
      </c>
      <c r="J1072">
        <v>31.286999999999999</v>
      </c>
      <c r="K1072">
        <v>21.1</v>
      </c>
      <c r="L1072">
        <v>-9.0999999999999998E-2</v>
      </c>
    </row>
    <row r="1073" spans="1:12" x14ac:dyDescent="0.25">
      <c r="A1073">
        <v>273479</v>
      </c>
      <c r="B1073">
        <v>3.9489999999999998</v>
      </c>
      <c r="C1073">
        <v>3.9529999999999998</v>
      </c>
      <c r="D1073">
        <v>3.8719999999999999</v>
      </c>
      <c r="E1073">
        <v>3.8050000000000002</v>
      </c>
      <c r="F1073">
        <v>4.0659999999999998</v>
      </c>
      <c r="G1073">
        <v>3.923</v>
      </c>
      <c r="H1073">
        <v>3.8620000000000001</v>
      </c>
      <c r="I1073">
        <v>3.8570000000000002</v>
      </c>
      <c r="J1073">
        <v>31.286999999999999</v>
      </c>
      <c r="K1073">
        <v>21.1</v>
      </c>
      <c r="L1073">
        <v>-0.106</v>
      </c>
    </row>
    <row r="1074" spans="1:12" x14ac:dyDescent="0.25">
      <c r="A1074">
        <v>278486</v>
      </c>
      <c r="B1074">
        <v>3.9489999999999998</v>
      </c>
      <c r="C1074">
        <v>3.9529999999999998</v>
      </c>
      <c r="D1074">
        <v>3.8719999999999999</v>
      </c>
      <c r="E1074">
        <v>3.8050000000000002</v>
      </c>
      <c r="F1074">
        <v>4.0570000000000004</v>
      </c>
      <c r="G1074">
        <v>3.9510000000000001</v>
      </c>
      <c r="H1074">
        <v>3.8620000000000001</v>
      </c>
      <c r="I1074">
        <v>3.8570000000000002</v>
      </c>
      <c r="J1074">
        <v>31.306000000000001</v>
      </c>
      <c r="K1074">
        <v>21.1</v>
      </c>
      <c r="L1074">
        <v>-7.9000000000000001E-2</v>
      </c>
    </row>
    <row r="1075" spans="1:12" x14ac:dyDescent="0.25">
      <c r="A1075">
        <v>283486</v>
      </c>
      <c r="B1075">
        <v>3.9489999999999998</v>
      </c>
      <c r="C1075">
        <v>3.9529999999999998</v>
      </c>
      <c r="D1075">
        <v>3.8719999999999999</v>
      </c>
      <c r="E1075">
        <v>3.8050000000000002</v>
      </c>
      <c r="F1075">
        <v>4.0570000000000004</v>
      </c>
      <c r="G1075">
        <v>3.9510000000000001</v>
      </c>
      <c r="H1075">
        <v>3.8620000000000001</v>
      </c>
      <c r="I1075">
        <v>3.8570000000000002</v>
      </c>
      <c r="J1075">
        <v>31.306000000000001</v>
      </c>
      <c r="K1075">
        <v>21.1</v>
      </c>
      <c r="L1075">
        <v>-9.0999999999999998E-2</v>
      </c>
    </row>
    <row r="1076" spans="1:12" x14ac:dyDescent="0.25">
      <c r="A1076">
        <v>288486</v>
      </c>
      <c r="B1076">
        <v>3.9489999999999998</v>
      </c>
      <c r="C1076">
        <v>3.9529999999999998</v>
      </c>
      <c r="D1076">
        <v>3.8719999999999999</v>
      </c>
      <c r="E1076">
        <v>3.8050000000000002</v>
      </c>
      <c r="F1076">
        <v>4.0389999999999997</v>
      </c>
      <c r="G1076">
        <v>3.9510000000000001</v>
      </c>
      <c r="H1076">
        <v>3.8620000000000001</v>
      </c>
      <c r="I1076">
        <v>3.8570000000000002</v>
      </c>
      <c r="J1076">
        <v>31.288</v>
      </c>
      <c r="K1076">
        <v>21.1</v>
      </c>
      <c r="L1076">
        <v>-0.09</v>
      </c>
    </row>
    <row r="1077" spans="1:12" x14ac:dyDescent="0.25">
      <c r="A1077">
        <v>293493</v>
      </c>
      <c r="B1077">
        <v>3.9489999999999998</v>
      </c>
      <c r="C1077">
        <v>3.9529999999999998</v>
      </c>
      <c r="D1077">
        <v>3.8719999999999999</v>
      </c>
      <c r="E1077">
        <v>3.8050000000000002</v>
      </c>
      <c r="F1077">
        <v>4.0389999999999997</v>
      </c>
      <c r="G1077">
        <v>3.9510000000000001</v>
      </c>
      <c r="H1077">
        <v>3.8620000000000001</v>
      </c>
      <c r="I1077">
        <v>3.8570000000000002</v>
      </c>
      <c r="J1077">
        <v>31.288</v>
      </c>
      <c r="K1077">
        <v>21.1</v>
      </c>
      <c r="L1077">
        <v>-8.5000000000000006E-2</v>
      </c>
    </row>
    <row r="1078" spans="1:12" x14ac:dyDescent="0.25">
      <c r="A1078">
        <v>298499</v>
      </c>
      <c r="B1078">
        <v>3.9489999999999998</v>
      </c>
      <c r="C1078">
        <v>3.9529999999999998</v>
      </c>
      <c r="D1078">
        <v>3.8719999999999999</v>
      </c>
      <c r="E1078">
        <v>3.8050000000000002</v>
      </c>
      <c r="F1078">
        <v>4.0389999999999997</v>
      </c>
      <c r="G1078">
        <v>3.9510000000000001</v>
      </c>
      <c r="H1078">
        <v>3.8620000000000001</v>
      </c>
      <c r="I1078">
        <v>3.8570000000000002</v>
      </c>
      <c r="J1078">
        <v>31.288</v>
      </c>
      <c r="K1078">
        <v>21.1</v>
      </c>
      <c r="L1078">
        <v>-7.2999999999999995E-2</v>
      </c>
    </row>
    <row r="1079" spans="1:12" x14ac:dyDescent="0.25">
      <c r="A1079">
        <v>303499</v>
      </c>
      <c r="B1079">
        <v>3.9489999999999998</v>
      </c>
      <c r="C1079">
        <v>3.9529999999999998</v>
      </c>
      <c r="D1079">
        <v>3.8719999999999999</v>
      </c>
      <c r="E1079">
        <v>3.8050000000000002</v>
      </c>
      <c r="F1079">
        <v>4.0570000000000004</v>
      </c>
      <c r="G1079">
        <v>3.9510000000000001</v>
      </c>
      <c r="H1079">
        <v>3.8620000000000001</v>
      </c>
      <c r="I1079">
        <v>3.8570000000000002</v>
      </c>
      <c r="J1079">
        <v>31.306000000000001</v>
      </c>
      <c r="K1079">
        <v>21.1</v>
      </c>
      <c r="L1079">
        <v>-0.08</v>
      </c>
    </row>
    <row r="1080" spans="1:12" x14ac:dyDescent="0.25">
      <c r="A1080">
        <v>308526</v>
      </c>
      <c r="B1080">
        <v>3.9489999999999998</v>
      </c>
      <c r="C1080">
        <v>3.9529999999999998</v>
      </c>
      <c r="D1080">
        <v>3.8719999999999999</v>
      </c>
      <c r="E1080">
        <v>3.8050000000000002</v>
      </c>
      <c r="F1080">
        <v>4.0570000000000004</v>
      </c>
      <c r="G1080">
        <v>3.9510000000000001</v>
      </c>
      <c r="H1080">
        <v>3.8620000000000001</v>
      </c>
      <c r="I1080">
        <v>3.8570000000000002</v>
      </c>
      <c r="J1080">
        <v>31.306000000000001</v>
      </c>
      <c r="K1080">
        <v>21.1</v>
      </c>
      <c r="L1080">
        <v>-8.8999999999999996E-2</v>
      </c>
    </row>
    <row r="1081" spans="1:12" x14ac:dyDescent="0.25">
      <c r="A1081">
        <v>313530</v>
      </c>
      <c r="B1081">
        <v>3.9489999999999998</v>
      </c>
      <c r="C1081">
        <v>3.9529999999999998</v>
      </c>
      <c r="D1081">
        <v>3.8719999999999999</v>
      </c>
      <c r="E1081">
        <v>3.8050000000000002</v>
      </c>
      <c r="F1081">
        <v>4.0570000000000004</v>
      </c>
      <c r="G1081">
        <v>3.9510000000000001</v>
      </c>
      <c r="H1081">
        <v>3.8620000000000001</v>
      </c>
      <c r="I1081">
        <v>3.8570000000000002</v>
      </c>
      <c r="J1081">
        <v>31.306000000000001</v>
      </c>
      <c r="K1081">
        <v>21.1</v>
      </c>
      <c r="L1081">
        <v>-0.10100000000000001</v>
      </c>
    </row>
    <row r="1082" spans="1:12" x14ac:dyDescent="0.25">
      <c r="A1082">
        <v>318536</v>
      </c>
      <c r="B1082">
        <v>3.9489999999999998</v>
      </c>
      <c r="C1082">
        <v>3.9529999999999998</v>
      </c>
      <c r="D1082">
        <v>3.8719999999999999</v>
      </c>
      <c r="E1082">
        <v>3.8050000000000002</v>
      </c>
      <c r="F1082">
        <v>4.0389999999999997</v>
      </c>
      <c r="G1082">
        <v>3.9510000000000001</v>
      </c>
      <c r="H1082">
        <v>3.8620000000000001</v>
      </c>
      <c r="I1082">
        <v>3.8570000000000002</v>
      </c>
      <c r="J1082">
        <v>31.288</v>
      </c>
      <c r="K1082">
        <v>21.1</v>
      </c>
      <c r="L1082">
        <v>-8.6999999999999994E-2</v>
      </c>
    </row>
    <row r="1083" spans="1:12" x14ac:dyDescent="0.25">
      <c r="A1083">
        <v>323543</v>
      </c>
      <c r="B1083">
        <v>3.9489999999999998</v>
      </c>
      <c r="C1083">
        <v>3.9529999999999998</v>
      </c>
      <c r="D1083">
        <v>3.8719999999999999</v>
      </c>
      <c r="E1083">
        <v>3.8050000000000002</v>
      </c>
      <c r="F1083">
        <v>4.0570000000000004</v>
      </c>
      <c r="G1083">
        <v>3.9510000000000001</v>
      </c>
      <c r="H1083">
        <v>3.8620000000000001</v>
      </c>
      <c r="I1083">
        <v>3.8570000000000002</v>
      </c>
      <c r="J1083">
        <v>31.306000000000001</v>
      </c>
      <c r="K1083">
        <v>21.1</v>
      </c>
      <c r="L1083">
        <v>-8.4000000000000005E-2</v>
      </c>
    </row>
    <row r="1084" spans="1:12" x14ac:dyDescent="0.25">
      <c r="A1084">
        <v>328549</v>
      </c>
      <c r="B1084">
        <v>3.9489999999999998</v>
      </c>
      <c r="C1084">
        <v>3.9529999999999998</v>
      </c>
      <c r="D1084">
        <v>3.8719999999999999</v>
      </c>
      <c r="E1084">
        <v>3.7869999999999999</v>
      </c>
      <c r="F1084">
        <v>4.0570000000000004</v>
      </c>
      <c r="G1084">
        <v>3.9510000000000001</v>
      </c>
      <c r="H1084">
        <v>3.8290000000000002</v>
      </c>
      <c r="I1084">
        <v>3.8889999999999998</v>
      </c>
      <c r="J1084">
        <v>31.286999999999999</v>
      </c>
      <c r="K1084">
        <v>21.1</v>
      </c>
      <c r="L1084">
        <v>-6.7000000000000004E-2</v>
      </c>
    </row>
    <row r="1085" spans="1:12" x14ac:dyDescent="0.25">
      <c r="A1085">
        <v>333549</v>
      </c>
      <c r="B1085">
        <v>3.9489999999999998</v>
      </c>
      <c r="C1085">
        <v>3.9529999999999998</v>
      </c>
      <c r="D1085">
        <v>3.8719999999999999</v>
      </c>
      <c r="E1085">
        <v>3.7869999999999999</v>
      </c>
      <c r="F1085">
        <v>4.0570000000000004</v>
      </c>
      <c r="G1085">
        <v>3.9510000000000001</v>
      </c>
      <c r="H1085">
        <v>3.8290000000000002</v>
      </c>
      <c r="I1085">
        <v>3.8889999999999998</v>
      </c>
      <c r="J1085">
        <v>31.286999999999999</v>
      </c>
      <c r="K1085">
        <v>21.1</v>
      </c>
      <c r="L1085">
        <v>-8.8999999999999996E-2</v>
      </c>
    </row>
    <row r="1086" spans="1:12" x14ac:dyDescent="0.25">
      <c r="A1086">
        <v>338596</v>
      </c>
      <c r="B1086">
        <v>3.9489999999999998</v>
      </c>
      <c r="C1086">
        <v>3.9529999999999998</v>
      </c>
      <c r="D1086">
        <v>3.8719999999999999</v>
      </c>
      <c r="E1086">
        <v>3.7869999999999999</v>
      </c>
      <c r="F1086">
        <v>4.0570000000000004</v>
      </c>
      <c r="G1086">
        <v>3.9510000000000001</v>
      </c>
      <c r="H1086">
        <v>3.8290000000000002</v>
      </c>
      <c r="I1086">
        <v>3.8889999999999998</v>
      </c>
      <c r="J1086">
        <v>31.286999999999999</v>
      </c>
      <c r="K1086">
        <v>21.1</v>
      </c>
      <c r="L1086">
        <v>-8.3000000000000004E-2</v>
      </c>
    </row>
    <row r="1087" spans="1:12" x14ac:dyDescent="0.25">
      <c r="A1087">
        <v>343600</v>
      </c>
      <c r="B1087">
        <v>3.9489999999999998</v>
      </c>
      <c r="C1087">
        <v>3.9529999999999998</v>
      </c>
      <c r="D1087">
        <v>3.8719999999999999</v>
      </c>
      <c r="E1087">
        <v>3.7869999999999999</v>
      </c>
      <c r="F1087">
        <v>4.0570000000000004</v>
      </c>
      <c r="G1087">
        <v>3.9510000000000001</v>
      </c>
      <c r="H1087">
        <v>3.8620000000000001</v>
      </c>
      <c r="I1087">
        <v>3.8570000000000002</v>
      </c>
      <c r="J1087">
        <v>31.288</v>
      </c>
      <c r="K1087">
        <v>21.1</v>
      </c>
      <c r="L1087">
        <v>-7.8E-2</v>
      </c>
    </row>
    <row r="1088" spans="1:12" x14ac:dyDescent="0.25">
      <c r="A1088">
        <v>348607</v>
      </c>
      <c r="B1088">
        <v>3.944</v>
      </c>
      <c r="C1088">
        <v>3.9580000000000002</v>
      </c>
      <c r="D1088">
        <v>3.8719999999999999</v>
      </c>
      <c r="E1088">
        <v>3.7869999999999999</v>
      </c>
      <c r="F1088">
        <v>4.0570000000000004</v>
      </c>
      <c r="G1088">
        <v>3.9510000000000001</v>
      </c>
      <c r="H1088">
        <v>3.8290000000000002</v>
      </c>
      <c r="I1088">
        <v>3.8889999999999998</v>
      </c>
      <c r="J1088">
        <v>31.286999999999999</v>
      </c>
      <c r="K1088">
        <v>21.1</v>
      </c>
      <c r="L1088">
        <v>-7.0000000000000007E-2</v>
      </c>
    </row>
    <row r="1089" spans="1:12" x14ac:dyDescent="0.25">
      <c r="A1089">
        <v>353613</v>
      </c>
      <c r="B1089">
        <v>3.944</v>
      </c>
      <c r="C1089">
        <v>3.9580000000000002</v>
      </c>
      <c r="D1089">
        <v>3.8719999999999999</v>
      </c>
      <c r="E1089">
        <v>3.7869999999999999</v>
      </c>
      <c r="F1089">
        <v>4.0570000000000004</v>
      </c>
      <c r="G1089">
        <v>3.9510000000000001</v>
      </c>
      <c r="H1089">
        <v>3.8290000000000002</v>
      </c>
      <c r="I1089">
        <v>3.8889999999999998</v>
      </c>
      <c r="J1089">
        <v>31.286999999999999</v>
      </c>
      <c r="K1089">
        <v>21.1</v>
      </c>
      <c r="L1089">
        <v>-8.6999999999999994E-2</v>
      </c>
    </row>
    <row r="1090" spans="1:12" x14ac:dyDescent="0.25">
      <c r="A1090">
        <v>358619</v>
      </c>
      <c r="B1090">
        <v>3.9489999999999998</v>
      </c>
      <c r="C1090">
        <v>3.9529999999999998</v>
      </c>
      <c r="D1090">
        <v>3.8719999999999999</v>
      </c>
      <c r="E1090">
        <v>3.7869999999999999</v>
      </c>
      <c r="F1090">
        <v>4.0570000000000004</v>
      </c>
      <c r="G1090">
        <v>3.9510000000000001</v>
      </c>
      <c r="H1090">
        <v>3.8290000000000002</v>
      </c>
      <c r="I1090">
        <v>3.8889999999999998</v>
      </c>
      <c r="J1090">
        <v>31.286999999999999</v>
      </c>
      <c r="K1090">
        <v>21.1</v>
      </c>
      <c r="L1090">
        <v>-7.0999999999999994E-2</v>
      </c>
    </row>
    <row r="1091" spans="1:12" x14ac:dyDescent="0.25">
      <c r="A1091">
        <v>363619</v>
      </c>
      <c r="B1091">
        <v>3.9489999999999998</v>
      </c>
      <c r="C1091">
        <v>3.9529999999999998</v>
      </c>
      <c r="D1091">
        <v>3.8719999999999999</v>
      </c>
      <c r="E1091">
        <v>3.7869999999999999</v>
      </c>
      <c r="F1091">
        <v>4.0570000000000004</v>
      </c>
      <c r="G1091">
        <v>3.9510000000000001</v>
      </c>
      <c r="H1091">
        <v>3.8290000000000002</v>
      </c>
      <c r="I1091">
        <v>3.8889999999999998</v>
      </c>
      <c r="J1091">
        <v>31.286999999999999</v>
      </c>
      <c r="K1091">
        <v>21.1</v>
      </c>
      <c r="L1091">
        <v>-0.10199999999999999</v>
      </c>
    </row>
    <row r="1092" spans="1:12" x14ac:dyDescent="0.25">
      <c r="A1092">
        <v>368666</v>
      </c>
      <c r="B1092">
        <v>3.944</v>
      </c>
      <c r="C1092">
        <v>3.9580000000000002</v>
      </c>
      <c r="D1092">
        <v>3.8719999999999999</v>
      </c>
      <c r="E1092">
        <v>3.7869999999999999</v>
      </c>
      <c r="F1092">
        <v>4.0570000000000004</v>
      </c>
      <c r="G1092">
        <v>3.9510000000000001</v>
      </c>
      <c r="H1092">
        <v>3.8620000000000001</v>
      </c>
      <c r="I1092">
        <v>3.8570000000000002</v>
      </c>
      <c r="J1092">
        <v>31.288</v>
      </c>
      <c r="K1092">
        <v>21.1</v>
      </c>
      <c r="L1092">
        <v>-6.4000000000000001E-2</v>
      </c>
    </row>
    <row r="1093" spans="1:12" x14ac:dyDescent="0.25">
      <c r="A1093">
        <v>373673</v>
      </c>
      <c r="B1093">
        <v>3.9489999999999998</v>
      </c>
      <c r="C1093">
        <v>3.9529999999999998</v>
      </c>
      <c r="D1093">
        <v>3.8719999999999999</v>
      </c>
      <c r="E1093">
        <v>3.7869999999999999</v>
      </c>
      <c r="F1093">
        <v>4.0570000000000004</v>
      </c>
      <c r="G1093">
        <v>3.9510000000000001</v>
      </c>
      <c r="H1093">
        <v>3.8290000000000002</v>
      </c>
      <c r="I1093">
        <v>3.8889999999999998</v>
      </c>
      <c r="J1093">
        <v>31.286999999999999</v>
      </c>
      <c r="K1093">
        <v>21.1</v>
      </c>
      <c r="L1093">
        <v>-8.5999999999999993E-2</v>
      </c>
    </row>
    <row r="1094" spans="1:12" x14ac:dyDescent="0.25">
      <c r="A1094">
        <v>378679</v>
      </c>
      <c r="B1094">
        <v>3.9489999999999998</v>
      </c>
      <c r="C1094">
        <v>3.9529999999999998</v>
      </c>
      <c r="D1094">
        <v>3.8719999999999999</v>
      </c>
      <c r="E1094">
        <v>3.7869999999999999</v>
      </c>
      <c r="F1094">
        <v>4.0570000000000004</v>
      </c>
      <c r="G1094">
        <v>3.9510000000000001</v>
      </c>
      <c r="H1094">
        <v>3.8290000000000002</v>
      </c>
      <c r="I1094">
        <v>3.8889999999999998</v>
      </c>
      <c r="J1094">
        <v>31.286999999999999</v>
      </c>
      <c r="K1094">
        <v>21.1</v>
      </c>
      <c r="L1094">
        <v>-8.8999999999999996E-2</v>
      </c>
    </row>
    <row r="1095" spans="1:12" x14ac:dyDescent="0.25">
      <c r="A1095">
        <v>383685</v>
      </c>
      <c r="B1095">
        <v>3.944</v>
      </c>
      <c r="C1095">
        <v>3.9580000000000002</v>
      </c>
      <c r="D1095">
        <v>3.8719999999999999</v>
      </c>
      <c r="E1095">
        <v>3.7869999999999999</v>
      </c>
      <c r="F1095">
        <v>4.0570000000000004</v>
      </c>
      <c r="G1095">
        <v>3.9510000000000001</v>
      </c>
      <c r="H1095">
        <v>3.8290000000000002</v>
      </c>
      <c r="I1095">
        <v>3.8889999999999998</v>
      </c>
      <c r="J1095">
        <v>31.286999999999999</v>
      </c>
      <c r="K1095">
        <v>21.1</v>
      </c>
      <c r="L1095">
        <v>-7.6999999999999999E-2</v>
      </c>
    </row>
    <row r="1096" spans="1:12" x14ac:dyDescent="0.25">
      <c r="A1096">
        <v>388691</v>
      </c>
      <c r="B1096">
        <v>3.9489999999999998</v>
      </c>
      <c r="C1096">
        <v>3.9529999999999998</v>
      </c>
      <c r="D1096">
        <v>3.8719999999999999</v>
      </c>
      <c r="E1096">
        <v>3.7869999999999999</v>
      </c>
      <c r="F1096">
        <v>4.0570000000000004</v>
      </c>
      <c r="G1096">
        <v>3.9510000000000001</v>
      </c>
      <c r="H1096">
        <v>3.8620000000000001</v>
      </c>
      <c r="I1096">
        <v>3.8570000000000002</v>
      </c>
      <c r="J1096">
        <v>31.288</v>
      </c>
      <c r="K1096">
        <v>21.1</v>
      </c>
      <c r="L1096">
        <v>-7.4999999999999997E-2</v>
      </c>
    </row>
    <row r="1097" spans="1:12" x14ac:dyDescent="0.25">
      <c r="A1097">
        <v>393691</v>
      </c>
      <c r="B1097">
        <v>3.944</v>
      </c>
      <c r="C1097">
        <v>3.9580000000000002</v>
      </c>
      <c r="D1097">
        <v>3.8719999999999999</v>
      </c>
      <c r="E1097">
        <v>3.7869999999999999</v>
      </c>
      <c r="F1097">
        <v>4.0570000000000004</v>
      </c>
      <c r="G1097">
        <v>3.9510000000000001</v>
      </c>
      <c r="H1097">
        <v>3.8290000000000002</v>
      </c>
      <c r="I1097">
        <v>3.8889999999999998</v>
      </c>
      <c r="J1097">
        <v>31.286999999999999</v>
      </c>
      <c r="K1097">
        <v>21.1</v>
      </c>
      <c r="L1097">
        <v>-8.1000000000000003E-2</v>
      </c>
    </row>
    <row r="1098" spans="1:12" x14ac:dyDescent="0.25">
      <c r="A1098">
        <v>398738</v>
      </c>
      <c r="B1098">
        <v>3.944</v>
      </c>
      <c r="C1098">
        <v>3.9580000000000002</v>
      </c>
      <c r="D1098">
        <v>3.8719999999999999</v>
      </c>
      <c r="E1098">
        <v>3.7869999999999999</v>
      </c>
      <c r="F1098">
        <v>4.0570000000000004</v>
      </c>
      <c r="G1098">
        <v>3.9510000000000001</v>
      </c>
      <c r="H1098">
        <v>3.8290000000000002</v>
      </c>
      <c r="I1098">
        <v>3.8889999999999998</v>
      </c>
      <c r="J1098">
        <v>31.286999999999999</v>
      </c>
      <c r="K1098">
        <v>21.1</v>
      </c>
      <c r="L1098">
        <v>-7.8E-2</v>
      </c>
    </row>
    <row r="1099" spans="1:12" x14ac:dyDescent="0.25">
      <c r="A1099">
        <v>403742</v>
      </c>
      <c r="B1099">
        <v>3.9489999999999998</v>
      </c>
      <c r="C1099">
        <v>3.9529999999999998</v>
      </c>
      <c r="D1099">
        <v>3.8719999999999999</v>
      </c>
      <c r="E1099">
        <v>3.7869999999999999</v>
      </c>
      <c r="F1099">
        <v>4.0570000000000004</v>
      </c>
      <c r="G1099">
        <v>3.9510000000000001</v>
      </c>
      <c r="H1099">
        <v>3.8290000000000002</v>
      </c>
      <c r="I1099">
        <v>3.8889999999999998</v>
      </c>
      <c r="J1099">
        <v>31.286999999999999</v>
      </c>
      <c r="K1099">
        <v>21.1</v>
      </c>
      <c r="L1099">
        <v>-7.0000000000000007E-2</v>
      </c>
    </row>
    <row r="1100" spans="1:12" x14ac:dyDescent="0.25">
      <c r="A1100">
        <v>408749</v>
      </c>
      <c r="B1100">
        <v>3.9489999999999998</v>
      </c>
      <c r="C1100">
        <v>3.9529999999999998</v>
      </c>
      <c r="D1100">
        <v>3.8719999999999999</v>
      </c>
      <c r="E1100">
        <v>3.7869999999999999</v>
      </c>
      <c r="F1100">
        <v>4.0570000000000004</v>
      </c>
      <c r="G1100">
        <v>3.9510000000000001</v>
      </c>
      <c r="H1100">
        <v>3.8290000000000002</v>
      </c>
      <c r="I1100">
        <v>3.8889999999999998</v>
      </c>
      <c r="J1100">
        <v>31.286999999999999</v>
      </c>
      <c r="K1100">
        <v>21.1</v>
      </c>
      <c r="L1100">
        <v>-7.6999999999999999E-2</v>
      </c>
    </row>
    <row r="1101" spans="1:12" x14ac:dyDescent="0.25">
      <c r="A1101">
        <v>413755</v>
      </c>
      <c r="B1101">
        <v>3.9</v>
      </c>
      <c r="C1101">
        <v>3.8959999999999999</v>
      </c>
      <c r="D1101">
        <v>3.8319999999999999</v>
      </c>
      <c r="E1101">
        <v>3.754</v>
      </c>
      <c r="F1101">
        <v>4.0140000000000002</v>
      </c>
      <c r="G1101">
        <v>3.8820000000000001</v>
      </c>
      <c r="H1101">
        <v>3.8039999999999998</v>
      </c>
      <c r="I1101">
        <v>3.7679999999999998</v>
      </c>
      <c r="J1101">
        <v>30.85</v>
      </c>
      <c r="K1101">
        <v>21.1</v>
      </c>
      <c r="L1101">
        <v>-1.1519999999999999</v>
      </c>
    </row>
    <row r="1102" spans="1:12" x14ac:dyDescent="0.25">
      <c r="A1102">
        <v>418761</v>
      </c>
      <c r="B1102">
        <v>3.8860000000000001</v>
      </c>
      <c r="C1102">
        <v>3.8839999999999999</v>
      </c>
      <c r="D1102">
        <v>3.8149999999999999</v>
      </c>
      <c r="E1102">
        <v>3.7440000000000002</v>
      </c>
      <c r="F1102">
        <v>4.0209999999999999</v>
      </c>
      <c r="G1102">
        <v>3.85</v>
      </c>
      <c r="H1102">
        <v>3.7879999999999998</v>
      </c>
      <c r="I1102">
        <v>3.742</v>
      </c>
      <c r="J1102">
        <v>30.73</v>
      </c>
      <c r="K1102">
        <v>21.1</v>
      </c>
      <c r="L1102">
        <v>-1.2709999999999999</v>
      </c>
    </row>
    <row r="1103" spans="1:12" x14ac:dyDescent="0.25">
      <c r="A1103">
        <v>7924</v>
      </c>
      <c r="B1103">
        <v>0</v>
      </c>
      <c r="C1103">
        <v>3.88</v>
      </c>
      <c r="D1103">
        <v>3.8090000000000002</v>
      </c>
      <c r="E1103">
        <v>3.7410000000000001</v>
      </c>
      <c r="F1103">
        <v>3.9940000000000002</v>
      </c>
      <c r="G1103">
        <v>3.8490000000000002</v>
      </c>
      <c r="H1103">
        <v>3.7839999999999998</v>
      </c>
      <c r="I1103">
        <v>3.7360000000000002</v>
      </c>
      <c r="J1103">
        <v>26.792999999999999</v>
      </c>
      <c r="K1103">
        <v>21.2</v>
      </c>
      <c r="L1103">
        <v>-1.2E-2</v>
      </c>
    </row>
    <row r="1104" spans="1:12" x14ac:dyDescent="0.25">
      <c r="A1104">
        <v>12929</v>
      </c>
      <c r="B1104">
        <v>3.8809999999999998</v>
      </c>
      <c r="C1104">
        <v>3.871</v>
      </c>
      <c r="D1104">
        <v>3.8039999999999998</v>
      </c>
      <c r="E1104">
        <v>3.7370000000000001</v>
      </c>
      <c r="F1104">
        <v>4.0119999999999996</v>
      </c>
      <c r="G1104">
        <v>3.8210000000000002</v>
      </c>
      <c r="H1104">
        <v>3.78</v>
      </c>
      <c r="I1104">
        <v>3.7679999999999998</v>
      </c>
      <c r="J1104">
        <v>30.673999999999999</v>
      </c>
      <c r="K1104">
        <v>21.1</v>
      </c>
      <c r="L1104">
        <v>-2.7E-2</v>
      </c>
    </row>
    <row r="1105" spans="1:12" x14ac:dyDescent="0.25">
      <c r="A1105">
        <v>17991</v>
      </c>
      <c r="B1105">
        <v>3.8759999999999999</v>
      </c>
      <c r="C1105">
        <v>3.867</v>
      </c>
      <c r="D1105">
        <v>3.8119999999999998</v>
      </c>
      <c r="E1105">
        <v>3.72</v>
      </c>
      <c r="F1105">
        <v>4.0019999999999998</v>
      </c>
      <c r="G1105">
        <v>3.82</v>
      </c>
      <c r="H1105">
        <v>3.8079999999999998</v>
      </c>
      <c r="I1105">
        <v>3.7290000000000001</v>
      </c>
      <c r="J1105">
        <v>30.634</v>
      </c>
      <c r="K1105">
        <v>21.1</v>
      </c>
      <c r="L1105">
        <v>-2.7E-2</v>
      </c>
    </row>
    <row r="1106" spans="1:12" x14ac:dyDescent="0.25">
      <c r="A1106">
        <v>23002</v>
      </c>
      <c r="B1106">
        <v>3.8759999999999999</v>
      </c>
      <c r="C1106">
        <v>3.867</v>
      </c>
      <c r="D1106">
        <v>3.8119999999999998</v>
      </c>
      <c r="E1106">
        <v>3.72</v>
      </c>
      <c r="F1106">
        <v>4.0199999999999996</v>
      </c>
      <c r="G1106">
        <v>3.82</v>
      </c>
      <c r="H1106">
        <v>3.7759999999999998</v>
      </c>
      <c r="I1106">
        <v>3.7229999999999999</v>
      </c>
      <c r="J1106">
        <v>30.614000000000001</v>
      </c>
      <c r="K1106">
        <v>21.1</v>
      </c>
      <c r="L1106">
        <v>-6.0000000000000001E-3</v>
      </c>
    </row>
    <row r="1107" spans="1:12" x14ac:dyDescent="0.25">
      <c r="A1107">
        <v>28003</v>
      </c>
      <c r="B1107">
        <v>3.871</v>
      </c>
      <c r="C1107">
        <v>3.8639999999999999</v>
      </c>
      <c r="D1107">
        <v>3.8069999999999999</v>
      </c>
      <c r="E1107">
        <v>3.734</v>
      </c>
      <c r="F1107">
        <v>3.992</v>
      </c>
      <c r="G1107">
        <v>3.819</v>
      </c>
      <c r="H1107">
        <v>3.7709999999999999</v>
      </c>
      <c r="I1107">
        <v>3.7559999999999998</v>
      </c>
      <c r="J1107">
        <v>30.614000000000001</v>
      </c>
      <c r="K1107">
        <v>21.2</v>
      </c>
      <c r="L1107">
        <v>-2.4E-2</v>
      </c>
    </row>
    <row r="1108" spans="1:12" x14ac:dyDescent="0.25">
      <c r="A1108">
        <v>33009</v>
      </c>
      <c r="B1108">
        <v>3.871</v>
      </c>
      <c r="C1108">
        <v>3.8639999999999999</v>
      </c>
      <c r="D1108">
        <v>3.8069999999999999</v>
      </c>
      <c r="E1108">
        <v>3.7160000000000002</v>
      </c>
      <c r="F1108">
        <v>3.992</v>
      </c>
      <c r="G1108">
        <v>3.819</v>
      </c>
      <c r="H1108">
        <v>3.7709999999999999</v>
      </c>
      <c r="I1108">
        <v>3.7559999999999998</v>
      </c>
      <c r="J1108">
        <v>30.596</v>
      </c>
      <c r="K1108">
        <v>21.2</v>
      </c>
      <c r="L1108">
        <v>-3.6999999999999998E-2</v>
      </c>
    </row>
    <row r="1109" spans="1:12" x14ac:dyDescent="0.25">
      <c r="A1109">
        <v>38016</v>
      </c>
      <c r="B1109">
        <v>3.8660000000000001</v>
      </c>
      <c r="C1109">
        <v>3.8679999999999999</v>
      </c>
      <c r="D1109">
        <v>3.7919999999999998</v>
      </c>
      <c r="E1109">
        <v>3.7309999999999999</v>
      </c>
      <c r="F1109">
        <v>3.992</v>
      </c>
      <c r="G1109">
        <v>3.819</v>
      </c>
      <c r="H1109">
        <v>3.7709999999999999</v>
      </c>
      <c r="I1109">
        <v>3.7170000000000001</v>
      </c>
      <c r="J1109">
        <v>30.556000000000001</v>
      </c>
      <c r="K1109">
        <v>21.2</v>
      </c>
      <c r="L1109">
        <v>-2.5000000000000001E-2</v>
      </c>
    </row>
    <row r="1110" spans="1:12" x14ac:dyDescent="0.25">
      <c r="A1110">
        <v>43016</v>
      </c>
      <c r="B1110">
        <v>3.8660000000000001</v>
      </c>
      <c r="C1110">
        <v>3.86</v>
      </c>
      <c r="D1110">
        <v>3.8010000000000002</v>
      </c>
      <c r="E1110">
        <v>3.7309999999999999</v>
      </c>
      <c r="F1110">
        <v>3.9830000000000001</v>
      </c>
      <c r="G1110">
        <v>3.8460000000000001</v>
      </c>
      <c r="H1110">
        <v>3.7389999999999999</v>
      </c>
      <c r="I1110">
        <v>3.7490000000000001</v>
      </c>
      <c r="J1110">
        <v>30.574999999999999</v>
      </c>
      <c r="K1110">
        <v>21.1</v>
      </c>
      <c r="L1110">
        <v>-2E-3</v>
      </c>
    </row>
    <row r="1111" spans="1:12" x14ac:dyDescent="0.25">
      <c r="A1111">
        <v>48053</v>
      </c>
      <c r="B1111">
        <v>3.8660000000000001</v>
      </c>
      <c r="C1111">
        <v>3.86</v>
      </c>
      <c r="D1111">
        <v>3.8010000000000002</v>
      </c>
      <c r="E1111">
        <v>3.7130000000000001</v>
      </c>
      <c r="F1111">
        <v>3.9830000000000001</v>
      </c>
      <c r="G1111">
        <v>3.8180000000000001</v>
      </c>
      <c r="H1111">
        <v>3.7669999999999999</v>
      </c>
      <c r="I1111">
        <v>3.7490000000000001</v>
      </c>
      <c r="J1111">
        <v>30.556999999999999</v>
      </c>
      <c r="K1111">
        <v>21.2</v>
      </c>
      <c r="L1111">
        <v>-6.0000000000000001E-3</v>
      </c>
    </row>
    <row r="1112" spans="1:12" x14ac:dyDescent="0.25">
      <c r="A1112">
        <v>53056</v>
      </c>
      <c r="B1112">
        <v>3.8660000000000001</v>
      </c>
      <c r="C1112">
        <v>3.86</v>
      </c>
      <c r="D1112">
        <v>3.8010000000000002</v>
      </c>
      <c r="E1112">
        <v>3.7130000000000001</v>
      </c>
      <c r="F1112">
        <v>3.9830000000000001</v>
      </c>
      <c r="G1112">
        <v>3.8180000000000001</v>
      </c>
      <c r="H1112">
        <v>3.7669999999999999</v>
      </c>
      <c r="I1112">
        <v>3.71</v>
      </c>
      <c r="J1112">
        <v>30.518000000000001</v>
      </c>
      <c r="K1112">
        <v>21.2</v>
      </c>
      <c r="L1112">
        <v>-1.7999999999999999E-2</v>
      </c>
    </row>
    <row r="1113" spans="1:12" x14ac:dyDescent="0.25">
      <c r="A1113">
        <v>58063</v>
      </c>
      <c r="B1113">
        <v>3.8559999999999999</v>
      </c>
      <c r="C1113">
        <v>3.8610000000000002</v>
      </c>
      <c r="D1113">
        <v>3.7949999999999999</v>
      </c>
      <c r="E1113">
        <v>3.7269999999999999</v>
      </c>
      <c r="F1113">
        <v>4.0010000000000003</v>
      </c>
      <c r="G1113">
        <v>3.8180000000000001</v>
      </c>
      <c r="H1113">
        <v>3.7349999999999999</v>
      </c>
      <c r="I1113">
        <v>3.7429999999999999</v>
      </c>
      <c r="J1113">
        <v>30.536000000000001</v>
      </c>
      <c r="K1113">
        <v>21.2</v>
      </c>
      <c r="L1113">
        <v>4.0000000000000001E-3</v>
      </c>
    </row>
    <row r="1114" spans="1:12" x14ac:dyDescent="0.25">
      <c r="A1114">
        <v>63069</v>
      </c>
      <c r="B1114">
        <v>3.8610000000000002</v>
      </c>
      <c r="C1114">
        <v>3.8559999999999999</v>
      </c>
      <c r="D1114">
        <v>3.7949999999999999</v>
      </c>
      <c r="E1114">
        <v>3.71</v>
      </c>
      <c r="F1114">
        <v>4.0010000000000003</v>
      </c>
      <c r="G1114">
        <v>3.7890000000000001</v>
      </c>
      <c r="H1114">
        <v>3.7629999999999999</v>
      </c>
      <c r="I1114">
        <v>3.7429999999999999</v>
      </c>
      <c r="J1114">
        <v>30.518000000000001</v>
      </c>
      <c r="K1114">
        <v>21.2</v>
      </c>
      <c r="L1114">
        <v>-1.7000000000000001E-2</v>
      </c>
    </row>
    <row r="1115" spans="1:12" x14ac:dyDescent="0.25">
      <c r="A1115">
        <v>68076</v>
      </c>
      <c r="B1115">
        <v>3.8610000000000002</v>
      </c>
      <c r="C1115">
        <v>3.8559999999999999</v>
      </c>
      <c r="D1115">
        <v>3.7949999999999999</v>
      </c>
      <c r="E1115">
        <v>3.71</v>
      </c>
      <c r="F1115">
        <v>3.9729999999999999</v>
      </c>
      <c r="G1115">
        <v>3.8170000000000002</v>
      </c>
      <c r="H1115">
        <v>3.7629999999999999</v>
      </c>
      <c r="I1115">
        <v>3.7429999999999999</v>
      </c>
      <c r="J1115">
        <v>30.518000000000001</v>
      </c>
      <c r="K1115">
        <v>21.2</v>
      </c>
      <c r="L1115">
        <v>-2.1999999999999999E-2</v>
      </c>
    </row>
    <row r="1116" spans="1:12" x14ac:dyDescent="0.25">
      <c r="A1116">
        <v>73077</v>
      </c>
      <c r="B1116">
        <v>3.8559999999999999</v>
      </c>
      <c r="C1116">
        <v>3.8519999999999999</v>
      </c>
      <c r="D1116">
        <v>3.8039999999999998</v>
      </c>
      <c r="E1116">
        <v>3.71</v>
      </c>
      <c r="F1116">
        <v>3.9729999999999999</v>
      </c>
      <c r="G1116">
        <v>3.8170000000000002</v>
      </c>
      <c r="H1116">
        <v>3.7629999999999999</v>
      </c>
      <c r="I1116">
        <v>3.7040000000000002</v>
      </c>
      <c r="J1116">
        <v>30.478999999999999</v>
      </c>
      <c r="K1116">
        <v>21.2</v>
      </c>
      <c r="L1116">
        <v>-2.7E-2</v>
      </c>
    </row>
    <row r="1117" spans="1:12" x14ac:dyDescent="0.25">
      <c r="A1117">
        <v>78123</v>
      </c>
      <c r="B1117">
        <v>3.8559999999999999</v>
      </c>
      <c r="C1117">
        <v>3.8519999999999999</v>
      </c>
      <c r="D1117">
        <v>3.79</v>
      </c>
      <c r="E1117">
        <v>3.7240000000000002</v>
      </c>
      <c r="F1117">
        <v>3.9910000000000001</v>
      </c>
      <c r="G1117">
        <v>3.7879999999999998</v>
      </c>
      <c r="H1117">
        <v>3.7589999999999999</v>
      </c>
      <c r="I1117">
        <v>3.7370000000000001</v>
      </c>
      <c r="J1117">
        <v>30.497</v>
      </c>
      <c r="K1117">
        <v>21.2</v>
      </c>
      <c r="L1117">
        <v>-2.1000000000000001E-2</v>
      </c>
    </row>
    <row r="1118" spans="1:12" x14ac:dyDescent="0.25">
      <c r="A1118">
        <v>83128</v>
      </c>
      <c r="B1118">
        <v>3.8559999999999999</v>
      </c>
      <c r="C1118">
        <v>3.8519999999999999</v>
      </c>
      <c r="D1118">
        <v>3.79</v>
      </c>
      <c r="E1118">
        <v>3.706</v>
      </c>
      <c r="F1118">
        <v>3.9910000000000001</v>
      </c>
      <c r="G1118">
        <v>3.8170000000000002</v>
      </c>
      <c r="H1118">
        <v>3.7309999999999999</v>
      </c>
      <c r="I1118">
        <v>3.7370000000000001</v>
      </c>
      <c r="J1118">
        <v>30.48</v>
      </c>
      <c r="K1118">
        <v>21.2</v>
      </c>
      <c r="L1118">
        <v>-1.0999999999999999E-2</v>
      </c>
    </row>
    <row r="1119" spans="1:12" x14ac:dyDescent="0.25">
      <c r="A1119">
        <v>88136</v>
      </c>
      <c r="B1119">
        <v>3.8559999999999999</v>
      </c>
      <c r="C1119">
        <v>3.843</v>
      </c>
      <c r="D1119">
        <v>3.798</v>
      </c>
      <c r="E1119">
        <v>3.706</v>
      </c>
      <c r="F1119">
        <v>3.9910000000000001</v>
      </c>
      <c r="G1119">
        <v>3.7879999999999998</v>
      </c>
      <c r="H1119">
        <v>3.7589999999999999</v>
      </c>
      <c r="I1119">
        <v>3.7370000000000001</v>
      </c>
      <c r="J1119">
        <v>30.478000000000002</v>
      </c>
      <c r="K1119">
        <v>21.2</v>
      </c>
      <c r="L1119">
        <v>2E-3</v>
      </c>
    </row>
    <row r="1120" spans="1:12" x14ac:dyDescent="0.25">
      <c r="A1120">
        <v>93142</v>
      </c>
      <c r="B1120">
        <v>3.8559999999999999</v>
      </c>
      <c r="C1120">
        <v>3.843</v>
      </c>
      <c r="D1120">
        <v>3.7839999999999998</v>
      </c>
      <c r="E1120">
        <v>3.7210000000000001</v>
      </c>
      <c r="F1120">
        <v>3.9910000000000001</v>
      </c>
      <c r="G1120">
        <v>3.7879999999999998</v>
      </c>
      <c r="H1120">
        <v>3.7589999999999999</v>
      </c>
      <c r="I1120">
        <v>3.7370000000000001</v>
      </c>
      <c r="J1120">
        <v>30.478999999999999</v>
      </c>
      <c r="K1120">
        <v>21.2</v>
      </c>
      <c r="L1120">
        <v>-0.03</v>
      </c>
    </row>
    <row r="1121" spans="1:12" x14ac:dyDescent="0.25">
      <c r="A1121">
        <v>98149</v>
      </c>
      <c r="B1121">
        <v>3.851</v>
      </c>
      <c r="C1121">
        <v>3.8479999999999999</v>
      </c>
      <c r="D1121">
        <v>3.7839999999999998</v>
      </c>
      <c r="E1121">
        <v>3.7210000000000001</v>
      </c>
      <c r="F1121">
        <v>3.964</v>
      </c>
      <c r="G1121">
        <v>3.8159999999999998</v>
      </c>
      <c r="H1121">
        <v>3.7589999999999999</v>
      </c>
      <c r="I1121">
        <v>3.698</v>
      </c>
      <c r="J1121">
        <v>30.440999999999999</v>
      </c>
      <c r="K1121">
        <v>21.3</v>
      </c>
      <c r="L1121">
        <v>-2.4E-2</v>
      </c>
    </row>
    <row r="1122" spans="1:12" x14ac:dyDescent="0.25">
      <c r="A1122">
        <v>103149</v>
      </c>
      <c r="B1122">
        <v>3.851</v>
      </c>
      <c r="C1122">
        <v>3.8479999999999999</v>
      </c>
      <c r="D1122">
        <v>3.7839999999999998</v>
      </c>
      <c r="E1122">
        <v>3.7210000000000001</v>
      </c>
      <c r="F1122">
        <v>3.9820000000000002</v>
      </c>
      <c r="G1122">
        <v>3.8159999999999998</v>
      </c>
      <c r="H1122">
        <v>3.7269999999999999</v>
      </c>
      <c r="I1122">
        <v>3.73</v>
      </c>
      <c r="J1122">
        <v>30.459</v>
      </c>
      <c r="K1122">
        <v>21.2</v>
      </c>
      <c r="L1122">
        <v>-3.5999999999999997E-2</v>
      </c>
    </row>
    <row r="1123" spans="1:12" x14ac:dyDescent="0.25">
      <c r="A1123">
        <v>108196</v>
      </c>
      <c r="B1123">
        <v>3.851</v>
      </c>
      <c r="C1123">
        <v>3.8479999999999999</v>
      </c>
      <c r="D1123">
        <v>3.7839999999999998</v>
      </c>
      <c r="E1123">
        <v>3.7029999999999998</v>
      </c>
      <c r="F1123">
        <v>3.9820000000000002</v>
      </c>
      <c r="G1123">
        <v>3.7869999999999999</v>
      </c>
      <c r="H1123">
        <v>3.7549999999999999</v>
      </c>
      <c r="I1123">
        <v>3.73</v>
      </c>
      <c r="J1123">
        <v>30.44</v>
      </c>
      <c r="K1123">
        <v>21.3</v>
      </c>
      <c r="L1123">
        <v>-4.4999999999999998E-2</v>
      </c>
    </row>
    <row r="1124" spans="1:12" x14ac:dyDescent="0.25">
      <c r="A1124">
        <v>113207</v>
      </c>
      <c r="B1124">
        <v>3.847</v>
      </c>
      <c r="C1124">
        <v>3.8439999999999999</v>
      </c>
      <c r="D1124">
        <v>3.7930000000000001</v>
      </c>
      <c r="E1124">
        <v>3.7029999999999998</v>
      </c>
      <c r="F1124">
        <v>3.9540000000000002</v>
      </c>
      <c r="G1124">
        <v>3.8149999999999999</v>
      </c>
      <c r="H1124">
        <v>3.7549999999999999</v>
      </c>
      <c r="I1124">
        <v>4.1580000000000004</v>
      </c>
      <c r="J1124">
        <v>30.869</v>
      </c>
      <c r="K1124">
        <v>21.2</v>
      </c>
      <c r="L1124">
        <v>1.155</v>
      </c>
    </row>
    <row r="1125" spans="1:12" x14ac:dyDescent="0.25">
      <c r="A1125">
        <v>118269</v>
      </c>
      <c r="B1125">
        <v>3.851</v>
      </c>
      <c r="C1125">
        <v>3.839</v>
      </c>
      <c r="D1125">
        <v>3.7930000000000001</v>
      </c>
      <c r="E1125">
        <v>3.7029999999999998</v>
      </c>
      <c r="F1125">
        <v>4</v>
      </c>
      <c r="G1125">
        <v>3.7869999999999999</v>
      </c>
      <c r="H1125">
        <v>3.7549999999999999</v>
      </c>
      <c r="I1125">
        <v>3.73</v>
      </c>
      <c r="J1125">
        <v>30.457999999999998</v>
      </c>
      <c r="K1125">
        <v>21.3</v>
      </c>
      <c r="L1125">
        <v>-0.104</v>
      </c>
    </row>
    <row r="1126" spans="1:12" x14ac:dyDescent="0.25">
      <c r="A1126">
        <v>123279</v>
      </c>
      <c r="B1126">
        <v>3.851</v>
      </c>
      <c r="C1126">
        <v>3.8479999999999999</v>
      </c>
      <c r="D1126">
        <v>3.7839999999999998</v>
      </c>
      <c r="E1126">
        <v>3.7029999999999998</v>
      </c>
      <c r="F1126">
        <v>3.9820000000000002</v>
      </c>
      <c r="G1126">
        <v>3.8159999999999998</v>
      </c>
      <c r="H1126">
        <v>3.7269999999999999</v>
      </c>
      <c r="I1126">
        <v>3.73</v>
      </c>
      <c r="J1126">
        <v>30.440999999999999</v>
      </c>
      <c r="K1126">
        <v>21.3</v>
      </c>
      <c r="L1126">
        <v>-3.9E-2</v>
      </c>
    </row>
    <row r="1127" spans="1:12" x14ac:dyDescent="0.25">
      <c r="A1127">
        <v>128286</v>
      </c>
      <c r="B1127">
        <v>3.847</v>
      </c>
      <c r="C1127">
        <v>3.8439999999999999</v>
      </c>
      <c r="D1127">
        <v>3.778</v>
      </c>
      <c r="E1127">
        <v>3.7170000000000001</v>
      </c>
      <c r="F1127">
        <v>4</v>
      </c>
      <c r="G1127">
        <v>3.7869999999999999</v>
      </c>
      <c r="H1127">
        <v>3.7549999999999999</v>
      </c>
      <c r="I1127">
        <v>3.6909999999999998</v>
      </c>
      <c r="J1127">
        <v>30.419</v>
      </c>
      <c r="K1127">
        <v>21.3</v>
      </c>
      <c r="L1127">
        <v>-2.4E-2</v>
      </c>
    </row>
    <row r="1128" spans="1:12" x14ac:dyDescent="0.25">
      <c r="A1128">
        <v>133286</v>
      </c>
      <c r="B1128">
        <v>3.851</v>
      </c>
      <c r="C1128">
        <v>3.839</v>
      </c>
      <c r="D1128">
        <v>3.778</v>
      </c>
      <c r="E1128">
        <v>3.7170000000000001</v>
      </c>
      <c r="F1128">
        <v>3.972</v>
      </c>
      <c r="G1128">
        <v>3.8149999999999999</v>
      </c>
      <c r="H1128">
        <v>3.722</v>
      </c>
      <c r="I1128">
        <v>3.7240000000000002</v>
      </c>
      <c r="J1128">
        <v>30.417999999999999</v>
      </c>
      <c r="K1128">
        <v>21.3</v>
      </c>
      <c r="L1128">
        <v>-3.5000000000000003E-2</v>
      </c>
    </row>
    <row r="1129" spans="1:12" x14ac:dyDescent="0.25">
      <c r="A1129">
        <v>138290</v>
      </c>
      <c r="B1129">
        <v>3.851</v>
      </c>
      <c r="C1129">
        <v>3.8479999999999999</v>
      </c>
      <c r="D1129">
        <v>3.7839999999999998</v>
      </c>
      <c r="E1129">
        <v>3.7210000000000001</v>
      </c>
      <c r="F1129">
        <v>3.964</v>
      </c>
      <c r="G1129">
        <v>3.8159999999999998</v>
      </c>
      <c r="H1129">
        <v>3.7589999999999999</v>
      </c>
      <c r="I1129">
        <v>3.698</v>
      </c>
      <c r="J1129">
        <v>30.440999999999999</v>
      </c>
      <c r="K1129">
        <v>21.3</v>
      </c>
      <c r="L1129">
        <v>-3.5000000000000003E-2</v>
      </c>
    </row>
    <row r="1130" spans="1:12" x14ac:dyDescent="0.25">
      <c r="A1130">
        <v>143299</v>
      </c>
      <c r="B1130">
        <v>3.851</v>
      </c>
      <c r="C1130">
        <v>3.8479999999999999</v>
      </c>
      <c r="D1130">
        <v>3.7839999999999998</v>
      </c>
      <c r="E1130">
        <v>3.7210000000000001</v>
      </c>
      <c r="F1130">
        <v>3.9820000000000002</v>
      </c>
      <c r="G1130">
        <v>3.8159999999999998</v>
      </c>
      <c r="H1130">
        <v>3.7269999999999999</v>
      </c>
      <c r="I1130">
        <v>3.73</v>
      </c>
      <c r="J1130">
        <v>30.459</v>
      </c>
      <c r="K1130">
        <v>21.3</v>
      </c>
      <c r="L1130">
        <v>-2.1999999999999999E-2</v>
      </c>
    </row>
    <row r="1131" spans="1:12" x14ac:dyDescent="0.25">
      <c r="A1131">
        <v>148341</v>
      </c>
      <c r="B1131">
        <v>3.851</v>
      </c>
      <c r="C1131">
        <v>3.8479999999999999</v>
      </c>
      <c r="D1131">
        <v>3.7839999999999998</v>
      </c>
      <c r="E1131">
        <v>3.7029999999999998</v>
      </c>
      <c r="F1131">
        <v>3.9820000000000002</v>
      </c>
      <c r="G1131">
        <v>3.7869999999999999</v>
      </c>
      <c r="H1131">
        <v>3.7549999999999999</v>
      </c>
      <c r="I1131">
        <v>3.73</v>
      </c>
      <c r="J1131">
        <v>30.44</v>
      </c>
      <c r="K1131">
        <v>21.3</v>
      </c>
      <c r="L1131">
        <v>-2.1000000000000001E-2</v>
      </c>
    </row>
    <row r="1132" spans="1:12" x14ac:dyDescent="0.25">
      <c r="A1132">
        <v>153352</v>
      </c>
      <c r="B1132">
        <v>3.851</v>
      </c>
      <c r="C1132">
        <v>3.839</v>
      </c>
      <c r="D1132">
        <v>3.7930000000000001</v>
      </c>
      <c r="E1132">
        <v>3.7029999999999998</v>
      </c>
      <c r="F1132">
        <v>3.9820000000000002</v>
      </c>
      <c r="G1132">
        <v>3.7869999999999999</v>
      </c>
      <c r="H1132">
        <v>3.7549999999999999</v>
      </c>
      <c r="I1132">
        <v>3.73</v>
      </c>
      <c r="J1132">
        <v>30.44</v>
      </c>
      <c r="K1132">
        <v>21.3</v>
      </c>
      <c r="L1132">
        <v>-3.5000000000000003E-2</v>
      </c>
    </row>
    <row r="1133" spans="1:12" x14ac:dyDescent="0.25">
      <c r="A1133">
        <v>158358</v>
      </c>
      <c r="B1133">
        <v>3.847</v>
      </c>
      <c r="C1133">
        <v>3.8439999999999999</v>
      </c>
      <c r="D1133">
        <v>3.778</v>
      </c>
      <c r="E1133">
        <v>3.7170000000000001</v>
      </c>
      <c r="F1133">
        <v>4</v>
      </c>
      <c r="G1133">
        <v>3.7869999999999999</v>
      </c>
      <c r="H1133">
        <v>3.7549999999999999</v>
      </c>
      <c r="I1133">
        <v>3.6909999999999998</v>
      </c>
      <c r="J1133">
        <v>30.419</v>
      </c>
      <c r="K1133">
        <v>21.3</v>
      </c>
      <c r="L1133">
        <v>-3.7999999999999999E-2</v>
      </c>
    </row>
    <row r="1134" spans="1:12" x14ac:dyDescent="0.25">
      <c r="A1134">
        <v>163359</v>
      </c>
      <c r="B1134">
        <v>3.847</v>
      </c>
      <c r="C1134">
        <v>3.8439999999999999</v>
      </c>
      <c r="D1134">
        <v>3.778</v>
      </c>
      <c r="E1134">
        <v>3.7170000000000001</v>
      </c>
      <c r="F1134">
        <v>3.9820000000000002</v>
      </c>
      <c r="G1134">
        <v>3.7869999999999999</v>
      </c>
      <c r="H1134">
        <v>3.7549999999999999</v>
      </c>
      <c r="I1134">
        <v>3.6909999999999998</v>
      </c>
      <c r="J1134">
        <v>30.401</v>
      </c>
      <c r="K1134">
        <v>21.3</v>
      </c>
      <c r="L1134">
        <v>-1.7999999999999999E-2</v>
      </c>
    </row>
    <row r="1135" spans="1:12" x14ac:dyDescent="0.25">
      <c r="A1135">
        <v>168363</v>
      </c>
      <c r="B1135">
        <v>3.847</v>
      </c>
      <c r="C1135">
        <v>3.8439999999999999</v>
      </c>
      <c r="D1135">
        <v>3.778</v>
      </c>
      <c r="E1135">
        <v>3.7170000000000001</v>
      </c>
      <c r="F1135">
        <v>3.972</v>
      </c>
      <c r="G1135">
        <v>3.8149999999999999</v>
      </c>
      <c r="H1135">
        <v>3.7549999999999999</v>
      </c>
      <c r="I1135">
        <v>3.6909999999999998</v>
      </c>
      <c r="J1135">
        <v>30.419</v>
      </c>
      <c r="K1135">
        <v>21.3</v>
      </c>
      <c r="L1135">
        <v>-3.3000000000000002E-2</v>
      </c>
    </row>
    <row r="1136" spans="1:12" x14ac:dyDescent="0.25">
      <c r="A1136">
        <v>173368</v>
      </c>
      <c r="B1136">
        <v>3.847</v>
      </c>
      <c r="C1136">
        <v>3.8439999999999999</v>
      </c>
      <c r="D1136">
        <v>3.778</v>
      </c>
      <c r="E1136">
        <v>3.7170000000000001</v>
      </c>
      <c r="F1136">
        <v>3.972</v>
      </c>
      <c r="G1136">
        <v>3.8149999999999999</v>
      </c>
      <c r="H1136">
        <v>3.722</v>
      </c>
      <c r="I1136">
        <v>3.7240000000000002</v>
      </c>
      <c r="J1136">
        <v>30.419</v>
      </c>
      <c r="K1136">
        <v>21.3</v>
      </c>
      <c r="L1136">
        <v>-4.1000000000000002E-2</v>
      </c>
    </row>
    <row r="1137" spans="1:12" x14ac:dyDescent="0.25">
      <c r="A1137">
        <v>178410</v>
      </c>
      <c r="B1137">
        <v>3.847</v>
      </c>
      <c r="C1137">
        <v>3.835</v>
      </c>
      <c r="D1137">
        <v>3.7869999999999999</v>
      </c>
      <c r="E1137">
        <v>3.7</v>
      </c>
      <c r="F1137">
        <v>3.972</v>
      </c>
      <c r="G1137">
        <v>3.786</v>
      </c>
      <c r="H1137">
        <v>3.7509999999999999</v>
      </c>
      <c r="I1137">
        <v>3.7240000000000002</v>
      </c>
      <c r="J1137">
        <v>30.402000000000001</v>
      </c>
      <c r="K1137">
        <v>21.3</v>
      </c>
      <c r="L1137">
        <v>-0.03</v>
      </c>
    </row>
    <row r="1138" spans="1:12" x14ac:dyDescent="0.25">
      <c r="A1138">
        <v>183421</v>
      </c>
      <c r="B1138">
        <v>3.847</v>
      </c>
      <c r="C1138">
        <v>3.835</v>
      </c>
      <c r="D1138">
        <v>3.7869999999999999</v>
      </c>
      <c r="E1138">
        <v>3.7</v>
      </c>
      <c r="F1138">
        <v>3.972</v>
      </c>
      <c r="G1138">
        <v>3.786</v>
      </c>
      <c r="H1138">
        <v>3.7509999999999999</v>
      </c>
      <c r="I1138">
        <v>3.7240000000000002</v>
      </c>
      <c r="J1138">
        <v>30.402000000000001</v>
      </c>
      <c r="K1138">
        <v>21.3</v>
      </c>
      <c r="L1138">
        <v>-1.7999999999999999E-2</v>
      </c>
    </row>
    <row r="1139" spans="1:12" x14ac:dyDescent="0.25">
      <c r="A1139">
        <v>188422</v>
      </c>
      <c r="B1139">
        <v>3.9</v>
      </c>
      <c r="C1139">
        <v>3.9140000000000001</v>
      </c>
      <c r="D1139">
        <v>3.8290000000000002</v>
      </c>
      <c r="E1139">
        <v>3.7570000000000001</v>
      </c>
      <c r="F1139">
        <v>4.0259999999999998</v>
      </c>
      <c r="G1139">
        <v>3.887</v>
      </c>
      <c r="H1139">
        <v>3.8250000000000002</v>
      </c>
      <c r="I1139">
        <v>3.7989999999999999</v>
      </c>
      <c r="J1139">
        <v>30.937000000000001</v>
      </c>
      <c r="K1139">
        <v>21.3</v>
      </c>
      <c r="L1139">
        <v>1.1659999999999999</v>
      </c>
    </row>
    <row r="1140" spans="1:12" x14ac:dyDescent="0.25">
      <c r="A1140">
        <v>193428</v>
      </c>
      <c r="B1140">
        <v>3.9049999999999998</v>
      </c>
      <c r="C1140">
        <v>3.9089999999999998</v>
      </c>
      <c r="D1140">
        <v>3.8290000000000002</v>
      </c>
      <c r="E1140">
        <v>3.7749999999999999</v>
      </c>
      <c r="F1140">
        <v>4.008</v>
      </c>
      <c r="G1140">
        <v>3.887</v>
      </c>
      <c r="H1140">
        <v>3.8250000000000002</v>
      </c>
      <c r="I1140">
        <v>3.8380000000000001</v>
      </c>
      <c r="J1140">
        <v>30.975999999999999</v>
      </c>
      <c r="K1140">
        <v>21.3</v>
      </c>
      <c r="L1140">
        <v>1.159</v>
      </c>
    </row>
    <row r="1141" spans="1:12" x14ac:dyDescent="0.25">
      <c r="A1141">
        <v>198434</v>
      </c>
      <c r="B1141">
        <v>3.91</v>
      </c>
      <c r="C1141">
        <v>3.9129999999999998</v>
      </c>
      <c r="D1141">
        <v>3.835</v>
      </c>
      <c r="E1141">
        <v>3.7789999999999999</v>
      </c>
      <c r="F1141">
        <v>4.0170000000000003</v>
      </c>
      <c r="G1141">
        <v>3.8879999999999999</v>
      </c>
      <c r="H1141">
        <v>3.8290000000000002</v>
      </c>
      <c r="I1141">
        <v>3.806</v>
      </c>
      <c r="J1141">
        <v>30.977</v>
      </c>
      <c r="K1141">
        <v>21.3</v>
      </c>
      <c r="L1141">
        <v>1.175</v>
      </c>
    </row>
    <row r="1142" spans="1:12" x14ac:dyDescent="0.25">
      <c r="A1142">
        <v>203434</v>
      </c>
      <c r="B1142">
        <v>3.91</v>
      </c>
      <c r="C1142">
        <v>3.9220000000000002</v>
      </c>
      <c r="D1142">
        <v>3.8260000000000001</v>
      </c>
      <c r="E1142">
        <v>3.7789999999999999</v>
      </c>
      <c r="F1142">
        <v>4.0170000000000003</v>
      </c>
      <c r="G1142">
        <v>3.8879999999999999</v>
      </c>
      <c r="H1142">
        <v>3.8290000000000002</v>
      </c>
      <c r="I1142">
        <v>3.8450000000000002</v>
      </c>
      <c r="J1142">
        <v>31.015999999999998</v>
      </c>
      <c r="K1142">
        <v>21.3</v>
      </c>
      <c r="L1142">
        <v>1.153</v>
      </c>
    </row>
    <row r="1143" spans="1:12" x14ac:dyDescent="0.25">
      <c r="A1143">
        <v>208472</v>
      </c>
      <c r="B1143">
        <v>3.91</v>
      </c>
      <c r="C1143">
        <v>3.9220000000000002</v>
      </c>
      <c r="D1143">
        <v>3.84</v>
      </c>
      <c r="E1143">
        <v>3.7639999999999998</v>
      </c>
      <c r="F1143">
        <v>4.0449999999999999</v>
      </c>
      <c r="G1143">
        <v>3.8889999999999998</v>
      </c>
      <c r="H1143">
        <v>3.8330000000000002</v>
      </c>
      <c r="I1143">
        <v>3.8119999999999998</v>
      </c>
      <c r="J1143">
        <v>31.015000000000001</v>
      </c>
      <c r="K1143">
        <v>21.3</v>
      </c>
      <c r="L1143">
        <v>1.151</v>
      </c>
    </row>
    <row r="1144" spans="1:12" x14ac:dyDescent="0.25">
      <c r="A1144">
        <v>213475</v>
      </c>
      <c r="B1144">
        <v>3.915</v>
      </c>
      <c r="C1144">
        <v>3.9169999999999998</v>
      </c>
      <c r="D1144">
        <v>3.84</v>
      </c>
      <c r="E1144">
        <v>3.7639999999999998</v>
      </c>
      <c r="F1144">
        <v>4.0449999999999999</v>
      </c>
      <c r="G1144">
        <v>3.8889999999999998</v>
      </c>
      <c r="H1144">
        <v>3.8330000000000002</v>
      </c>
      <c r="I1144">
        <v>3.8119999999999998</v>
      </c>
      <c r="J1144">
        <v>31.015000000000001</v>
      </c>
      <c r="K1144">
        <v>21.3</v>
      </c>
      <c r="L1144">
        <v>1.1599999999999999</v>
      </c>
    </row>
    <row r="1145" spans="1:12" x14ac:dyDescent="0.25">
      <c r="A1145">
        <v>218482</v>
      </c>
      <c r="B1145">
        <v>3.915</v>
      </c>
      <c r="C1145">
        <v>3.9260000000000002</v>
      </c>
      <c r="D1145">
        <v>3.8319999999999999</v>
      </c>
      <c r="E1145">
        <v>3.782</v>
      </c>
      <c r="F1145">
        <v>4.0270000000000001</v>
      </c>
      <c r="G1145">
        <v>3.8889999999999998</v>
      </c>
      <c r="H1145">
        <v>3.8330000000000002</v>
      </c>
      <c r="I1145">
        <v>3.851</v>
      </c>
      <c r="J1145">
        <v>31.055</v>
      </c>
      <c r="K1145">
        <v>21.3</v>
      </c>
      <c r="L1145">
        <v>1.173</v>
      </c>
    </row>
    <row r="1146" spans="1:12" x14ac:dyDescent="0.25">
      <c r="A1146">
        <v>223486</v>
      </c>
      <c r="B1146">
        <v>3.915</v>
      </c>
      <c r="C1146">
        <v>3.9260000000000002</v>
      </c>
      <c r="D1146">
        <v>3.8319999999999999</v>
      </c>
      <c r="E1146">
        <v>3.782</v>
      </c>
      <c r="F1146">
        <v>4.0270000000000001</v>
      </c>
      <c r="G1146">
        <v>3.9169999999999998</v>
      </c>
      <c r="H1146">
        <v>3.8039999999999998</v>
      </c>
      <c r="I1146">
        <v>3.851</v>
      </c>
      <c r="J1146">
        <v>31.053999999999998</v>
      </c>
      <c r="K1146">
        <v>21.3</v>
      </c>
      <c r="L1146">
        <v>1.157</v>
      </c>
    </row>
    <row r="1147" spans="1:12" x14ac:dyDescent="0.25">
      <c r="A1147">
        <v>228493</v>
      </c>
      <c r="B1147">
        <v>3.915</v>
      </c>
      <c r="C1147">
        <v>3.9260000000000002</v>
      </c>
      <c r="D1147">
        <v>3.8460000000000001</v>
      </c>
      <c r="E1147">
        <v>3.7669999999999999</v>
      </c>
      <c r="F1147">
        <v>4.0270000000000001</v>
      </c>
      <c r="G1147">
        <v>3.9169999999999998</v>
      </c>
      <c r="H1147">
        <v>3.8370000000000002</v>
      </c>
      <c r="I1147">
        <v>3.8180000000000001</v>
      </c>
      <c r="J1147">
        <v>31.053000000000001</v>
      </c>
      <c r="K1147">
        <v>21.3</v>
      </c>
      <c r="L1147">
        <v>1.173</v>
      </c>
    </row>
    <row r="1148" spans="1:12" x14ac:dyDescent="0.25">
      <c r="A1148">
        <v>233493</v>
      </c>
      <c r="B1148">
        <v>3.915</v>
      </c>
      <c r="C1148">
        <v>3.9260000000000002</v>
      </c>
      <c r="D1148">
        <v>3.8460000000000001</v>
      </c>
      <c r="E1148">
        <v>3.7669999999999999</v>
      </c>
      <c r="F1148">
        <v>4.0540000000000003</v>
      </c>
      <c r="G1148">
        <v>3.89</v>
      </c>
      <c r="H1148">
        <v>3.8370000000000002</v>
      </c>
      <c r="I1148">
        <v>3.8180000000000001</v>
      </c>
      <c r="J1148">
        <v>31.053000000000001</v>
      </c>
      <c r="K1148">
        <v>21.3</v>
      </c>
      <c r="L1148">
        <v>1.1679999999999999</v>
      </c>
    </row>
    <row r="1149" spans="1:12" x14ac:dyDescent="0.25">
      <c r="A1149">
        <v>238540</v>
      </c>
      <c r="B1149">
        <v>3.92</v>
      </c>
      <c r="C1149">
        <v>3.9209999999999998</v>
      </c>
      <c r="D1149">
        <v>3.8460000000000001</v>
      </c>
      <c r="E1149">
        <v>3.7850000000000001</v>
      </c>
      <c r="F1149">
        <v>4.0359999999999996</v>
      </c>
      <c r="G1149">
        <v>3.89</v>
      </c>
      <c r="H1149">
        <v>3.8370000000000002</v>
      </c>
      <c r="I1149">
        <v>3.8180000000000001</v>
      </c>
      <c r="J1149">
        <v>31.053000000000001</v>
      </c>
      <c r="K1149">
        <v>21.3</v>
      </c>
      <c r="L1149">
        <v>1.1719999999999999</v>
      </c>
    </row>
    <row r="1150" spans="1:12" x14ac:dyDescent="0.25">
      <c r="A1150">
        <v>243544</v>
      </c>
      <c r="B1150">
        <v>3.92</v>
      </c>
      <c r="C1150">
        <v>3.9289999999999998</v>
      </c>
      <c r="D1150">
        <v>3.8519999999999999</v>
      </c>
      <c r="E1150">
        <v>3.7709999999999999</v>
      </c>
      <c r="F1150">
        <v>4.0359999999999996</v>
      </c>
      <c r="G1150">
        <v>3.89</v>
      </c>
      <c r="H1150">
        <v>3.8370000000000002</v>
      </c>
      <c r="I1150">
        <v>3.8570000000000002</v>
      </c>
      <c r="J1150">
        <v>31.091999999999999</v>
      </c>
      <c r="K1150">
        <v>21.3</v>
      </c>
      <c r="L1150">
        <v>1.163</v>
      </c>
    </row>
    <row r="1151" spans="1:12" x14ac:dyDescent="0.25">
      <c r="A1151">
        <v>8254</v>
      </c>
      <c r="B1151">
        <v>0</v>
      </c>
      <c r="C1151">
        <v>3.9289999999999998</v>
      </c>
      <c r="D1151">
        <v>3.8519999999999999</v>
      </c>
      <c r="E1151">
        <v>3.7890000000000001</v>
      </c>
      <c r="F1151">
        <v>4.0359999999999996</v>
      </c>
      <c r="G1151">
        <v>3.9180000000000001</v>
      </c>
      <c r="H1151">
        <v>3.8410000000000002</v>
      </c>
      <c r="I1151">
        <v>3.8250000000000002</v>
      </c>
      <c r="J1151">
        <v>27.19</v>
      </c>
      <c r="K1151">
        <v>21.3</v>
      </c>
      <c r="L1151">
        <v>-6.0000000000000001E-3</v>
      </c>
    </row>
    <row r="1152" spans="1:12" x14ac:dyDescent="0.25">
      <c r="A1152">
        <v>13256</v>
      </c>
      <c r="B1152">
        <v>3.9249999999999998</v>
      </c>
      <c r="C1152">
        <v>3.9249999999999998</v>
      </c>
      <c r="D1152">
        <v>3.8519999999999999</v>
      </c>
      <c r="E1152">
        <v>3.7709999999999999</v>
      </c>
      <c r="F1152">
        <v>4.0460000000000003</v>
      </c>
      <c r="G1152">
        <v>3.891</v>
      </c>
      <c r="H1152">
        <v>3.8410000000000002</v>
      </c>
      <c r="I1152">
        <v>3.8250000000000002</v>
      </c>
      <c r="J1152">
        <v>31.076000000000001</v>
      </c>
      <c r="K1152">
        <v>21.3</v>
      </c>
      <c r="L1152">
        <v>-2E-3</v>
      </c>
    </row>
    <row r="1153" spans="1:12" x14ac:dyDescent="0.25">
      <c r="A1153">
        <v>18322</v>
      </c>
      <c r="B1153">
        <v>3.9249999999999998</v>
      </c>
      <c r="C1153">
        <v>3.9249999999999998</v>
      </c>
      <c r="D1153">
        <v>3.8519999999999999</v>
      </c>
      <c r="E1153">
        <v>3.7890000000000001</v>
      </c>
      <c r="F1153">
        <v>4.0460000000000003</v>
      </c>
      <c r="G1153">
        <v>3.891</v>
      </c>
      <c r="H1153">
        <v>3.8410000000000002</v>
      </c>
      <c r="I1153">
        <v>3.8250000000000002</v>
      </c>
      <c r="J1153">
        <v>31.094000000000001</v>
      </c>
      <c r="K1153">
        <v>21.3</v>
      </c>
      <c r="L1153">
        <v>-1.7000000000000001E-2</v>
      </c>
    </row>
    <row r="1154" spans="1:12" x14ac:dyDescent="0.25">
      <c r="A1154">
        <v>23326</v>
      </c>
      <c r="B1154">
        <v>3.9249999999999998</v>
      </c>
      <c r="C1154">
        <v>3.9329999999999998</v>
      </c>
      <c r="D1154">
        <v>3.843</v>
      </c>
      <c r="E1154">
        <v>3.7709999999999999</v>
      </c>
      <c r="F1154">
        <v>4.0460000000000003</v>
      </c>
      <c r="G1154">
        <v>3.891</v>
      </c>
      <c r="H1154">
        <v>3.8410000000000002</v>
      </c>
      <c r="I1154">
        <v>3.8250000000000002</v>
      </c>
      <c r="J1154">
        <v>31.074999999999999</v>
      </c>
      <c r="K1154">
        <v>21.3</v>
      </c>
      <c r="L1154">
        <v>4.0000000000000001E-3</v>
      </c>
    </row>
    <row r="1155" spans="1:12" x14ac:dyDescent="0.25">
      <c r="A1155">
        <v>28333</v>
      </c>
      <c r="B1155">
        <v>3.9249999999999998</v>
      </c>
      <c r="C1155">
        <v>3.9329999999999998</v>
      </c>
      <c r="D1155">
        <v>3.843</v>
      </c>
      <c r="E1155">
        <v>3.7890000000000001</v>
      </c>
      <c r="F1155">
        <v>4.0460000000000003</v>
      </c>
      <c r="G1155">
        <v>3.891</v>
      </c>
      <c r="H1155">
        <v>3.8410000000000002</v>
      </c>
      <c r="I1155">
        <v>3.8639999999999999</v>
      </c>
      <c r="J1155">
        <v>31.132000000000001</v>
      </c>
      <c r="K1155">
        <v>21.3</v>
      </c>
      <c r="L1155">
        <v>7.0000000000000001E-3</v>
      </c>
    </row>
    <row r="1156" spans="1:12" x14ac:dyDescent="0.25">
      <c r="A1156">
        <v>33339</v>
      </c>
      <c r="B1156">
        <v>3.9249999999999998</v>
      </c>
      <c r="C1156">
        <v>3.9329999999999998</v>
      </c>
      <c r="D1156">
        <v>3.843</v>
      </c>
      <c r="E1156">
        <v>3.7890000000000001</v>
      </c>
      <c r="F1156">
        <v>4.0460000000000003</v>
      </c>
      <c r="G1156">
        <v>3.919</v>
      </c>
      <c r="H1156">
        <v>3.8130000000000002</v>
      </c>
      <c r="I1156">
        <v>3.8639999999999999</v>
      </c>
      <c r="J1156">
        <v>31.132000000000001</v>
      </c>
      <c r="K1156">
        <v>21.3</v>
      </c>
      <c r="L1156">
        <v>2E-3</v>
      </c>
    </row>
    <row r="1157" spans="1:12" x14ac:dyDescent="0.25">
      <c r="A1157">
        <v>38341</v>
      </c>
      <c r="B1157">
        <v>3.9249999999999998</v>
      </c>
      <c r="C1157">
        <v>3.9329999999999998</v>
      </c>
      <c r="D1157">
        <v>3.843</v>
      </c>
      <c r="E1157">
        <v>3.7890000000000001</v>
      </c>
      <c r="F1157">
        <v>4.0069999999999997</v>
      </c>
      <c r="G1157">
        <v>3.8849999999999998</v>
      </c>
      <c r="H1157">
        <v>3.8170000000000002</v>
      </c>
      <c r="I1157">
        <v>3.7869999999999999</v>
      </c>
      <c r="J1157">
        <v>30.986000000000001</v>
      </c>
      <c r="K1157">
        <v>21.3</v>
      </c>
      <c r="L1157">
        <v>-0.503</v>
      </c>
    </row>
    <row r="1158" spans="1:12" x14ac:dyDescent="0.25">
      <c r="A1158">
        <v>43342</v>
      </c>
      <c r="B1158">
        <v>3.871</v>
      </c>
      <c r="C1158">
        <v>3.8719999999999999</v>
      </c>
      <c r="D1158">
        <v>3.798</v>
      </c>
      <c r="E1158">
        <v>3.734</v>
      </c>
      <c r="F1158">
        <v>4.0019999999999998</v>
      </c>
      <c r="G1158">
        <v>3.82</v>
      </c>
      <c r="H1158">
        <v>3.7759999999999998</v>
      </c>
      <c r="I1158">
        <v>3.762</v>
      </c>
      <c r="J1158">
        <v>30.635000000000002</v>
      </c>
      <c r="K1158">
        <v>21.3</v>
      </c>
      <c r="L1158">
        <v>-1.1259999999999999</v>
      </c>
    </row>
    <row r="1159" spans="1:12" x14ac:dyDescent="0.25">
      <c r="A1159">
        <v>48394</v>
      </c>
      <c r="B1159">
        <v>3.8610000000000002</v>
      </c>
      <c r="C1159">
        <v>3.8559999999999999</v>
      </c>
      <c r="D1159">
        <v>3.7949999999999999</v>
      </c>
      <c r="E1159">
        <v>3.7269999999999999</v>
      </c>
      <c r="F1159">
        <v>3.9830000000000001</v>
      </c>
      <c r="G1159">
        <v>3.8180000000000001</v>
      </c>
      <c r="H1159">
        <v>3.7669999999999999</v>
      </c>
      <c r="I1159">
        <v>3.7490000000000001</v>
      </c>
      <c r="J1159">
        <v>30.556000000000001</v>
      </c>
      <c r="K1159">
        <v>21.3</v>
      </c>
      <c r="L1159">
        <v>-1.22</v>
      </c>
    </row>
    <row r="1160" spans="1:12" x14ac:dyDescent="0.25">
      <c r="A1160">
        <v>53405</v>
      </c>
      <c r="B1160">
        <v>3.8610000000000002</v>
      </c>
      <c r="C1160">
        <v>3.8559999999999999</v>
      </c>
      <c r="D1160">
        <v>3.7949999999999999</v>
      </c>
      <c r="E1160">
        <v>3.7269999999999999</v>
      </c>
      <c r="F1160">
        <v>4.0010000000000003</v>
      </c>
      <c r="G1160">
        <v>3.8180000000000001</v>
      </c>
      <c r="H1160">
        <v>3.7669999999999999</v>
      </c>
      <c r="I1160">
        <v>3.71</v>
      </c>
      <c r="J1160">
        <v>30.535</v>
      </c>
      <c r="K1160">
        <v>21.3</v>
      </c>
      <c r="L1160">
        <v>-1.2070000000000001</v>
      </c>
    </row>
    <row r="1161" spans="1:12" x14ac:dyDescent="0.25">
      <c r="A1161">
        <v>58412</v>
      </c>
      <c r="B1161">
        <v>3.8559999999999999</v>
      </c>
      <c r="C1161">
        <v>3.8519999999999999</v>
      </c>
      <c r="D1161">
        <v>3.79</v>
      </c>
      <c r="E1161">
        <v>3.7240000000000002</v>
      </c>
      <c r="F1161">
        <v>3.9729999999999999</v>
      </c>
      <c r="G1161">
        <v>3.8170000000000002</v>
      </c>
      <c r="H1161">
        <v>3.7629999999999999</v>
      </c>
      <c r="I1161">
        <v>3.7429999999999999</v>
      </c>
      <c r="J1161">
        <v>30.518000000000001</v>
      </c>
      <c r="K1161">
        <v>21.4</v>
      </c>
      <c r="L1161">
        <v>-1.1890000000000001</v>
      </c>
    </row>
    <row r="1162" spans="1:12" x14ac:dyDescent="0.25">
      <c r="A1162">
        <v>63412</v>
      </c>
      <c r="B1162">
        <v>3.8559999999999999</v>
      </c>
      <c r="C1162">
        <v>3.8519999999999999</v>
      </c>
      <c r="D1162">
        <v>3.79</v>
      </c>
      <c r="E1162">
        <v>3.7240000000000002</v>
      </c>
      <c r="F1162">
        <v>3.9910000000000001</v>
      </c>
      <c r="G1162">
        <v>3.8170000000000002</v>
      </c>
      <c r="H1162">
        <v>3.7309999999999999</v>
      </c>
      <c r="I1162">
        <v>3.7370000000000001</v>
      </c>
      <c r="J1162">
        <v>30.498000000000001</v>
      </c>
      <c r="K1162">
        <v>21.4</v>
      </c>
      <c r="L1162">
        <v>-1.2150000000000001</v>
      </c>
    </row>
    <row r="1163" spans="1:12" x14ac:dyDescent="0.25">
      <c r="A1163">
        <v>68416</v>
      </c>
      <c r="B1163">
        <v>3.851</v>
      </c>
      <c r="C1163">
        <v>3.8479999999999999</v>
      </c>
      <c r="D1163">
        <v>3.798</v>
      </c>
      <c r="E1163">
        <v>3.706</v>
      </c>
      <c r="F1163">
        <v>3.964</v>
      </c>
      <c r="G1163">
        <v>3.8159999999999998</v>
      </c>
      <c r="H1163">
        <v>3.7589999999999999</v>
      </c>
      <c r="I1163">
        <v>3.7370000000000001</v>
      </c>
      <c r="J1163">
        <v>30.478999999999999</v>
      </c>
      <c r="K1163">
        <v>21.4</v>
      </c>
      <c r="L1163">
        <v>-1.24</v>
      </c>
    </row>
    <row r="1164" spans="1:12" x14ac:dyDescent="0.25">
      <c r="A1164">
        <v>73422</v>
      </c>
      <c r="B1164">
        <v>3.851</v>
      </c>
      <c r="C1164">
        <v>3.8479999999999999</v>
      </c>
      <c r="D1164">
        <v>3.7839999999999998</v>
      </c>
      <c r="E1164">
        <v>3.7210000000000001</v>
      </c>
      <c r="F1164">
        <v>3.964</v>
      </c>
      <c r="G1164">
        <v>3.8159999999999998</v>
      </c>
      <c r="H1164">
        <v>3.7589999999999999</v>
      </c>
      <c r="I1164">
        <v>3.698</v>
      </c>
      <c r="J1164">
        <v>30.440999999999999</v>
      </c>
      <c r="K1164">
        <v>21.4</v>
      </c>
      <c r="L1164">
        <v>-1.228</v>
      </c>
    </row>
    <row r="1165" spans="1:12" x14ac:dyDescent="0.25">
      <c r="A1165">
        <v>78463</v>
      </c>
      <c r="B1165">
        <v>3.851</v>
      </c>
      <c r="C1165">
        <v>3.8479999999999999</v>
      </c>
      <c r="D1165">
        <v>3.7839999999999998</v>
      </c>
      <c r="E1165">
        <v>3.7029999999999998</v>
      </c>
      <c r="F1165">
        <v>3.9820000000000002</v>
      </c>
      <c r="G1165">
        <v>3.7869999999999999</v>
      </c>
      <c r="H1165">
        <v>3.7549999999999999</v>
      </c>
      <c r="I1165">
        <v>3.73</v>
      </c>
      <c r="J1165">
        <v>30.44</v>
      </c>
      <c r="K1165">
        <v>21.3</v>
      </c>
      <c r="L1165">
        <v>-1.22</v>
      </c>
    </row>
    <row r="1166" spans="1:12" x14ac:dyDescent="0.25">
      <c r="A1166">
        <v>83474</v>
      </c>
      <c r="B1166">
        <v>3.851</v>
      </c>
      <c r="C1166">
        <v>3.839</v>
      </c>
      <c r="D1166">
        <v>3.7930000000000001</v>
      </c>
      <c r="E1166">
        <v>3.7029999999999998</v>
      </c>
      <c r="F1166">
        <v>3.9820000000000002</v>
      </c>
      <c r="G1166">
        <v>3.8159999999999998</v>
      </c>
      <c r="H1166">
        <v>3.7269999999999999</v>
      </c>
      <c r="I1166">
        <v>3.73</v>
      </c>
      <c r="J1166">
        <v>30.440999999999999</v>
      </c>
      <c r="K1166">
        <v>21.3</v>
      </c>
      <c r="L1166">
        <v>-1.2490000000000001</v>
      </c>
    </row>
    <row r="1167" spans="1:12" x14ac:dyDescent="0.25">
      <c r="A1167">
        <v>88476</v>
      </c>
      <c r="B1167">
        <v>3.847</v>
      </c>
      <c r="C1167">
        <v>3.8439999999999999</v>
      </c>
      <c r="D1167">
        <v>3.778</v>
      </c>
      <c r="E1167">
        <v>3.7170000000000001</v>
      </c>
      <c r="F1167">
        <v>4</v>
      </c>
      <c r="G1167">
        <v>3.7869999999999999</v>
      </c>
      <c r="H1167">
        <v>3.7549999999999999</v>
      </c>
      <c r="I1167">
        <v>3.6909999999999998</v>
      </c>
      <c r="J1167">
        <v>30.419</v>
      </c>
      <c r="K1167">
        <v>21.4</v>
      </c>
      <c r="L1167">
        <v>-1.2</v>
      </c>
    </row>
    <row r="1168" spans="1:12" x14ac:dyDescent="0.25">
      <c r="A1168">
        <v>93482</v>
      </c>
      <c r="B1168">
        <v>3.847</v>
      </c>
      <c r="C1168">
        <v>3.835</v>
      </c>
      <c r="D1168">
        <v>3.7869999999999999</v>
      </c>
      <c r="E1168">
        <v>3.7170000000000001</v>
      </c>
      <c r="F1168">
        <v>3.972</v>
      </c>
      <c r="G1168">
        <v>3.8149999999999999</v>
      </c>
      <c r="H1168">
        <v>3.722</v>
      </c>
      <c r="I1168">
        <v>3.7240000000000002</v>
      </c>
      <c r="J1168">
        <v>30.419</v>
      </c>
      <c r="K1168">
        <v>21.4</v>
      </c>
      <c r="L1168">
        <v>-1.2310000000000001</v>
      </c>
    </row>
    <row r="1169" spans="1:12" x14ac:dyDescent="0.25">
      <c r="A1169">
        <v>98489</v>
      </c>
      <c r="B1169">
        <v>3.8420000000000001</v>
      </c>
      <c r="C1169">
        <v>3.8490000000000002</v>
      </c>
      <c r="D1169">
        <v>3.778</v>
      </c>
      <c r="E1169">
        <v>3.7</v>
      </c>
      <c r="F1169">
        <v>3.972</v>
      </c>
      <c r="G1169">
        <v>3.786</v>
      </c>
      <c r="H1169">
        <v>3.7509999999999999</v>
      </c>
      <c r="I1169">
        <v>3.7240000000000002</v>
      </c>
      <c r="J1169">
        <v>30.402000000000001</v>
      </c>
      <c r="K1169">
        <v>21.3</v>
      </c>
      <c r="L1169">
        <v>-1.228</v>
      </c>
    </row>
    <row r="1170" spans="1:12" x14ac:dyDescent="0.25">
      <c r="A1170">
        <v>103491</v>
      </c>
      <c r="B1170">
        <v>3.8420000000000001</v>
      </c>
      <c r="C1170">
        <v>3.84</v>
      </c>
      <c r="D1170">
        <v>3.7869999999999999</v>
      </c>
      <c r="E1170">
        <v>3.7</v>
      </c>
      <c r="F1170">
        <v>3.972</v>
      </c>
      <c r="G1170">
        <v>3.786</v>
      </c>
      <c r="H1170">
        <v>3.7509999999999999</v>
      </c>
      <c r="I1170">
        <v>3.7240000000000002</v>
      </c>
      <c r="J1170">
        <v>30.402000000000001</v>
      </c>
      <c r="K1170">
        <v>21.4</v>
      </c>
      <c r="L1170">
        <v>-1.2150000000000001</v>
      </c>
    </row>
    <row r="1171" spans="1:12" x14ac:dyDescent="0.25">
      <c r="A1171">
        <v>108492</v>
      </c>
      <c r="B1171">
        <v>3.8420000000000001</v>
      </c>
      <c r="C1171">
        <v>3.84</v>
      </c>
      <c r="D1171">
        <v>3.7869999999999999</v>
      </c>
      <c r="E1171">
        <v>3.7</v>
      </c>
      <c r="F1171">
        <v>3.972</v>
      </c>
      <c r="G1171">
        <v>3.786</v>
      </c>
      <c r="H1171">
        <v>3.7509999999999999</v>
      </c>
      <c r="I1171">
        <v>3.6850000000000001</v>
      </c>
      <c r="J1171">
        <v>30.363</v>
      </c>
      <c r="K1171">
        <v>21.4</v>
      </c>
      <c r="L1171">
        <v>-1.2070000000000001</v>
      </c>
    </row>
    <row r="1172" spans="1:12" x14ac:dyDescent="0.25">
      <c r="A1172">
        <v>113498</v>
      </c>
      <c r="B1172">
        <v>3.8420000000000001</v>
      </c>
      <c r="C1172">
        <v>3.84</v>
      </c>
      <c r="D1172">
        <v>3.7719999999999998</v>
      </c>
      <c r="E1172">
        <v>3.714</v>
      </c>
      <c r="F1172">
        <v>3.99</v>
      </c>
      <c r="G1172">
        <v>3.786</v>
      </c>
      <c r="H1172">
        <v>3.7509999999999999</v>
      </c>
      <c r="I1172">
        <v>3.6850000000000001</v>
      </c>
      <c r="J1172">
        <v>30.38</v>
      </c>
      <c r="K1172">
        <v>21.4</v>
      </c>
      <c r="L1172">
        <v>-1.228</v>
      </c>
    </row>
    <row r="1173" spans="1:12" x14ac:dyDescent="0.25">
      <c r="A1173">
        <v>118501</v>
      </c>
      <c r="B1173">
        <v>3.8420000000000001</v>
      </c>
      <c r="C1173">
        <v>3.84</v>
      </c>
      <c r="D1173">
        <v>3.7719999999999998</v>
      </c>
      <c r="E1173">
        <v>3.6960000000000002</v>
      </c>
      <c r="F1173">
        <v>3.9630000000000001</v>
      </c>
      <c r="G1173">
        <v>3.8140000000000001</v>
      </c>
      <c r="H1173">
        <v>3.718</v>
      </c>
      <c r="I1173">
        <v>3.718</v>
      </c>
      <c r="J1173">
        <v>30.363</v>
      </c>
      <c r="K1173">
        <v>21.4</v>
      </c>
      <c r="L1173">
        <v>-1.159</v>
      </c>
    </row>
    <row r="1174" spans="1:12" x14ac:dyDescent="0.25">
      <c r="A1174">
        <v>123502</v>
      </c>
      <c r="B1174">
        <v>3.8420000000000001</v>
      </c>
      <c r="C1174">
        <v>3.831</v>
      </c>
      <c r="D1174">
        <v>3.7810000000000001</v>
      </c>
      <c r="E1174">
        <v>3.6960000000000002</v>
      </c>
      <c r="F1174">
        <v>3.9630000000000001</v>
      </c>
      <c r="G1174">
        <v>3.7850000000000001</v>
      </c>
      <c r="H1174">
        <v>3.7469999999999999</v>
      </c>
      <c r="I1174">
        <v>3.718</v>
      </c>
      <c r="J1174">
        <v>30.363</v>
      </c>
      <c r="K1174">
        <v>21.4</v>
      </c>
      <c r="L1174">
        <v>-1.212</v>
      </c>
    </row>
    <row r="1175" spans="1:12" x14ac:dyDescent="0.25">
      <c r="A1175">
        <v>128533</v>
      </c>
      <c r="B1175">
        <v>3.8420000000000001</v>
      </c>
      <c r="C1175">
        <v>3.831</v>
      </c>
      <c r="D1175">
        <v>3.7810000000000001</v>
      </c>
      <c r="E1175">
        <v>3.6960000000000002</v>
      </c>
      <c r="F1175">
        <v>3.9630000000000001</v>
      </c>
      <c r="G1175">
        <v>3.7850000000000001</v>
      </c>
      <c r="H1175">
        <v>3.7469999999999999</v>
      </c>
      <c r="I1175">
        <v>3.718</v>
      </c>
      <c r="J1175">
        <v>30.363</v>
      </c>
      <c r="K1175">
        <v>21.4</v>
      </c>
      <c r="L1175">
        <v>-1.2370000000000001</v>
      </c>
    </row>
    <row r="1176" spans="1:12" x14ac:dyDescent="0.25">
      <c r="A1176">
        <v>133546</v>
      </c>
      <c r="B1176">
        <v>3.8370000000000002</v>
      </c>
      <c r="C1176">
        <v>3.8359999999999999</v>
      </c>
      <c r="D1176">
        <v>3.7810000000000001</v>
      </c>
      <c r="E1176">
        <v>3.6960000000000002</v>
      </c>
      <c r="F1176">
        <v>3.9630000000000001</v>
      </c>
      <c r="G1176">
        <v>3.7850000000000001</v>
      </c>
      <c r="H1176">
        <v>3.7469999999999999</v>
      </c>
      <c r="I1176">
        <v>3.718</v>
      </c>
      <c r="J1176">
        <v>30.363</v>
      </c>
      <c r="K1176">
        <v>21.4</v>
      </c>
      <c r="L1176">
        <v>-1.248</v>
      </c>
    </row>
    <row r="1177" spans="1:12" x14ac:dyDescent="0.25">
      <c r="A1177">
        <v>138555</v>
      </c>
      <c r="B1177">
        <v>3.8370000000000002</v>
      </c>
      <c r="C1177">
        <v>3.8359999999999999</v>
      </c>
      <c r="D1177">
        <v>3.7810000000000001</v>
      </c>
      <c r="E1177">
        <v>3.6960000000000002</v>
      </c>
      <c r="F1177">
        <v>3.9630000000000001</v>
      </c>
      <c r="G1177">
        <v>3.7850000000000001</v>
      </c>
      <c r="H1177">
        <v>3.7469999999999999</v>
      </c>
      <c r="I1177">
        <v>3.6789999999999998</v>
      </c>
      <c r="J1177">
        <v>30.324000000000002</v>
      </c>
      <c r="K1177">
        <v>21.4</v>
      </c>
      <c r="L1177">
        <v>-1.214</v>
      </c>
    </row>
    <row r="1178" spans="1:12" x14ac:dyDescent="0.25">
      <c r="A1178">
        <v>143561</v>
      </c>
      <c r="B1178">
        <v>3.8370000000000002</v>
      </c>
      <c r="C1178">
        <v>3.8359999999999999</v>
      </c>
      <c r="D1178">
        <v>3.7669999999999999</v>
      </c>
      <c r="E1178">
        <v>3.7109999999999999</v>
      </c>
      <c r="F1178">
        <v>3.9529999999999998</v>
      </c>
      <c r="G1178">
        <v>3.8130000000000002</v>
      </c>
      <c r="H1178">
        <v>3.7469999999999999</v>
      </c>
      <c r="I1178">
        <v>3.6789999999999998</v>
      </c>
      <c r="J1178">
        <v>30.343</v>
      </c>
      <c r="K1178">
        <v>21.4</v>
      </c>
      <c r="L1178">
        <v>-1.2210000000000001</v>
      </c>
    </row>
    <row r="1179" spans="1:12" x14ac:dyDescent="0.25">
      <c r="A1179">
        <v>148568</v>
      </c>
      <c r="B1179">
        <v>3.8370000000000002</v>
      </c>
      <c r="C1179">
        <v>3.827</v>
      </c>
      <c r="D1179">
        <v>3.7759999999999998</v>
      </c>
      <c r="E1179">
        <v>3.6930000000000001</v>
      </c>
      <c r="F1179">
        <v>3.9529999999999998</v>
      </c>
      <c r="G1179">
        <v>3.7839999999999998</v>
      </c>
      <c r="H1179">
        <v>3.7429999999999999</v>
      </c>
      <c r="I1179">
        <v>3.7109999999999999</v>
      </c>
      <c r="J1179">
        <v>30.324000000000002</v>
      </c>
      <c r="K1179">
        <v>21.4</v>
      </c>
      <c r="L1179">
        <v>-1.204</v>
      </c>
    </row>
    <row r="1180" spans="1:12" x14ac:dyDescent="0.25">
      <c r="A1180">
        <v>153569</v>
      </c>
      <c r="B1180">
        <v>3.8370000000000002</v>
      </c>
      <c r="C1180">
        <v>3.827</v>
      </c>
      <c r="D1180">
        <v>3.7759999999999998</v>
      </c>
      <c r="E1180">
        <v>3.6930000000000001</v>
      </c>
      <c r="F1180">
        <v>3.9529999999999998</v>
      </c>
      <c r="G1180">
        <v>3.7839999999999998</v>
      </c>
      <c r="H1180">
        <v>3.7429999999999999</v>
      </c>
      <c r="I1180">
        <v>3.7109999999999999</v>
      </c>
      <c r="J1180">
        <v>30.324000000000002</v>
      </c>
      <c r="K1180">
        <v>21.4</v>
      </c>
      <c r="L1180">
        <v>-1.2110000000000001</v>
      </c>
    </row>
    <row r="1181" spans="1:12" x14ac:dyDescent="0.25">
      <c r="A1181">
        <v>158595</v>
      </c>
      <c r="B1181">
        <v>3.8319999999999999</v>
      </c>
      <c r="C1181">
        <v>3.8319999999999999</v>
      </c>
      <c r="D1181">
        <v>3.7759999999999998</v>
      </c>
      <c r="E1181">
        <v>3.6930000000000001</v>
      </c>
      <c r="F1181">
        <v>3.9529999999999998</v>
      </c>
      <c r="G1181">
        <v>3.7839999999999998</v>
      </c>
      <c r="H1181">
        <v>3.7429999999999999</v>
      </c>
      <c r="I1181">
        <v>3.7109999999999999</v>
      </c>
      <c r="J1181">
        <v>30.324000000000002</v>
      </c>
      <c r="K1181">
        <v>21.4</v>
      </c>
      <c r="L1181">
        <v>-1.2070000000000001</v>
      </c>
    </row>
    <row r="1182" spans="1:12" x14ac:dyDescent="0.25">
      <c r="A1182">
        <v>163600</v>
      </c>
      <c r="B1182">
        <v>3.8319999999999999</v>
      </c>
      <c r="C1182">
        <v>3.823</v>
      </c>
      <c r="D1182">
        <v>3.77</v>
      </c>
      <c r="E1182">
        <v>3.69</v>
      </c>
      <c r="F1182">
        <v>3.9620000000000002</v>
      </c>
      <c r="G1182">
        <v>3.7829999999999999</v>
      </c>
      <c r="H1182">
        <v>3.7389999999999999</v>
      </c>
      <c r="I1182">
        <v>3.7050000000000001</v>
      </c>
      <c r="J1182">
        <v>30.303999999999998</v>
      </c>
      <c r="K1182">
        <v>21.4</v>
      </c>
      <c r="L1182">
        <v>-1.3320000000000001</v>
      </c>
    </row>
    <row r="1183" spans="1:12" x14ac:dyDescent="0.25">
      <c r="A1183">
        <v>168606</v>
      </c>
      <c r="B1183">
        <v>3.8370000000000002</v>
      </c>
      <c r="C1183">
        <v>3.827</v>
      </c>
      <c r="D1183">
        <v>3.7759999999999998</v>
      </c>
      <c r="E1183">
        <v>3.6930000000000001</v>
      </c>
      <c r="F1183">
        <v>3.9529999999999998</v>
      </c>
      <c r="G1183">
        <v>3.7839999999999998</v>
      </c>
      <c r="H1183">
        <v>3.7429999999999999</v>
      </c>
      <c r="I1183">
        <v>3.7109999999999999</v>
      </c>
      <c r="J1183">
        <v>30.324000000000002</v>
      </c>
      <c r="K1183">
        <v>21.4</v>
      </c>
      <c r="L1183">
        <v>-1.2030000000000001</v>
      </c>
    </row>
    <row r="1184" spans="1:12" x14ac:dyDescent="0.25">
      <c r="A1184">
        <v>173612</v>
      </c>
      <c r="B1184">
        <v>3.8319999999999999</v>
      </c>
      <c r="C1184">
        <v>3.8319999999999999</v>
      </c>
      <c r="D1184">
        <v>3.7759999999999998</v>
      </c>
      <c r="E1184">
        <v>3.6930000000000001</v>
      </c>
      <c r="F1184">
        <v>3.9529999999999998</v>
      </c>
      <c r="G1184">
        <v>3.7839999999999998</v>
      </c>
      <c r="H1184">
        <v>3.7429999999999999</v>
      </c>
      <c r="I1184">
        <v>3.7109999999999999</v>
      </c>
      <c r="J1184">
        <v>30.324000000000002</v>
      </c>
      <c r="K1184">
        <v>21.4</v>
      </c>
      <c r="L1184">
        <v>-1.21</v>
      </c>
    </row>
    <row r="1185" spans="1:12" x14ac:dyDescent="0.25">
      <c r="A1185">
        <v>178619</v>
      </c>
      <c r="B1185">
        <v>3.8319999999999999</v>
      </c>
      <c r="C1185">
        <v>3.8319999999999999</v>
      </c>
      <c r="D1185">
        <v>3.7759999999999998</v>
      </c>
      <c r="E1185">
        <v>3.6930000000000001</v>
      </c>
      <c r="F1185">
        <v>3.9529999999999998</v>
      </c>
      <c r="G1185">
        <v>3.7839999999999998</v>
      </c>
      <c r="H1185">
        <v>3.7429999999999999</v>
      </c>
      <c r="I1185">
        <v>3.7109999999999999</v>
      </c>
      <c r="J1185">
        <v>30.324000000000002</v>
      </c>
      <c r="K1185">
        <v>21.4</v>
      </c>
      <c r="L1185">
        <v>-1.2</v>
      </c>
    </row>
    <row r="1186" spans="1:12" x14ac:dyDescent="0.25">
      <c r="A1186">
        <v>183619</v>
      </c>
      <c r="B1186">
        <v>3.8319999999999999</v>
      </c>
      <c r="C1186">
        <v>3.8319999999999999</v>
      </c>
      <c r="D1186">
        <v>3.7610000000000001</v>
      </c>
      <c r="E1186">
        <v>3.7069999999999999</v>
      </c>
      <c r="F1186">
        <v>3.9710000000000001</v>
      </c>
      <c r="G1186">
        <v>3.7839999999999998</v>
      </c>
      <c r="H1186">
        <v>3.7429999999999999</v>
      </c>
      <c r="I1186">
        <v>3.6720000000000002</v>
      </c>
      <c r="J1186">
        <v>30.302</v>
      </c>
      <c r="K1186">
        <v>21.4</v>
      </c>
      <c r="L1186">
        <v>-1.1870000000000001</v>
      </c>
    </row>
    <row r="1187" spans="1:12" x14ac:dyDescent="0.25">
      <c r="A1187">
        <v>188666</v>
      </c>
      <c r="B1187">
        <v>3.8319999999999999</v>
      </c>
      <c r="C1187">
        <v>3.8319999999999999</v>
      </c>
      <c r="D1187">
        <v>3.7610000000000001</v>
      </c>
      <c r="E1187">
        <v>3.7069999999999999</v>
      </c>
      <c r="F1187">
        <v>3.9529999999999998</v>
      </c>
      <c r="G1187">
        <v>3.7839999999999998</v>
      </c>
      <c r="H1187">
        <v>3.7429999999999999</v>
      </c>
      <c r="I1187">
        <v>3.7109999999999999</v>
      </c>
      <c r="J1187">
        <v>30.323</v>
      </c>
      <c r="K1187">
        <v>21.4</v>
      </c>
      <c r="L1187">
        <v>-1.1919999999999999</v>
      </c>
    </row>
    <row r="1188" spans="1:12" x14ac:dyDescent="0.25">
      <c r="A1188">
        <v>193672</v>
      </c>
      <c r="B1188">
        <v>3.8319999999999999</v>
      </c>
      <c r="C1188">
        <v>3.823</v>
      </c>
      <c r="D1188">
        <v>3.77</v>
      </c>
      <c r="E1188">
        <v>3.69</v>
      </c>
      <c r="F1188">
        <v>3.944</v>
      </c>
      <c r="G1188">
        <v>3.8119999999999998</v>
      </c>
      <c r="H1188">
        <v>3.7429999999999999</v>
      </c>
      <c r="I1188">
        <v>3.6720000000000002</v>
      </c>
      <c r="J1188">
        <v>30.286000000000001</v>
      </c>
      <c r="K1188">
        <v>21.4</v>
      </c>
      <c r="L1188">
        <v>-1.196</v>
      </c>
    </row>
    <row r="1189" spans="1:12" x14ac:dyDescent="0.25">
      <c r="A1189">
        <v>198679</v>
      </c>
      <c r="B1189">
        <v>3.8319999999999999</v>
      </c>
      <c r="C1189">
        <v>3.823</v>
      </c>
      <c r="D1189">
        <v>3.77</v>
      </c>
      <c r="E1189">
        <v>3.7069999999999999</v>
      </c>
      <c r="F1189">
        <v>3.944</v>
      </c>
      <c r="G1189">
        <v>3.7829999999999999</v>
      </c>
      <c r="H1189">
        <v>3.7389999999999999</v>
      </c>
      <c r="I1189">
        <v>3.7050000000000001</v>
      </c>
      <c r="J1189">
        <v>30.303000000000001</v>
      </c>
      <c r="K1189">
        <v>21.4</v>
      </c>
      <c r="L1189">
        <v>-1.2</v>
      </c>
    </row>
    <row r="1190" spans="1:12" x14ac:dyDescent="0.25">
      <c r="A1190">
        <v>203686</v>
      </c>
      <c r="B1190">
        <v>3.8319999999999999</v>
      </c>
      <c r="C1190">
        <v>3.823</v>
      </c>
      <c r="D1190">
        <v>3.77</v>
      </c>
      <c r="E1190">
        <v>3.69</v>
      </c>
      <c r="F1190">
        <v>3.944</v>
      </c>
      <c r="G1190">
        <v>3.8119999999999998</v>
      </c>
      <c r="H1190">
        <v>3.7429999999999999</v>
      </c>
      <c r="I1190">
        <v>3.6720000000000002</v>
      </c>
      <c r="J1190">
        <v>30.286000000000001</v>
      </c>
      <c r="K1190">
        <v>21.4</v>
      </c>
      <c r="L1190">
        <v>-1.202</v>
      </c>
    </row>
    <row r="1191" spans="1:12" x14ac:dyDescent="0.25">
      <c r="A1191">
        <v>208692</v>
      </c>
      <c r="B1191">
        <v>3.8319999999999999</v>
      </c>
      <c r="C1191">
        <v>3.823</v>
      </c>
      <c r="D1191">
        <v>3.77</v>
      </c>
      <c r="E1191">
        <v>3.69</v>
      </c>
      <c r="F1191">
        <v>3.944</v>
      </c>
      <c r="G1191">
        <v>3.8119999999999998</v>
      </c>
      <c r="H1191">
        <v>3.71</v>
      </c>
      <c r="I1191">
        <v>3.7050000000000001</v>
      </c>
      <c r="J1191">
        <v>30.286000000000001</v>
      </c>
      <c r="K1191">
        <v>21.4</v>
      </c>
      <c r="L1191">
        <v>-1.1890000000000001</v>
      </c>
    </row>
    <row r="1192" spans="1:12" x14ac:dyDescent="0.25">
      <c r="A1192">
        <v>213692</v>
      </c>
      <c r="B1192">
        <v>3.827</v>
      </c>
      <c r="C1192">
        <v>3.8279999999999998</v>
      </c>
      <c r="D1192">
        <v>3.77</v>
      </c>
      <c r="E1192">
        <v>3.69</v>
      </c>
      <c r="F1192">
        <v>3.9620000000000002</v>
      </c>
      <c r="G1192">
        <v>3.7829999999999999</v>
      </c>
      <c r="H1192">
        <v>3.7389999999999999</v>
      </c>
      <c r="I1192">
        <v>3.6659999999999999</v>
      </c>
      <c r="J1192">
        <v>30.265000000000001</v>
      </c>
      <c r="K1192">
        <v>21.4</v>
      </c>
      <c r="L1192">
        <v>-1.2310000000000001</v>
      </c>
    </row>
    <row r="1193" spans="1:12" x14ac:dyDescent="0.25">
      <c r="A1193">
        <v>218739</v>
      </c>
      <c r="B1193">
        <v>3.827</v>
      </c>
      <c r="C1193">
        <v>3.819</v>
      </c>
      <c r="D1193">
        <v>3.7789999999999999</v>
      </c>
      <c r="E1193">
        <v>3.69</v>
      </c>
      <c r="F1193">
        <v>3.9620000000000002</v>
      </c>
      <c r="G1193">
        <v>3.7829999999999999</v>
      </c>
      <c r="H1193">
        <v>3.7389999999999999</v>
      </c>
      <c r="I1193">
        <v>3.6659999999999999</v>
      </c>
      <c r="J1193">
        <v>30.265000000000001</v>
      </c>
      <c r="K1193">
        <v>21.4</v>
      </c>
      <c r="L1193">
        <v>-1.236</v>
      </c>
    </row>
    <row r="1194" spans="1:12" x14ac:dyDescent="0.25">
      <c r="A1194">
        <v>223744</v>
      </c>
      <c r="B1194">
        <v>3.827</v>
      </c>
      <c r="C1194">
        <v>3.819</v>
      </c>
      <c r="D1194">
        <v>3.7789999999999999</v>
      </c>
      <c r="E1194">
        <v>3.69</v>
      </c>
      <c r="F1194">
        <v>3.9620000000000002</v>
      </c>
      <c r="G1194">
        <v>3.7829999999999999</v>
      </c>
      <c r="H1194">
        <v>3.7389999999999999</v>
      </c>
      <c r="I1194">
        <v>3.6659999999999999</v>
      </c>
      <c r="J1194">
        <v>30.265000000000001</v>
      </c>
      <c r="K1194">
        <v>21.4</v>
      </c>
      <c r="L1194">
        <v>-1.232</v>
      </c>
    </row>
    <row r="1195" spans="1:12" x14ac:dyDescent="0.25">
      <c r="A1195">
        <v>228751</v>
      </c>
      <c r="B1195">
        <v>3.827</v>
      </c>
      <c r="C1195">
        <v>3.819</v>
      </c>
      <c r="D1195">
        <v>3.7639999999999998</v>
      </c>
      <c r="E1195">
        <v>3.6859999999999999</v>
      </c>
      <c r="F1195">
        <v>3.9340000000000002</v>
      </c>
      <c r="G1195">
        <v>3.8109999999999999</v>
      </c>
      <c r="H1195">
        <v>3.706</v>
      </c>
      <c r="I1195">
        <v>3.698</v>
      </c>
      <c r="J1195">
        <v>30.245000000000001</v>
      </c>
      <c r="K1195">
        <v>21.4</v>
      </c>
      <c r="L1195">
        <v>-1.2430000000000001</v>
      </c>
    </row>
    <row r="1196" spans="1:12" x14ac:dyDescent="0.25">
      <c r="A1196">
        <v>233758</v>
      </c>
      <c r="B1196">
        <v>3.827</v>
      </c>
      <c r="C1196">
        <v>3.819</v>
      </c>
      <c r="D1196">
        <v>3.7639999999999998</v>
      </c>
      <c r="E1196">
        <v>3.6859999999999999</v>
      </c>
      <c r="F1196">
        <v>3.9340000000000002</v>
      </c>
      <c r="G1196">
        <v>3.782</v>
      </c>
      <c r="H1196">
        <v>3.7349999999999999</v>
      </c>
      <c r="I1196">
        <v>3.698</v>
      </c>
      <c r="J1196">
        <v>30.245000000000001</v>
      </c>
      <c r="K1196">
        <v>21.5</v>
      </c>
      <c r="L1196">
        <v>-1.2270000000000001</v>
      </c>
    </row>
    <row r="1197" spans="1:12" x14ac:dyDescent="0.25">
      <c r="A1197">
        <v>238764</v>
      </c>
      <c r="B1197">
        <v>3.8220000000000001</v>
      </c>
      <c r="C1197">
        <v>3.8239999999999998</v>
      </c>
      <c r="D1197">
        <v>3.7639999999999998</v>
      </c>
      <c r="E1197">
        <v>3.7040000000000002</v>
      </c>
      <c r="F1197">
        <v>3.9340000000000002</v>
      </c>
      <c r="G1197">
        <v>3.782</v>
      </c>
      <c r="H1197">
        <v>3.7349999999999999</v>
      </c>
      <c r="I1197">
        <v>3.698</v>
      </c>
      <c r="J1197">
        <v>30.263000000000002</v>
      </c>
      <c r="K1197">
        <v>21.4</v>
      </c>
      <c r="L1197">
        <v>-1.2390000000000001</v>
      </c>
    </row>
    <row r="1198" spans="1:12" x14ac:dyDescent="0.25">
      <c r="A1198">
        <v>243765</v>
      </c>
      <c r="B1198">
        <v>3.827</v>
      </c>
      <c r="C1198">
        <v>3.819</v>
      </c>
      <c r="D1198">
        <v>3.7639999999999998</v>
      </c>
      <c r="E1198">
        <v>3.6859999999999999</v>
      </c>
      <c r="F1198">
        <v>3.9340000000000002</v>
      </c>
      <c r="G1198">
        <v>3.782</v>
      </c>
      <c r="H1198">
        <v>3.7349999999999999</v>
      </c>
      <c r="I1198">
        <v>3.698</v>
      </c>
      <c r="J1198">
        <v>30.245000000000001</v>
      </c>
      <c r="K1198">
        <v>21.5</v>
      </c>
      <c r="L1198">
        <v>-1.256</v>
      </c>
    </row>
    <row r="1199" spans="1:12" x14ac:dyDescent="0.25">
      <c r="A1199">
        <v>248810</v>
      </c>
      <c r="B1199">
        <v>3.8220000000000001</v>
      </c>
      <c r="C1199">
        <v>3.8239999999999998</v>
      </c>
      <c r="D1199">
        <v>3.7639999999999998</v>
      </c>
      <c r="E1199">
        <v>3.6859999999999999</v>
      </c>
      <c r="F1199">
        <v>3.952</v>
      </c>
      <c r="G1199">
        <v>3.782</v>
      </c>
      <c r="H1199">
        <v>3.7349999999999999</v>
      </c>
      <c r="I1199">
        <v>3.698</v>
      </c>
      <c r="J1199">
        <v>30.263000000000002</v>
      </c>
      <c r="K1199">
        <v>21.5</v>
      </c>
      <c r="L1199">
        <v>-1.25</v>
      </c>
    </row>
    <row r="1200" spans="1:12" x14ac:dyDescent="0.25">
      <c r="A1200">
        <v>253815</v>
      </c>
      <c r="B1200">
        <v>3.8220000000000001</v>
      </c>
      <c r="C1200">
        <v>3.8149999999999999</v>
      </c>
      <c r="D1200">
        <v>3.7730000000000001</v>
      </c>
      <c r="E1200">
        <v>3.6859999999999999</v>
      </c>
      <c r="F1200">
        <v>3.952</v>
      </c>
      <c r="G1200">
        <v>3.782</v>
      </c>
      <c r="H1200">
        <v>3.7349999999999999</v>
      </c>
      <c r="I1200">
        <v>3.66</v>
      </c>
      <c r="J1200">
        <v>30.225000000000001</v>
      </c>
      <c r="K1200">
        <v>21.4</v>
      </c>
      <c r="L1200">
        <v>-1.2390000000000001</v>
      </c>
    </row>
    <row r="1201" spans="1:12" x14ac:dyDescent="0.25">
      <c r="A1201">
        <v>258822</v>
      </c>
      <c r="B1201">
        <v>3.8220000000000001</v>
      </c>
      <c r="C1201">
        <v>3.8239999999999998</v>
      </c>
      <c r="D1201">
        <v>3.7639999999999998</v>
      </c>
      <c r="E1201">
        <v>3.6859999999999999</v>
      </c>
      <c r="F1201">
        <v>3.952</v>
      </c>
      <c r="G1201">
        <v>3.782</v>
      </c>
      <c r="H1201">
        <v>3.7349999999999999</v>
      </c>
      <c r="I1201">
        <v>3.66</v>
      </c>
      <c r="J1201">
        <v>30.225000000000001</v>
      </c>
      <c r="K1201">
        <v>21.5</v>
      </c>
      <c r="L1201">
        <v>-1.2350000000000001</v>
      </c>
    </row>
    <row r="1202" spans="1:12" x14ac:dyDescent="0.25">
      <c r="A1202">
        <v>263828</v>
      </c>
      <c r="B1202">
        <v>3.871</v>
      </c>
      <c r="C1202">
        <v>3.8809999999999998</v>
      </c>
      <c r="D1202">
        <v>3.8039999999999998</v>
      </c>
      <c r="E1202">
        <v>3.7549999999999999</v>
      </c>
      <c r="F1202">
        <v>3.996</v>
      </c>
      <c r="G1202">
        <v>3.8530000000000002</v>
      </c>
      <c r="H1202">
        <v>3.8330000000000002</v>
      </c>
      <c r="I1202">
        <v>3.7679999999999998</v>
      </c>
      <c r="J1202">
        <v>30.760999999999999</v>
      </c>
      <c r="K1202">
        <v>21.5</v>
      </c>
      <c r="L1202">
        <v>-7.0000000000000001E-3</v>
      </c>
    </row>
    <row r="1203" spans="1:12" x14ac:dyDescent="0.25">
      <c r="A1203">
        <v>268834</v>
      </c>
      <c r="B1203">
        <v>3.8809999999999998</v>
      </c>
      <c r="C1203">
        <v>3.8889999999999998</v>
      </c>
      <c r="D1203">
        <v>3.8149999999999999</v>
      </c>
      <c r="E1203">
        <v>3.7440000000000002</v>
      </c>
      <c r="F1203">
        <v>3.9969999999999999</v>
      </c>
      <c r="G1203">
        <v>3.855</v>
      </c>
      <c r="H1203">
        <v>3.8079999999999998</v>
      </c>
      <c r="I1203">
        <v>3.774</v>
      </c>
      <c r="J1203">
        <v>30.763000000000002</v>
      </c>
      <c r="K1203">
        <v>21.4</v>
      </c>
      <c r="L1203">
        <v>5.0000000000000001E-3</v>
      </c>
    </row>
    <row r="1204" spans="1:12" x14ac:dyDescent="0.25">
      <c r="A1204">
        <v>273835</v>
      </c>
      <c r="B1204">
        <v>3.8860000000000001</v>
      </c>
      <c r="C1204">
        <v>3.8929999999999998</v>
      </c>
      <c r="D1204">
        <v>3.806</v>
      </c>
      <c r="E1204">
        <v>3.762</v>
      </c>
      <c r="F1204">
        <v>3.9969999999999999</v>
      </c>
      <c r="G1204">
        <v>3.855</v>
      </c>
      <c r="H1204">
        <v>3.8410000000000002</v>
      </c>
      <c r="I1204">
        <v>3.78</v>
      </c>
      <c r="J1204">
        <v>30.82</v>
      </c>
      <c r="K1204">
        <v>21.5</v>
      </c>
      <c r="L1204">
        <v>-1.0999999999999999E-2</v>
      </c>
    </row>
    <row r="1205" spans="1:12" x14ac:dyDescent="0.25">
      <c r="A1205">
        <v>278881</v>
      </c>
      <c r="B1205">
        <v>3.8860000000000001</v>
      </c>
      <c r="C1205">
        <v>3.8929999999999998</v>
      </c>
      <c r="D1205">
        <v>3.8210000000000002</v>
      </c>
      <c r="E1205">
        <v>3.7469999999999999</v>
      </c>
      <c r="F1205">
        <v>4.0250000000000004</v>
      </c>
      <c r="G1205">
        <v>3.8559999999999999</v>
      </c>
      <c r="H1205">
        <v>3.8119999999999998</v>
      </c>
      <c r="I1205">
        <v>3.78</v>
      </c>
      <c r="J1205">
        <v>30.82</v>
      </c>
      <c r="K1205">
        <v>21.5</v>
      </c>
      <c r="L1205">
        <v>-0.01</v>
      </c>
    </row>
    <row r="1206" spans="1:12" x14ac:dyDescent="0.25">
      <c r="A1206">
        <v>283886</v>
      </c>
      <c r="B1206">
        <v>3.891</v>
      </c>
      <c r="C1206">
        <v>3.8969999999999998</v>
      </c>
      <c r="D1206">
        <v>3.8260000000000001</v>
      </c>
      <c r="E1206">
        <v>3.7509999999999999</v>
      </c>
      <c r="F1206">
        <v>4.0069999999999997</v>
      </c>
      <c r="G1206">
        <v>3.8559999999999999</v>
      </c>
      <c r="H1206">
        <v>3.8119999999999998</v>
      </c>
      <c r="I1206">
        <v>3.819</v>
      </c>
      <c r="J1206">
        <v>30.859000000000002</v>
      </c>
      <c r="K1206">
        <v>21.5</v>
      </c>
      <c r="L1206">
        <v>-8.0000000000000002E-3</v>
      </c>
    </row>
    <row r="1207" spans="1:12" x14ac:dyDescent="0.25">
      <c r="A1207">
        <v>288893</v>
      </c>
      <c r="B1207">
        <v>3.891</v>
      </c>
      <c r="C1207">
        <v>3.8969999999999998</v>
      </c>
      <c r="D1207">
        <v>3.8260000000000001</v>
      </c>
      <c r="E1207">
        <v>3.7509999999999999</v>
      </c>
      <c r="F1207">
        <v>4.0069999999999997</v>
      </c>
      <c r="G1207">
        <v>3.8559999999999999</v>
      </c>
      <c r="H1207">
        <v>3.8450000000000002</v>
      </c>
      <c r="I1207">
        <v>3.7869999999999999</v>
      </c>
      <c r="J1207">
        <v>30.86</v>
      </c>
      <c r="K1207">
        <v>21.5</v>
      </c>
      <c r="L1207">
        <v>4.0000000000000001E-3</v>
      </c>
    </row>
    <row r="1208" spans="1:12" x14ac:dyDescent="0.25">
      <c r="A1208">
        <v>293900</v>
      </c>
      <c r="B1208">
        <v>3.891</v>
      </c>
      <c r="C1208">
        <v>3.8969999999999998</v>
      </c>
      <c r="D1208">
        <v>3.8260000000000001</v>
      </c>
      <c r="E1208">
        <v>3.7509999999999999</v>
      </c>
      <c r="F1208">
        <v>4.0339999999999998</v>
      </c>
      <c r="G1208">
        <v>3.8570000000000002</v>
      </c>
      <c r="H1208">
        <v>3.8170000000000002</v>
      </c>
      <c r="I1208">
        <v>3.8260000000000001</v>
      </c>
      <c r="J1208">
        <v>30.899000000000001</v>
      </c>
      <c r="K1208">
        <v>21.4</v>
      </c>
      <c r="L1208">
        <v>-1.7999999999999999E-2</v>
      </c>
    </row>
    <row r="1209" spans="1:12" x14ac:dyDescent="0.25">
      <c r="A1209">
        <v>298906</v>
      </c>
      <c r="B1209">
        <v>3.891</v>
      </c>
      <c r="C1209">
        <v>3.9060000000000001</v>
      </c>
      <c r="D1209">
        <v>3.8180000000000001</v>
      </c>
      <c r="E1209">
        <v>3.7690000000000001</v>
      </c>
      <c r="F1209">
        <v>4.016</v>
      </c>
      <c r="G1209">
        <v>3.8570000000000002</v>
      </c>
      <c r="H1209">
        <v>3.8170000000000002</v>
      </c>
      <c r="I1209">
        <v>3.8260000000000001</v>
      </c>
      <c r="J1209">
        <v>30.9</v>
      </c>
      <c r="K1209">
        <v>21.5</v>
      </c>
      <c r="L1209">
        <v>-1.6E-2</v>
      </c>
    </row>
    <row r="1210" spans="1:12" x14ac:dyDescent="0.25">
      <c r="A1210">
        <v>303906</v>
      </c>
      <c r="B1210">
        <v>3.895</v>
      </c>
      <c r="C1210">
        <v>3.9009999999999998</v>
      </c>
      <c r="D1210">
        <v>3.8180000000000001</v>
      </c>
      <c r="E1210">
        <v>3.7690000000000001</v>
      </c>
      <c r="F1210">
        <v>4.016</v>
      </c>
      <c r="G1210">
        <v>3.8570000000000002</v>
      </c>
      <c r="H1210">
        <v>3.8490000000000002</v>
      </c>
      <c r="I1210">
        <v>3.7930000000000001</v>
      </c>
      <c r="J1210">
        <v>30.898</v>
      </c>
      <c r="K1210">
        <v>21.5</v>
      </c>
      <c r="L1210">
        <v>-0.01</v>
      </c>
    </row>
    <row r="1211" spans="1:12" x14ac:dyDescent="0.25">
      <c r="A1211">
        <v>308953</v>
      </c>
      <c r="B1211">
        <v>3.895</v>
      </c>
      <c r="C1211">
        <v>3.9009999999999998</v>
      </c>
      <c r="D1211">
        <v>3.8319999999999999</v>
      </c>
      <c r="E1211">
        <v>3.754</v>
      </c>
      <c r="F1211">
        <v>4.016</v>
      </c>
      <c r="G1211">
        <v>3.8860000000000001</v>
      </c>
      <c r="H1211">
        <v>3.8210000000000002</v>
      </c>
      <c r="I1211">
        <v>3.7930000000000001</v>
      </c>
      <c r="J1211">
        <v>30.898</v>
      </c>
      <c r="K1211">
        <v>21.5</v>
      </c>
      <c r="L1211">
        <v>-1.7000000000000001E-2</v>
      </c>
    </row>
    <row r="1212" spans="1:12" x14ac:dyDescent="0.25">
      <c r="A1212">
        <v>313957</v>
      </c>
      <c r="B1212">
        <v>3.891</v>
      </c>
      <c r="C1212">
        <v>3.915</v>
      </c>
      <c r="D1212">
        <v>3.823</v>
      </c>
      <c r="E1212">
        <v>3.754</v>
      </c>
      <c r="F1212">
        <v>4.016</v>
      </c>
      <c r="G1212">
        <v>3.8860000000000001</v>
      </c>
      <c r="H1212">
        <v>3.8210000000000002</v>
      </c>
      <c r="I1212">
        <v>3.7930000000000001</v>
      </c>
      <c r="J1212">
        <v>30.899000000000001</v>
      </c>
      <c r="K1212">
        <v>21.5</v>
      </c>
      <c r="L1212">
        <v>2E-3</v>
      </c>
    </row>
    <row r="1213" spans="1:12" x14ac:dyDescent="0.25">
      <c r="A1213">
        <v>318964</v>
      </c>
      <c r="B1213">
        <v>3.895</v>
      </c>
      <c r="C1213">
        <v>3.91</v>
      </c>
      <c r="D1213">
        <v>3.823</v>
      </c>
      <c r="E1213">
        <v>3.7719999999999998</v>
      </c>
      <c r="F1213">
        <v>3.9980000000000002</v>
      </c>
      <c r="G1213">
        <v>3.8860000000000001</v>
      </c>
      <c r="H1213">
        <v>3.8210000000000002</v>
      </c>
      <c r="I1213">
        <v>3.8319999999999999</v>
      </c>
      <c r="J1213">
        <v>30.937000000000001</v>
      </c>
      <c r="K1213">
        <v>21.5</v>
      </c>
      <c r="L1213">
        <v>1E-3</v>
      </c>
    </row>
    <row r="1214" spans="1:12" x14ac:dyDescent="0.25">
      <c r="A1214">
        <v>323970</v>
      </c>
      <c r="B1214">
        <v>3.9</v>
      </c>
      <c r="C1214">
        <v>3.9049999999999998</v>
      </c>
      <c r="D1214">
        <v>3.823</v>
      </c>
      <c r="E1214">
        <v>3.7719999999999998</v>
      </c>
      <c r="F1214">
        <v>4.0259999999999998</v>
      </c>
      <c r="G1214">
        <v>3.8580000000000001</v>
      </c>
      <c r="H1214">
        <v>3.8210000000000002</v>
      </c>
      <c r="I1214">
        <v>3.8319999999999999</v>
      </c>
      <c r="J1214">
        <v>30.937000000000001</v>
      </c>
      <c r="K1214">
        <v>21.5</v>
      </c>
      <c r="L1214">
        <v>-2.3E-2</v>
      </c>
    </row>
    <row r="1215" spans="1:12" x14ac:dyDescent="0.25">
      <c r="A1215">
        <v>328977</v>
      </c>
      <c r="B1215">
        <v>3.9</v>
      </c>
      <c r="C1215">
        <v>3.9049999999999998</v>
      </c>
      <c r="D1215">
        <v>3.823</v>
      </c>
      <c r="E1215">
        <v>3.7719999999999998</v>
      </c>
      <c r="F1215">
        <v>4.0259999999999998</v>
      </c>
      <c r="G1215">
        <v>3.8580000000000001</v>
      </c>
      <c r="H1215">
        <v>3.8530000000000002</v>
      </c>
      <c r="I1215">
        <v>3.7989999999999999</v>
      </c>
      <c r="J1215">
        <v>30.936</v>
      </c>
      <c r="K1215">
        <v>21.4</v>
      </c>
      <c r="L1215">
        <v>7.0000000000000001E-3</v>
      </c>
    </row>
    <row r="1216" spans="1:12" x14ac:dyDescent="0.25">
      <c r="A1216">
        <v>333978</v>
      </c>
      <c r="B1216">
        <v>3.9</v>
      </c>
      <c r="C1216">
        <v>3.9049999999999998</v>
      </c>
      <c r="D1216">
        <v>3.823</v>
      </c>
      <c r="E1216">
        <v>3.7719999999999998</v>
      </c>
      <c r="F1216">
        <v>4.0259999999999998</v>
      </c>
      <c r="G1216">
        <v>3.8580000000000001</v>
      </c>
      <c r="H1216">
        <v>3.8530000000000002</v>
      </c>
      <c r="I1216">
        <v>3.7989999999999999</v>
      </c>
      <c r="J1216">
        <v>30.936</v>
      </c>
      <c r="K1216">
        <v>21.4</v>
      </c>
      <c r="L1216">
        <v>-6.0000000000000001E-3</v>
      </c>
    </row>
    <row r="1217" spans="1:12" x14ac:dyDescent="0.25">
      <c r="A1217">
        <v>339023</v>
      </c>
      <c r="B1217">
        <v>3.9</v>
      </c>
      <c r="C1217">
        <v>3.9049999999999998</v>
      </c>
      <c r="D1217">
        <v>3.8380000000000001</v>
      </c>
      <c r="E1217">
        <v>3.7570000000000001</v>
      </c>
      <c r="F1217">
        <v>4.0259999999999998</v>
      </c>
      <c r="G1217">
        <v>3.887</v>
      </c>
      <c r="H1217">
        <v>3.8250000000000002</v>
      </c>
      <c r="I1217">
        <v>3.7989999999999999</v>
      </c>
      <c r="J1217">
        <v>30.937000000000001</v>
      </c>
      <c r="K1217">
        <v>21.5</v>
      </c>
      <c r="L1217">
        <v>-4.0000000000000001E-3</v>
      </c>
    </row>
    <row r="1218" spans="1:12" x14ac:dyDescent="0.25">
      <c r="A1218">
        <v>344027</v>
      </c>
      <c r="B1218">
        <v>3.9</v>
      </c>
      <c r="C1218">
        <v>3.9140000000000001</v>
      </c>
      <c r="D1218">
        <v>3.8290000000000002</v>
      </c>
      <c r="E1218">
        <v>3.7570000000000001</v>
      </c>
      <c r="F1218">
        <v>4.0259999999999998</v>
      </c>
      <c r="G1218">
        <v>3.887</v>
      </c>
      <c r="H1218">
        <v>3.8250000000000002</v>
      </c>
      <c r="I1218">
        <v>3.7989999999999999</v>
      </c>
      <c r="J1218">
        <v>30.937000000000001</v>
      </c>
      <c r="K1218">
        <v>21.5</v>
      </c>
      <c r="L1218">
        <v>-2E-3</v>
      </c>
    </row>
    <row r="1219" spans="1:12" x14ac:dyDescent="0.25">
      <c r="A1219">
        <v>349034</v>
      </c>
      <c r="B1219">
        <v>3.9</v>
      </c>
      <c r="C1219">
        <v>3.9140000000000001</v>
      </c>
      <c r="D1219">
        <v>3.8290000000000002</v>
      </c>
      <c r="E1219">
        <v>3.7570000000000001</v>
      </c>
      <c r="F1219">
        <v>4.0259999999999998</v>
      </c>
      <c r="G1219">
        <v>3.887</v>
      </c>
      <c r="H1219">
        <v>3.8250000000000002</v>
      </c>
      <c r="I1219">
        <v>3.8380000000000001</v>
      </c>
      <c r="J1219">
        <v>30.975999999999999</v>
      </c>
      <c r="K1219">
        <v>21.5</v>
      </c>
      <c r="L1219">
        <v>-1E-3</v>
      </c>
    </row>
    <row r="1220" spans="1:12" x14ac:dyDescent="0.25">
      <c r="A1220">
        <v>354040</v>
      </c>
      <c r="B1220">
        <v>3.9</v>
      </c>
      <c r="C1220">
        <v>3.9140000000000001</v>
      </c>
      <c r="D1220">
        <v>3.8290000000000002</v>
      </c>
      <c r="E1220">
        <v>3.7570000000000001</v>
      </c>
      <c r="F1220">
        <v>4.0259999999999998</v>
      </c>
      <c r="G1220">
        <v>3.887</v>
      </c>
      <c r="H1220">
        <v>3.8250000000000002</v>
      </c>
      <c r="I1220">
        <v>3.8380000000000001</v>
      </c>
      <c r="J1220">
        <v>30.975999999999999</v>
      </c>
      <c r="K1220">
        <v>21.4</v>
      </c>
      <c r="L1220">
        <v>-2E-3</v>
      </c>
    </row>
    <row r="1221" spans="1:12" x14ac:dyDescent="0.25">
      <c r="A1221">
        <v>359047</v>
      </c>
      <c r="B1221">
        <v>3.9</v>
      </c>
      <c r="C1221">
        <v>3.9140000000000001</v>
      </c>
      <c r="D1221">
        <v>3.8290000000000002</v>
      </c>
      <c r="E1221">
        <v>3.7749999999999999</v>
      </c>
      <c r="F1221">
        <v>4.0350000000000001</v>
      </c>
      <c r="G1221">
        <v>3.859</v>
      </c>
      <c r="H1221">
        <v>3.8250000000000002</v>
      </c>
      <c r="I1221">
        <v>3.8380000000000001</v>
      </c>
      <c r="J1221">
        <v>30.975000000000001</v>
      </c>
      <c r="K1221">
        <v>21.4</v>
      </c>
      <c r="L1221">
        <v>-1.2E-2</v>
      </c>
    </row>
    <row r="1222" spans="1:12" x14ac:dyDescent="0.25">
      <c r="A1222">
        <v>364056</v>
      </c>
      <c r="B1222">
        <v>3.9</v>
      </c>
      <c r="C1222">
        <v>3.9140000000000001</v>
      </c>
      <c r="D1222">
        <v>3.8290000000000002</v>
      </c>
      <c r="E1222">
        <v>3.7749999999999999</v>
      </c>
      <c r="F1222">
        <v>4.008</v>
      </c>
      <c r="G1222">
        <v>3.887</v>
      </c>
      <c r="H1222">
        <v>3.8250000000000002</v>
      </c>
      <c r="I1222">
        <v>3.8380000000000001</v>
      </c>
      <c r="J1222">
        <v>30.975999999999999</v>
      </c>
      <c r="K1222">
        <v>21.4</v>
      </c>
      <c r="L1222">
        <v>-0.01</v>
      </c>
    </row>
    <row r="1223" spans="1:12" x14ac:dyDescent="0.25">
      <c r="A1223">
        <v>369093</v>
      </c>
      <c r="B1223">
        <v>3.9049999999999998</v>
      </c>
      <c r="C1223">
        <v>3.9089999999999998</v>
      </c>
      <c r="D1223">
        <v>3.8290000000000002</v>
      </c>
      <c r="E1223">
        <v>3.7749999999999999</v>
      </c>
      <c r="F1223">
        <v>4.0350000000000001</v>
      </c>
      <c r="G1223">
        <v>3.859</v>
      </c>
      <c r="H1223">
        <v>3.8570000000000002</v>
      </c>
      <c r="I1223">
        <v>3.806</v>
      </c>
      <c r="J1223">
        <v>30.975000000000001</v>
      </c>
      <c r="K1223">
        <v>21.4</v>
      </c>
      <c r="L1223">
        <v>-8.0000000000000002E-3</v>
      </c>
    </row>
    <row r="1224" spans="1:12" x14ac:dyDescent="0.25">
      <c r="A1224">
        <v>374098</v>
      </c>
      <c r="B1224">
        <v>3.9049999999999998</v>
      </c>
      <c r="C1224">
        <v>3.9089999999999998</v>
      </c>
      <c r="D1224">
        <v>3.8290000000000002</v>
      </c>
      <c r="E1224">
        <v>3.7749999999999999</v>
      </c>
      <c r="F1224">
        <v>4.0350000000000001</v>
      </c>
      <c r="G1224">
        <v>3.859</v>
      </c>
      <c r="H1224">
        <v>3.8570000000000002</v>
      </c>
      <c r="I1224">
        <v>3.806</v>
      </c>
      <c r="J1224">
        <v>30.975000000000001</v>
      </c>
      <c r="K1224">
        <v>21.4</v>
      </c>
      <c r="L1224">
        <v>-1.4999999999999999E-2</v>
      </c>
    </row>
    <row r="1225" spans="1:12" x14ac:dyDescent="0.25">
      <c r="A1225">
        <v>379105</v>
      </c>
      <c r="B1225">
        <v>3.9049999999999998</v>
      </c>
      <c r="C1225">
        <v>3.9089999999999998</v>
      </c>
      <c r="D1225">
        <v>3.8290000000000002</v>
      </c>
      <c r="E1225">
        <v>3.7749999999999999</v>
      </c>
      <c r="F1225">
        <v>4.0350000000000001</v>
      </c>
      <c r="G1225">
        <v>3.859</v>
      </c>
      <c r="H1225">
        <v>3.8570000000000002</v>
      </c>
      <c r="I1225">
        <v>3.806</v>
      </c>
      <c r="J1225">
        <v>30.975000000000001</v>
      </c>
      <c r="K1225">
        <v>21.4</v>
      </c>
      <c r="L1225">
        <v>-0.02</v>
      </c>
    </row>
    <row r="1226" spans="1:12" x14ac:dyDescent="0.25">
      <c r="A1226">
        <v>384111</v>
      </c>
      <c r="B1226">
        <v>3.9049999999999998</v>
      </c>
      <c r="C1226">
        <v>3.9089999999999998</v>
      </c>
      <c r="D1226">
        <v>3.8290000000000002</v>
      </c>
      <c r="E1226">
        <v>3.7749999999999999</v>
      </c>
      <c r="F1226">
        <v>4.0350000000000001</v>
      </c>
      <c r="G1226">
        <v>3.859</v>
      </c>
      <c r="H1226">
        <v>3.8570000000000002</v>
      </c>
      <c r="I1226">
        <v>3.806</v>
      </c>
      <c r="J1226">
        <v>30.975000000000001</v>
      </c>
      <c r="K1226">
        <v>21.4</v>
      </c>
      <c r="L1226">
        <v>1E-3</v>
      </c>
    </row>
    <row r="1227" spans="1:12" x14ac:dyDescent="0.25">
      <c r="A1227">
        <v>389118</v>
      </c>
      <c r="B1227">
        <v>3.9049999999999998</v>
      </c>
      <c r="C1227">
        <v>3.9089999999999998</v>
      </c>
      <c r="D1227">
        <v>3.8439999999999999</v>
      </c>
      <c r="E1227">
        <v>3.7610000000000001</v>
      </c>
      <c r="F1227">
        <v>4.0350000000000001</v>
      </c>
      <c r="G1227">
        <v>3.8879999999999999</v>
      </c>
      <c r="H1227">
        <v>3.8290000000000002</v>
      </c>
      <c r="I1227">
        <v>3.806</v>
      </c>
      <c r="J1227">
        <v>30.977</v>
      </c>
      <c r="K1227">
        <v>21.4</v>
      </c>
      <c r="L1227">
        <v>4.0000000000000001E-3</v>
      </c>
    </row>
    <row r="1228" spans="1:12" x14ac:dyDescent="0.25">
      <c r="A1228">
        <v>394118</v>
      </c>
      <c r="B1228">
        <v>3.9</v>
      </c>
      <c r="C1228">
        <v>3.9140000000000001</v>
      </c>
      <c r="D1228">
        <v>3.8439999999999999</v>
      </c>
      <c r="E1228">
        <v>3.7610000000000001</v>
      </c>
      <c r="F1228">
        <v>4.0350000000000001</v>
      </c>
      <c r="G1228">
        <v>3.8879999999999999</v>
      </c>
      <c r="H1228">
        <v>3.8290000000000002</v>
      </c>
      <c r="I1228">
        <v>3.806</v>
      </c>
      <c r="J1228">
        <v>30.977</v>
      </c>
      <c r="K1228">
        <v>21.4</v>
      </c>
      <c r="L1228">
        <v>-4.0000000000000001E-3</v>
      </c>
    </row>
    <row r="1229" spans="1:12" x14ac:dyDescent="0.25">
      <c r="A1229">
        <v>399164</v>
      </c>
      <c r="B1229">
        <v>3.9049999999999998</v>
      </c>
      <c r="C1229">
        <v>3.9180000000000001</v>
      </c>
      <c r="D1229">
        <v>3.835</v>
      </c>
      <c r="E1229">
        <v>3.7610000000000001</v>
      </c>
      <c r="F1229">
        <v>4.0350000000000001</v>
      </c>
      <c r="G1229">
        <v>3.8879999999999999</v>
      </c>
      <c r="H1229">
        <v>3.8290000000000002</v>
      </c>
      <c r="I1229">
        <v>3.8450000000000002</v>
      </c>
      <c r="J1229">
        <v>31.015999999999998</v>
      </c>
      <c r="K1229">
        <v>21.4</v>
      </c>
      <c r="L1229">
        <v>-2.5999999999999999E-2</v>
      </c>
    </row>
    <row r="1230" spans="1:12" x14ac:dyDescent="0.25">
      <c r="A1230">
        <v>404170</v>
      </c>
      <c r="B1230">
        <v>3.9049999999999998</v>
      </c>
      <c r="C1230">
        <v>3.9180000000000001</v>
      </c>
      <c r="D1230">
        <v>3.835</v>
      </c>
      <c r="E1230">
        <v>3.7789999999999999</v>
      </c>
      <c r="F1230">
        <v>4.0170000000000003</v>
      </c>
      <c r="G1230">
        <v>3.9159999999999999</v>
      </c>
      <c r="H1230">
        <v>3.8</v>
      </c>
      <c r="I1230">
        <v>3.8450000000000002</v>
      </c>
      <c r="J1230">
        <v>31.015000000000001</v>
      </c>
      <c r="K1230">
        <v>21.4</v>
      </c>
      <c r="L1230">
        <v>-0.01</v>
      </c>
    </row>
    <row r="1231" spans="1:12" x14ac:dyDescent="0.25">
      <c r="A1231">
        <v>409177</v>
      </c>
      <c r="B1231">
        <v>3.9049999999999998</v>
      </c>
      <c r="C1231">
        <v>3.9180000000000001</v>
      </c>
      <c r="D1231">
        <v>3.835</v>
      </c>
      <c r="E1231">
        <v>3.7789999999999999</v>
      </c>
      <c r="F1231">
        <v>4.0350000000000001</v>
      </c>
      <c r="G1231">
        <v>3.8879999999999999</v>
      </c>
      <c r="H1231">
        <v>3.8290000000000002</v>
      </c>
      <c r="I1231">
        <v>3.8450000000000002</v>
      </c>
      <c r="J1231">
        <v>31.033999999999999</v>
      </c>
      <c r="K1231">
        <v>21.5</v>
      </c>
      <c r="L1231">
        <v>3.0000000000000001E-3</v>
      </c>
    </row>
    <row r="1232" spans="1:12" x14ac:dyDescent="0.25">
      <c r="A1232">
        <v>414183</v>
      </c>
      <c r="B1232">
        <v>3.9049999999999998</v>
      </c>
      <c r="C1232">
        <v>3.9180000000000001</v>
      </c>
      <c r="D1232">
        <v>3.835</v>
      </c>
      <c r="E1232">
        <v>3.7610000000000001</v>
      </c>
      <c r="F1232">
        <v>4.0350000000000001</v>
      </c>
      <c r="G1232">
        <v>3.8879999999999999</v>
      </c>
      <c r="H1232">
        <v>3.8610000000000002</v>
      </c>
      <c r="I1232">
        <v>3.8119999999999998</v>
      </c>
      <c r="J1232">
        <v>31.015000000000001</v>
      </c>
      <c r="K1232">
        <v>21.5</v>
      </c>
      <c r="L1232">
        <v>-0.51700000000000002</v>
      </c>
    </row>
    <row r="1233" spans="1:12" x14ac:dyDescent="0.25">
      <c r="A1233">
        <v>419190</v>
      </c>
      <c r="B1233">
        <v>3.851</v>
      </c>
      <c r="C1233">
        <v>3.8479999999999999</v>
      </c>
      <c r="D1233">
        <v>3.7839999999999998</v>
      </c>
      <c r="E1233">
        <v>3.7210000000000001</v>
      </c>
      <c r="F1233">
        <v>3.9910000000000001</v>
      </c>
      <c r="G1233">
        <v>3.7879999999999998</v>
      </c>
      <c r="H1233">
        <v>3.7589999999999999</v>
      </c>
      <c r="I1233">
        <v>3.7370000000000001</v>
      </c>
      <c r="J1233">
        <v>30.478999999999999</v>
      </c>
      <c r="K1233">
        <v>21.4</v>
      </c>
      <c r="L1233">
        <v>-1.1399999999999999</v>
      </c>
    </row>
    <row r="1234" spans="1:12" x14ac:dyDescent="0.25">
      <c r="A1234">
        <v>424191</v>
      </c>
      <c r="B1234">
        <v>3.847</v>
      </c>
      <c r="C1234">
        <v>3.8439999999999999</v>
      </c>
      <c r="D1234">
        <v>3.778</v>
      </c>
      <c r="E1234">
        <v>3.7170000000000001</v>
      </c>
      <c r="F1234">
        <v>4</v>
      </c>
      <c r="G1234">
        <v>3.7869999999999999</v>
      </c>
      <c r="H1234">
        <v>3.7549999999999999</v>
      </c>
      <c r="I1234">
        <v>3.73</v>
      </c>
      <c r="J1234">
        <v>30.457999999999998</v>
      </c>
      <c r="K1234">
        <v>21.4</v>
      </c>
      <c r="L1234">
        <v>-1.212</v>
      </c>
    </row>
    <row r="1235" spans="1:12" x14ac:dyDescent="0.25">
      <c r="A1235">
        <v>7842</v>
      </c>
      <c r="B1235">
        <v>0</v>
      </c>
      <c r="C1235">
        <v>3.831</v>
      </c>
      <c r="D1235">
        <v>3.7810000000000001</v>
      </c>
      <c r="E1235">
        <v>3.714</v>
      </c>
      <c r="F1235">
        <v>3.9630000000000001</v>
      </c>
      <c r="G1235">
        <v>3.8140000000000001</v>
      </c>
      <c r="H1235">
        <v>3.7509999999999999</v>
      </c>
      <c r="I1235">
        <v>3.6850000000000001</v>
      </c>
      <c r="J1235">
        <v>26.539000000000001</v>
      </c>
      <c r="K1235">
        <v>21.4</v>
      </c>
      <c r="L1235">
        <v>-0.02</v>
      </c>
    </row>
    <row r="1236" spans="1:12" x14ac:dyDescent="0.25">
      <c r="A1236">
        <v>12847</v>
      </c>
      <c r="B1236">
        <v>3.8370000000000002</v>
      </c>
      <c r="C1236">
        <v>3.8359999999999999</v>
      </c>
      <c r="D1236">
        <v>3.7810000000000001</v>
      </c>
      <c r="E1236">
        <v>3.6960000000000002</v>
      </c>
      <c r="F1236">
        <v>3.9630000000000001</v>
      </c>
      <c r="G1236">
        <v>3.7850000000000001</v>
      </c>
      <c r="H1236">
        <v>3.7469999999999999</v>
      </c>
      <c r="I1236">
        <v>3.718</v>
      </c>
      <c r="J1236">
        <v>30.363</v>
      </c>
      <c r="K1236">
        <v>21.4</v>
      </c>
      <c r="L1236">
        <v>-1.7000000000000001E-2</v>
      </c>
    </row>
    <row r="1237" spans="1:12" x14ac:dyDescent="0.25">
      <c r="A1237">
        <v>17909</v>
      </c>
      <c r="B1237">
        <v>3.8370000000000002</v>
      </c>
      <c r="C1237">
        <v>3.8359999999999999</v>
      </c>
      <c r="D1237">
        <v>3.7810000000000001</v>
      </c>
      <c r="E1237">
        <v>3.6960000000000002</v>
      </c>
      <c r="F1237">
        <v>3.9529999999999998</v>
      </c>
      <c r="G1237">
        <v>3.8130000000000002</v>
      </c>
      <c r="H1237">
        <v>3.7469999999999999</v>
      </c>
      <c r="I1237">
        <v>3.6789999999999998</v>
      </c>
      <c r="J1237">
        <v>30.341999999999999</v>
      </c>
      <c r="K1237">
        <v>21.5</v>
      </c>
      <c r="L1237">
        <v>-1E-3</v>
      </c>
    </row>
    <row r="1238" spans="1:12" x14ac:dyDescent="0.25">
      <c r="A1238">
        <v>22915</v>
      </c>
      <c r="B1238">
        <v>3.8319999999999999</v>
      </c>
      <c r="C1238">
        <v>3.8319999999999999</v>
      </c>
      <c r="D1238">
        <v>3.7759999999999998</v>
      </c>
      <c r="E1238">
        <v>3.6930000000000001</v>
      </c>
      <c r="F1238">
        <v>3.9529999999999998</v>
      </c>
      <c r="G1238">
        <v>3.7839999999999998</v>
      </c>
      <c r="H1238">
        <v>3.7429999999999999</v>
      </c>
      <c r="I1238">
        <v>3.7109999999999999</v>
      </c>
      <c r="J1238">
        <v>30.324000000000002</v>
      </c>
      <c r="K1238">
        <v>21.4</v>
      </c>
      <c r="L1238">
        <v>4.0000000000000001E-3</v>
      </c>
    </row>
    <row r="1239" spans="1:12" x14ac:dyDescent="0.25">
      <c r="A1239">
        <v>27982</v>
      </c>
      <c r="B1239">
        <v>3.8319999999999999</v>
      </c>
      <c r="C1239">
        <v>3.8319999999999999</v>
      </c>
      <c r="D1239">
        <v>3.7759999999999998</v>
      </c>
      <c r="E1239">
        <v>3.6930000000000001</v>
      </c>
      <c r="F1239">
        <v>3.9529999999999998</v>
      </c>
      <c r="G1239">
        <v>3.7839999999999998</v>
      </c>
      <c r="H1239">
        <v>3.7429999999999999</v>
      </c>
      <c r="I1239">
        <v>3.7109999999999999</v>
      </c>
      <c r="J1239">
        <v>30.324000000000002</v>
      </c>
      <c r="K1239">
        <v>21.4</v>
      </c>
      <c r="L1239">
        <v>-1.6E-2</v>
      </c>
    </row>
    <row r="1240" spans="1:12" x14ac:dyDescent="0.25">
      <c r="A1240">
        <v>32992</v>
      </c>
      <c r="B1240">
        <v>3.8319999999999999</v>
      </c>
      <c r="C1240">
        <v>3.823</v>
      </c>
      <c r="D1240">
        <v>3.77</v>
      </c>
      <c r="E1240">
        <v>3.7069999999999999</v>
      </c>
      <c r="F1240">
        <v>3.944</v>
      </c>
      <c r="G1240">
        <v>3.8119999999999998</v>
      </c>
      <c r="H1240">
        <v>3.7429999999999999</v>
      </c>
      <c r="I1240">
        <v>3.6720000000000002</v>
      </c>
      <c r="J1240">
        <v>30.303000000000001</v>
      </c>
      <c r="K1240">
        <v>21.5</v>
      </c>
      <c r="L1240">
        <v>-1.4999999999999999E-2</v>
      </c>
    </row>
    <row r="1241" spans="1:12" x14ac:dyDescent="0.25">
      <c r="A1241">
        <v>38055</v>
      </c>
      <c r="B1241">
        <v>3.8319999999999999</v>
      </c>
      <c r="C1241">
        <v>3.823</v>
      </c>
      <c r="D1241">
        <v>3.77</v>
      </c>
      <c r="E1241">
        <v>3.69</v>
      </c>
      <c r="F1241">
        <v>3.944</v>
      </c>
      <c r="G1241">
        <v>3.7829999999999999</v>
      </c>
      <c r="H1241">
        <v>3.7389999999999999</v>
      </c>
      <c r="I1241">
        <v>3.7050000000000001</v>
      </c>
      <c r="J1241">
        <v>30.286000000000001</v>
      </c>
      <c r="K1241">
        <v>21.4</v>
      </c>
      <c r="L1241">
        <v>-2.3E-2</v>
      </c>
    </row>
    <row r="1242" spans="1:12" x14ac:dyDescent="0.25">
      <c r="A1242">
        <v>43065</v>
      </c>
      <c r="B1242">
        <v>3.827</v>
      </c>
      <c r="C1242">
        <v>3.8279999999999998</v>
      </c>
      <c r="D1242">
        <v>3.77</v>
      </c>
      <c r="E1242">
        <v>3.69</v>
      </c>
      <c r="F1242">
        <v>3.944</v>
      </c>
      <c r="G1242">
        <v>3.7829999999999999</v>
      </c>
      <c r="H1242">
        <v>3.7389999999999999</v>
      </c>
      <c r="I1242">
        <v>3.7050000000000001</v>
      </c>
      <c r="J1242">
        <v>30.286000000000001</v>
      </c>
      <c r="K1242">
        <v>21.5</v>
      </c>
      <c r="L1242">
        <v>1.19</v>
      </c>
    </row>
    <row r="1243" spans="1:12" x14ac:dyDescent="0.25">
      <c r="A1243">
        <v>48072</v>
      </c>
      <c r="B1243">
        <v>3.8860000000000001</v>
      </c>
      <c r="C1243">
        <v>3.8929999999999998</v>
      </c>
      <c r="D1243">
        <v>3.8210000000000002</v>
      </c>
      <c r="E1243">
        <v>3.7469999999999999</v>
      </c>
      <c r="F1243">
        <v>4.0250000000000004</v>
      </c>
      <c r="G1243">
        <v>3.8559999999999999</v>
      </c>
      <c r="H1243">
        <v>3.8119999999999998</v>
      </c>
      <c r="I1243">
        <v>3.819</v>
      </c>
      <c r="J1243">
        <v>30.859000000000002</v>
      </c>
      <c r="K1243">
        <v>21.5</v>
      </c>
      <c r="L1243">
        <v>1.18</v>
      </c>
    </row>
    <row r="1244" spans="1:12" x14ac:dyDescent="0.25">
      <c r="A1244">
        <v>53073</v>
      </c>
      <c r="B1244">
        <v>3.891</v>
      </c>
      <c r="C1244">
        <v>3.8969999999999998</v>
      </c>
      <c r="D1244">
        <v>3.8119999999999998</v>
      </c>
      <c r="E1244">
        <v>3.7650000000000001</v>
      </c>
      <c r="F1244">
        <v>4.0250000000000004</v>
      </c>
      <c r="G1244">
        <v>3.8559999999999999</v>
      </c>
      <c r="H1244">
        <v>3.8119999999999998</v>
      </c>
      <c r="I1244">
        <v>3.819</v>
      </c>
      <c r="J1244">
        <v>30.876999999999999</v>
      </c>
      <c r="K1244">
        <v>21.5</v>
      </c>
      <c r="L1244">
        <v>1.1830000000000001</v>
      </c>
    </row>
    <row r="1245" spans="1:12" x14ac:dyDescent="0.25">
      <c r="A1245">
        <v>58075</v>
      </c>
      <c r="B1245">
        <v>3.891</v>
      </c>
      <c r="C1245">
        <v>3.8969999999999998</v>
      </c>
      <c r="D1245">
        <v>3.8260000000000001</v>
      </c>
      <c r="E1245">
        <v>3.7509999999999999</v>
      </c>
      <c r="F1245">
        <v>4.0069999999999997</v>
      </c>
      <c r="G1245">
        <v>3.8849999999999998</v>
      </c>
      <c r="H1245">
        <v>3.8170000000000002</v>
      </c>
      <c r="I1245">
        <v>3.7869999999999999</v>
      </c>
      <c r="J1245">
        <v>30.861000000000001</v>
      </c>
      <c r="K1245">
        <v>21.5</v>
      </c>
      <c r="L1245">
        <v>1.1910000000000001</v>
      </c>
    </row>
    <row r="1246" spans="1:12" x14ac:dyDescent="0.25">
      <c r="A1246">
        <v>63080</v>
      </c>
      <c r="B1246">
        <v>3.895</v>
      </c>
      <c r="C1246">
        <v>3.9009999999999998</v>
      </c>
      <c r="D1246">
        <v>3.8180000000000001</v>
      </c>
      <c r="E1246">
        <v>3.7690000000000001</v>
      </c>
      <c r="F1246">
        <v>4.016</v>
      </c>
      <c r="G1246">
        <v>3.8570000000000002</v>
      </c>
      <c r="H1246">
        <v>3.8170000000000002</v>
      </c>
      <c r="I1246">
        <v>3.8260000000000001</v>
      </c>
      <c r="J1246">
        <v>30.899000000000001</v>
      </c>
      <c r="K1246">
        <v>21.4</v>
      </c>
      <c r="L1246">
        <v>1.208</v>
      </c>
    </row>
    <row r="1247" spans="1:12" x14ac:dyDescent="0.25">
      <c r="A1247">
        <v>68122</v>
      </c>
      <c r="B1247">
        <v>3.895</v>
      </c>
      <c r="C1247">
        <v>3.9009999999999998</v>
      </c>
      <c r="D1247">
        <v>3.8180000000000001</v>
      </c>
      <c r="E1247">
        <v>3.7690000000000001</v>
      </c>
      <c r="F1247">
        <v>4.016</v>
      </c>
      <c r="G1247">
        <v>3.8570000000000002</v>
      </c>
      <c r="H1247">
        <v>3.8490000000000002</v>
      </c>
      <c r="I1247">
        <v>3.7930000000000001</v>
      </c>
      <c r="J1247">
        <v>30.898</v>
      </c>
      <c r="K1247">
        <v>21.5</v>
      </c>
      <c r="L1247">
        <v>1.1919999999999999</v>
      </c>
    </row>
    <row r="1248" spans="1:12" x14ac:dyDescent="0.25">
      <c r="A1248">
        <v>73133</v>
      </c>
      <c r="B1248">
        <v>3.895</v>
      </c>
      <c r="C1248">
        <v>3.9009999999999998</v>
      </c>
      <c r="D1248">
        <v>3.8180000000000001</v>
      </c>
      <c r="E1248">
        <v>3.7690000000000001</v>
      </c>
      <c r="F1248">
        <v>4.016</v>
      </c>
      <c r="G1248">
        <v>3.8860000000000001</v>
      </c>
      <c r="H1248">
        <v>3.8210000000000002</v>
      </c>
      <c r="I1248">
        <v>3.7930000000000001</v>
      </c>
      <c r="J1248">
        <v>30.899000000000001</v>
      </c>
      <c r="K1248">
        <v>21.5</v>
      </c>
      <c r="L1248">
        <v>1.1910000000000001</v>
      </c>
    </row>
    <row r="1249" spans="1:12" x14ac:dyDescent="0.25">
      <c r="A1249">
        <v>78135</v>
      </c>
      <c r="B1249">
        <v>3.895</v>
      </c>
      <c r="C1249">
        <v>3.9009999999999998</v>
      </c>
      <c r="D1249">
        <v>3.8319999999999999</v>
      </c>
      <c r="E1249">
        <v>3.7719999999999998</v>
      </c>
      <c r="F1249">
        <v>4.0259999999999998</v>
      </c>
      <c r="G1249">
        <v>3.8580000000000001</v>
      </c>
      <c r="H1249">
        <v>3.8210000000000002</v>
      </c>
      <c r="I1249">
        <v>3.8319999999999999</v>
      </c>
      <c r="J1249">
        <v>30.937000000000001</v>
      </c>
      <c r="K1249">
        <v>21.5</v>
      </c>
      <c r="L1249">
        <v>1.206</v>
      </c>
    </row>
    <row r="1250" spans="1:12" x14ac:dyDescent="0.25">
      <c r="A1250">
        <v>83141</v>
      </c>
      <c r="B1250">
        <v>3.895</v>
      </c>
      <c r="C1250">
        <v>3.9009999999999998</v>
      </c>
      <c r="D1250">
        <v>3.8319999999999999</v>
      </c>
      <c r="E1250">
        <v>3.754</v>
      </c>
      <c r="F1250">
        <v>4.016</v>
      </c>
      <c r="G1250">
        <v>3.8860000000000001</v>
      </c>
      <c r="H1250">
        <v>3.8210000000000002</v>
      </c>
      <c r="I1250">
        <v>3.8319999999999999</v>
      </c>
      <c r="J1250">
        <v>30.937000000000001</v>
      </c>
      <c r="K1250">
        <v>21.5</v>
      </c>
      <c r="L1250">
        <v>1.177</v>
      </c>
    </row>
    <row r="1251" spans="1:12" x14ac:dyDescent="0.25">
      <c r="A1251">
        <v>88148</v>
      </c>
      <c r="B1251">
        <v>3.895</v>
      </c>
      <c r="C1251">
        <v>3.91</v>
      </c>
      <c r="D1251">
        <v>3.823</v>
      </c>
      <c r="E1251">
        <v>3.7719999999999998</v>
      </c>
      <c r="F1251">
        <v>3.9980000000000002</v>
      </c>
      <c r="G1251">
        <v>3.8860000000000001</v>
      </c>
      <c r="H1251">
        <v>3.8210000000000002</v>
      </c>
      <c r="I1251">
        <v>3.8319999999999999</v>
      </c>
      <c r="J1251">
        <v>30.937000000000001</v>
      </c>
      <c r="K1251">
        <v>21.4</v>
      </c>
      <c r="L1251">
        <v>1.1910000000000001</v>
      </c>
    </row>
    <row r="1252" spans="1:12" x14ac:dyDescent="0.25">
      <c r="A1252">
        <v>93150</v>
      </c>
      <c r="B1252">
        <v>3.895</v>
      </c>
      <c r="C1252">
        <v>3.91</v>
      </c>
      <c r="D1252">
        <v>3.823</v>
      </c>
      <c r="E1252">
        <v>3.7719999999999998</v>
      </c>
      <c r="F1252">
        <v>4.016</v>
      </c>
      <c r="G1252">
        <v>3.8860000000000001</v>
      </c>
      <c r="H1252">
        <v>3.8210000000000002</v>
      </c>
      <c r="I1252">
        <v>3.8319999999999999</v>
      </c>
      <c r="J1252">
        <v>30.954999999999998</v>
      </c>
      <c r="K1252">
        <v>21.5</v>
      </c>
      <c r="L1252">
        <v>1.1930000000000001</v>
      </c>
    </row>
    <row r="1253" spans="1:12" x14ac:dyDescent="0.25">
      <c r="A1253">
        <v>98151</v>
      </c>
      <c r="B1253">
        <v>3.895</v>
      </c>
      <c r="C1253">
        <v>3.91</v>
      </c>
      <c r="D1253">
        <v>3.823</v>
      </c>
      <c r="E1253">
        <v>3.7719999999999998</v>
      </c>
      <c r="F1253">
        <v>3.9980000000000002</v>
      </c>
      <c r="G1253">
        <v>3.8860000000000001</v>
      </c>
      <c r="H1253">
        <v>3.8210000000000002</v>
      </c>
      <c r="I1253">
        <v>3.8319999999999999</v>
      </c>
      <c r="J1253">
        <v>30.937000000000001</v>
      </c>
      <c r="K1253">
        <v>21.5</v>
      </c>
      <c r="L1253">
        <v>1.2</v>
      </c>
    </row>
    <row r="1254" spans="1:12" x14ac:dyDescent="0.25">
      <c r="A1254">
        <v>103157</v>
      </c>
      <c r="B1254">
        <v>3.895</v>
      </c>
      <c r="C1254">
        <v>3.91</v>
      </c>
      <c r="D1254">
        <v>3.823</v>
      </c>
      <c r="E1254">
        <v>3.7719999999999998</v>
      </c>
      <c r="F1254">
        <v>4.0259999999999998</v>
      </c>
      <c r="G1254">
        <v>3.8580000000000001</v>
      </c>
      <c r="H1254">
        <v>3.8530000000000002</v>
      </c>
      <c r="I1254">
        <v>3.7989999999999999</v>
      </c>
      <c r="J1254">
        <v>30.936</v>
      </c>
      <c r="K1254">
        <v>21.5</v>
      </c>
      <c r="L1254">
        <v>1.1850000000000001</v>
      </c>
    </row>
    <row r="1255" spans="1:12" x14ac:dyDescent="0.25">
      <c r="A1255">
        <v>108164</v>
      </c>
      <c r="B1255">
        <v>3.895</v>
      </c>
      <c r="C1255">
        <v>3.91</v>
      </c>
      <c r="D1255">
        <v>3.823</v>
      </c>
      <c r="E1255">
        <v>3.7719999999999998</v>
      </c>
      <c r="F1255">
        <v>4.0259999999999998</v>
      </c>
      <c r="G1255">
        <v>3.8580000000000001</v>
      </c>
      <c r="H1255">
        <v>3.8530000000000002</v>
      </c>
      <c r="I1255">
        <v>3.7989999999999999</v>
      </c>
      <c r="J1255">
        <v>30.936</v>
      </c>
      <c r="K1255">
        <v>21.5</v>
      </c>
      <c r="L1255">
        <v>1.1919999999999999</v>
      </c>
    </row>
    <row r="1256" spans="1:12" x14ac:dyDescent="0.25">
      <c r="A1256">
        <v>113164</v>
      </c>
      <c r="B1256">
        <v>3.9</v>
      </c>
      <c r="C1256">
        <v>3.9049999999999998</v>
      </c>
      <c r="D1256">
        <v>3.823</v>
      </c>
      <c r="E1256">
        <v>3.7719999999999998</v>
      </c>
      <c r="F1256">
        <v>4.0259999999999998</v>
      </c>
      <c r="G1256">
        <v>3.8580000000000001</v>
      </c>
      <c r="H1256">
        <v>3.8530000000000002</v>
      </c>
      <c r="I1256">
        <v>3.7989999999999999</v>
      </c>
      <c r="J1256">
        <v>30.936</v>
      </c>
      <c r="K1256">
        <v>21.5</v>
      </c>
      <c r="L1256">
        <v>1.1839999999999999</v>
      </c>
    </row>
    <row r="1257" spans="1:12" x14ac:dyDescent="0.25">
      <c r="A1257">
        <v>118191</v>
      </c>
      <c r="B1257">
        <v>3.9</v>
      </c>
      <c r="C1257">
        <v>3.9049999999999998</v>
      </c>
      <c r="D1257">
        <v>3.8380000000000001</v>
      </c>
      <c r="E1257">
        <v>3.7570000000000001</v>
      </c>
      <c r="F1257">
        <v>4.0259999999999998</v>
      </c>
      <c r="G1257">
        <v>3.887</v>
      </c>
      <c r="H1257">
        <v>3.8250000000000002</v>
      </c>
      <c r="I1257">
        <v>3.8380000000000001</v>
      </c>
      <c r="J1257">
        <v>30.975999999999999</v>
      </c>
      <c r="K1257">
        <v>21.5</v>
      </c>
      <c r="L1257">
        <v>1.1890000000000001</v>
      </c>
    </row>
    <row r="1258" spans="1:12" x14ac:dyDescent="0.25">
      <c r="A1258">
        <v>123194</v>
      </c>
      <c r="B1258">
        <v>3.8559999999999999</v>
      </c>
      <c r="C1258">
        <v>3.8519999999999999</v>
      </c>
      <c r="D1258">
        <v>3.8039999999999998</v>
      </c>
      <c r="E1258">
        <v>3.71</v>
      </c>
      <c r="F1258">
        <v>3.9910000000000001</v>
      </c>
      <c r="G1258">
        <v>3.8170000000000002</v>
      </c>
      <c r="H1258">
        <v>3.7629999999999999</v>
      </c>
      <c r="I1258">
        <v>3.7429999999999999</v>
      </c>
      <c r="J1258">
        <v>30.536000000000001</v>
      </c>
      <c r="K1258">
        <v>21.4</v>
      </c>
      <c r="L1258">
        <v>0.12</v>
      </c>
    </row>
    <row r="1259" spans="1:12" x14ac:dyDescent="0.25">
      <c r="A1259">
        <v>128201</v>
      </c>
      <c r="B1259">
        <v>3.8420000000000001</v>
      </c>
      <c r="C1259">
        <v>3.84</v>
      </c>
      <c r="D1259">
        <v>3.7869999999999999</v>
      </c>
      <c r="E1259">
        <v>3.7</v>
      </c>
      <c r="F1259">
        <v>3.9710000000000001</v>
      </c>
      <c r="G1259">
        <v>3.7839999999999998</v>
      </c>
      <c r="H1259">
        <v>3.7429999999999999</v>
      </c>
      <c r="I1259">
        <v>3.7109999999999999</v>
      </c>
      <c r="J1259">
        <v>30.378</v>
      </c>
      <c r="K1259">
        <v>21.4</v>
      </c>
      <c r="L1259">
        <v>-3.4000000000000002E-2</v>
      </c>
    </row>
    <row r="1260" spans="1:12" x14ac:dyDescent="0.25">
      <c r="A1260">
        <v>133207</v>
      </c>
      <c r="B1260">
        <v>3.8420000000000001</v>
      </c>
      <c r="C1260">
        <v>3.831</v>
      </c>
      <c r="D1260">
        <v>3.7810000000000001</v>
      </c>
      <c r="E1260">
        <v>3.6960000000000002</v>
      </c>
      <c r="F1260">
        <v>3.9620000000000002</v>
      </c>
      <c r="G1260">
        <v>3.8119999999999998</v>
      </c>
      <c r="H1260">
        <v>3.7429999999999999</v>
      </c>
      <c r="I1260">
        <v>3.7109999999999999</v>
      </c>
      <c r="J1260">
        <v>30.378</v>
      </c>
      <c r="K1260">
        <v>21.5</v>
      </c>
      <c r="L1260">
        <v>-3.3000000000000002E-2</v>
      </c>
    </row>
    <row r="1261" spans="1:12" x14ac:dyDescent="0.25">
      <c r="A1261">
        <v>138214</v>
      </c>
      <c r="B1261">
        <v>3.8370000000000002</v>
      </c>
      <c r="C1261">
        <v>3.8359999999999999</v>
      </c>
      <c r="D1261">
        <v>3.7669999999999999</v>
      </c>
      <c r="E1261">
        <v>3.7109999999999999</v>
      </c>
      <c r="F1261">
        <v>3.9710000000000001</v>
      </c>
      <c r="G1261">
        <v>3.7839999999999998</v>
      </c>
      <c r="H1261">
        <v>3.7429999999999999</v>
      </c>
      <c r="I1261">
        <v>3.7109999999999999</v>
      </c>
      <c r="J1261">
        <v>30.36</v>
      </c>
      <c r="K1261">
        <v>21.5</v>
      </c>
      <c r="L1261">
        <v>-2.8000000000000001E-2</v>
      </c>
    </row>
    <row r="1262" spans="1:12" x14ac:dyDescent="0.25">
      <c r="A1262">
        <v>143215</v>
      </c>
      <c r="B1262">
        <v>3.891</v>
      </c>
      <c r="C1262">
        <v>3.8969999999999998</v>
      </c>
      <c r="D1262">
        <v>3.8119999999999998</v>
      </c>
      <c r="E1262">
        <v>3.7650000000000001</v>
      </c>
      <c r="F1262">
        <v>4.0069999999999997</v>
      </c>
      <c r="G1262">
        <v>3.8559999999999999</v>
      </c>
      <c r="H1262">
        <v>3.8450000000000002</v>
      </c>
      <c r="I1262">
        <v>3.7869999999999999</v>
      </c>
      <c r="J1262">
        <v>30.86</v>
      </c>
      <c r="K1262">
        <v>21.5</v>
      </c>
      <c r="L1262">
        <v>1.1919999999999999</v>
      </c>
    </row>
    <row r="1263" spans="1:12" x14ac:dyDescent="0.25">
      <c r="A1263">
        <v>7846</v>
      </c>
      <c r="B1263">
        <v>0</v>
      </c>
      <c r="C1263">
        <v>3.9009999999999998</v>
      </c>
      <c r="D1263">
        <v>3.8319999999999999</v>
      </c>
      <c r="E1263">
        <v>3.754</v>
      </c>
      <c r="F1263">
        <v>4.016</v>
      </c>
      <c r="G1263">
        <v>3.8860000000000001</v>
      </c>
      <c r="H1263">
        <v>3.8210000000000002</v>
      </c>
      <c r="I1263">
        <v>3.8319999999999999</v>
      </c>
      <c r="J1263">
        <v>27.042000000000002</v>
      </c>
      <c r="K1263">
        <v>21.5</v>
      </c>
      <c r="L1263">
        <v>-8.9999999999999993E-3</v>
      </c>
    </row>
    <row r="1264" spans="1:12" x14ac:dyDescent="0.25">
      <c r="A1264">
        <v>12851</v>
      </c>
      <c r="B1264">
        <v>3.895</v>
      </c>
      <c r="C1264">
        <v>3.91</v>
      </c>
      <c r="D1264">
        <v>3.823</v>
      </c>
      <c r="E1264">
        <v>3.7719999999999998</v>
      </c>
      <c r="F1264">
        <v>3.9980000000000002</v>
      </c>
      <c r="G1264">
        <v>3.8860000000000001</v>
      </c>
      <c r="H1264">
        <v>3.8210000000000002</v>
      </c>
      <c r="I1264">
        <v>3.7930000000000001</v>
      </c>
      <c r="J1264">
        <v>30.898</v>
      </c>
      <c r="K1264">
        <v>21.4</v>
      </c>
      <c r="L1264">
        <v>1.6E-2</v>
      </c>
    </row>
    <row r="1265" spans="1:12" x14ac:dyDescent="0.25">
      <c r="A1265">
        <v>17913</v>
      </c>
      <c r="B1265">
        <v>3.9</v>
      </c>
      <c r="C1265">
        <v>3.9049999999999998</v>
      </c>
      <c r="D1265">
        <v>3.823</v>
      </c>
      <c r="E1265">
        <v>3.7719999999999998</v>
      </c>
      <c r="F1265">
        <v>4.016</v>
      </c>
      <c r="G1265">
        <v>3.8860000000000001</v>
      </c>
      <c r="H1265">
        <v>3.8210000000000002</v>
      </c>
      <c r="I1265">
        <v>3.8319999999999999</v>
      </c>
      <c r="J1265">
        <v>30.954999999999998</v>
      </c>
      <c r="K1265">
        <v>21.5</v>
      </c>
      <c r="L1265">
        <v>1.7000000000000001E-2</v>
      </c>
    </row>
    <row r="1266" spans="1:12" x14ac:dyDescent="0.25">
      <c r="A1266">
        <v>22918</v>
      </c>
      <c r="B1266">
        <v>3.895</v>
      </c>
      <c r="C1266">
        <v>3.91</v>
      </c>
      <c r="D1266">
        <v>3.823</v>
      </c>
      <c r="E1266">
        <v>3.7719999999999998</v>
      </c>
      <c r="F1266">
        <v>3.9980000000000002</v>
      </c>
      <c r="G1266">
        <v>3.8860000000000001</v>
      </c>
      <c r="H1266">
        <v>3.8210000000000002</v>
      </c>
      <c r="I1266">
        <v>3.8319999999999999</v>
      </c>
      <c r="J1266">
        <v>30.937000000000001</v>
      </c>
      <c r="K1266">
        <v>21.5</v>
      </c>
      <c r="L1266">
        <v>-0.01</v>
      </c>
    </row>
    <row r="1267" spans="1:12" x14ac:dyDescent="0.25">
      <c r="A1267">
        <v>7727</v>
      </c>
      <c r="B1267">
        <v>0</v>
      </c>
      <c r="C1267">
        <v>3.9049999999999998</v>
      </c>
      <c r="D1267">
        <v>3.8380000000000001</v>
      </c>
      <c r="E1267">
        <v>3.7570000000000001</v>
      </c>
      <c r="F1267">
        <v>4.0259999999999998</v>
      </c>
      <c r="G1267">
        <v>3.887</v>
      </c>
      <c r="H1267">
        <v>3.8250000000000002</v>
      </c>
      <c r="I1267">
        <v>3.8380000000000001</v>
      </c>
      <c r="J1267">
        <v>27.076000000000001</v>
      </c>
      <c r="K1267">
        <v>21.5</v>
      </c>
      <c r="L1267">
        <v>-8.9999999999999993E-3</v>
      </c>
    </row>
    <row r="1268" spans="1:12" x14ac:dyDescent="0.25">
      <c r="A1268">
        <v>12728</v>
      </c>
      <c r="B1268">
        <v>3.9</v>
      </c>
      <c r="C1268">
        <v>3.9049999999999998</v>
      </c>
      <c r="D1268">
        <v>3.8380000000000001</v>
      </c>
      <c r="E1268">
        <v>3.7570000000000001</v>
      </c>
      <c r="F1268">
        <v>4.0259999999999998</v>
      </c>
      <c r="G1268">
        <v>3.887</v>
      </c>
      <c r="H1268">
        <v>3.8250000000000002</v>
      </c>
      <c r="I1268">
        <v>3.8380000000000001</v>
      </c>
      <c r="J1268">
        <v>30.975999999999999</v>
      </c>
      <c r="K1268">
        <v>21.5</v>
      </c>
      <c r="L1268">
        <v>1.4E-2</v>
      </c>
    </row>
    <row r="1269" spans="1:12" x14ac:dyDescent="0.25">
      <c r="A1269">
        <v>17801</v>
      </c>
      <c r="B1269">
        <v>3.9</v>
      </c>
      <c r="C1269">
        <v>3.9140000000000001</v>
      </c>
      <c r="D1269">
        <v>3.8290000000000002</v>
      </c>
      <c r="E1269">
        <v>3.7570000000000001</v>
      </c>
      <c r="F1269">
        <v>4.0259999999999998</v>
      </c>
      <c r="G1269">
        <v>3.887</v>
      </c>
      <c r="H1269">
        <v>3.8250000000000002</v>
      </c>
      <c r="I1269">
        <v>3.8380000000000001</v>
      </c>
      <c r="J1269">
        <v>30.975999999999999</v>
      </c>
      <c r="K1269">
        <v>21.5</v>
      </c>
      <c r="L1269">
        <v>5.0000000000000001E-3</v>
      </c>
    </row>
    <row r="1270" spans="1:12" x14ac:dyDescent="0.25">
      <c r="A1270">
        <v>22812</v>
      </c>
      <c r="B1270">
        <v>3.9</v>
      </c>
      <c r="C1270">
        <v>3.9140000000000001</v>
      </c>
      <c r="D1270">
        <v>3.8290000000000002</v>
      </c>
      <c r="E1270">
        <v>3.7570000000000001</v>
      </c>
      <c r="F1270">
        <v>4.0259999999999998</v>
      </c>
      <c r="G1270">
        <v>3.887</v>
      </c>
      <c r="H1270">
        <v>3.8250000000000002</v>
      </c>
      <c r="I1270">
        <v>3.8380000000000001</v>
      </c>
      <c r="J1270">
        <v>30.975999999999999</v>
      </c>
      <c r="K1270">
        <v>21.5</v>
      </c>
      <c r="L1270">
        <v>3.0000000000000001E-3</v>
      </c>
    </row>
    <row r="1271" spans="1:12" x14ac:dyDescent="0.25">
      <c r="A1271">
        <v>27874</v>
      </c>
      <c r="B1271">
        <v>3.851</v>
      </c>
      <c r="C1271">
        <v>3.8479999999999999</v>
      </c>
      <c r="D1271">
        <v>3.7839999999999998</v>
      </c>
      <c r="E1271">
        <v>3.7210000000000001</v>
      </c>
      <c r="F1271">
        <v>3.9910000000000001</v>
      </c>
      <c r="G1271">
        <v>3.7879999999999998</v>
      </c>
      <c r="H1271">
        <v>3.7589999999999999</v>
      </c>
      <c r="I1271">
        <v>3.7370000000000001</v>
      </c>
      <c r="J1271">
        <v>30.478999999999999</v>
      </c>
      <c r="K1271">
        <v>21.5</v>
      </c>
      <c r="L1271">
        <v>-1.069</v>
      </c>
    </row>
    <row r="1272" spans="1:12" x14ac:dyDescent="0.25">
      <c r="A1272">
        <v>32885</v>
      </c>
      <c r="B1272">
        <v>3.847</v>
      </c>
      <c r="C1272">
        <v>3.8439999999999999</v>
      </c>
      <c r="D1272">
        <v>3.778</v>
      </c>
      <c r="E1272">
        <v>3.7170000000000001</v>
      </c>
      <c r="F1272">
        <v>3.9630000000000001</v>
      </c>
      <c r="G1272">
        <v>3.8140000000000001</v>
      </c>
      <c r="H1272">
        <v>3.7509999999999999</v>
      </c>
      <c r="I1272">
        <v>3.7240000000000002</v>
      </c>
      <c r="J1272">
        <v>30.437999999999999</v>
      </c>
      <c r="K1272">
        <v>21.5</v>
      </c>
      <c r="L1272">
        <v>-1.2310000000000001</v>
      </c>
    </row>
    <row r="1273" spans="1:12" x14ac:dyDescent="0.25">
      <c r="A1273">
        <v>37891</v>
      </c>
      <c r="B1273">
        <v>3.8420000000000001</v>
      </c>
      <c r="C1273">
        <v>3.84</v>
      </c>
      <c r="D1273">
        <v>3.7719999999999998</v>
      </c>
      <c r="E1273">
        <v>3.714</v>
      </c>
      <c r="F1273">
        <v>3.9529999999999998</v>
      </c>
      <c r="G1273">
        <v>3.8130000000000002</v>
      </c>
      <c r="H1273">
        <v>3.7469999999999999</v>
      </c>
      <c r="I1273">
        <v>3.718</v>
      </c>
      <c r="J1273">
        <v>30.399000000000001</v>
      </c>
      <c r="K1273">
        <v>21.5</v>
      </c>
      <c r="L1273">
        <v>-1.246</v>
      </c>
    </row>
    <row r="1274" spans="1:12" x14ac:dyDescent="0.25">
      <c r="A1274">
        <v>42893</v>
      </c>
      <c r="B1274">
        <v>3.8370000000000002</v>
      </c>
      <c r="C1274">
        <v>3.8359999999999999</v>
      </c>
      <c r="D1274">
        <v>3.7810000000000001</v>
      </c>
      <c r="E1274">
        <v>3.6960000000000002</v>
      </c>
      <c r="F1274">
        <v>3.9529999999999998</v>
      </c>
      <c r="G1274">
        <v>3.7839999999999998</v>
      </c>
      <c r="H1274">
        <v>3.7429999999999999</v>
      </c>
      <c r="I1274">
        <v>3.7109999999999999</v>
      </c>
      <c r="J1274">
        <v>30.341000000000001</v>
      </c>
      <c r="K1274">
        <v>21.5</v>
      </c>
      <c r="L1274">
        <v>-1.0999999999999999E-2</v>
      </c>
    </row>
    <row r="1275" spans="1:12" x14ac:dyDescent="0.25">
      <c r="A1275">
        <v>47897</v>
      </c>
      <c r="B1275">
        <v>3.895</v>
      </c>
      <c r="C1275">
        <v>3.9009999999999998</v>
      </c>
      <c r="D1275">
        <v>3.8180000000000001</v>
      </c>
      <c r="E1275">
        <v>3.7690000000000001</v>
      </c>
      <c r="F1275">
        <v>4.016</v>
      </c>
      <c r="G1275">
        <v>3.8860000000000001</v>
      </c>
      <c r="H1275">
        <v>3.8210000000000002</v>
      </c>
      <c r="I1275">
        <v>3.7930000000000001</v>
      </c>
      <c r="J1275">
        <v>30.899000000000001</v>
      </c>
      <c r="K1275">
        <v>21.5</v>
      </c>
      <c r="L1275">
        <v>-6.0000000000000001E-3</v>
      </c>
    </row>
    <row r="1276" spans="1:12" x14ac:dyDescent="0.25">
      <c r="A1276">
        <v>52902</v>
      </c>
      <c r="B1276">
        <v>3.895</v>
      </c>
      <c r="C1276">
        <v>3.9009999999999998</v>
      </c>
      <c r="D1276">
        <v>3.8319999999999999</v>
      </c>
      <c r="E1276">
        <v>3.754</v>
      </c>
      <c r="F1276">
        <v>4.016</v>
      </c>
      <c r="G1276">
        <v>3.8860000000000001</v>
      </c>
      <c r="H1276">
        <v>3.8210000000000002</v>
      </c>
      <c r="I1276">
        <v>3.8319999999999999</v>
      </c>
      <c r="J1276">
        <v>30.937000000000001</v>
      </c>
      <c r="K1276">
        <v>21.5</v>
      </c>
      <c r="L1276">
        <v>-1.2E-2</v>
      </c>
    </row>
    <row r="1277" spans="1:12" x14ac:dyDescent="0.25">
      <c r="A1277">
        <v>8313</v>
      </c>
      <c r="B1277">
        <v>0</v>
      </c>
      <c r="C1277">
        <v>3.9049999999999998</v>
      </c>
      <c r="D1277">
        <v>3.823</v>
      </c>
      <c r="E1277">
        <v>3.7719999999999998</v>
      </c>
      <c r="F1277">
        <v>4.0259999999999998</v>
      </c>
      <c r="G1277">
        <v>3.8580000000000001</v>
      </c>
      <c r="H1277">
        <v>3.8530000000000002</v>
      </c>
      <c r="I1277">
        <v>3.7989999999999999</v>
      </c>
      <c r="J1277">
        <v>27.036000000000001</v>
      </c>
      <c r="K1277">
        <v>21.4</v>
      </c>
      <c r="L1277">
        <v>-1.6E-2</v>
      </c>
    </row>
    <row r="1278" spans="1:12" x14ac:dyDescent="0.25">
      <c r="A1278">
        <v>13317</v>
      </c>
      <c r="B1278">
        <v>3.9</v>
      </c>
      <c r="C1278">
        <v>3.9049999999999998</v>
      </c>
      <c r="D1278">
        <v>3.823</v>
      </c>
      <c r="E1278">
        <v>3.7719999999999998</v>
      </c>
      <c r="F1278">
        <v>4.0259999999999998</v>
      </c>
      <c r="G1278">
        <v>3.8580000000000001</v>
      </c>
      <c r="H1278">
        <v>3.8210000000000002</v>
      </c>
      <c r="I1278">
        <v>3.8319999999999999</v>
      </c>
      <c r="J1278">
        <v>30.937000000000001</v>
      </c>
      <c r="K1278">
        <v>21.5</v>
      </c>
      <c r="L1278">
        <v>-2.7E-2</v>
      </c>
    </row>
    <row r="1279" spans="1:12" x14ac:dyDescent="0.25">
      <c r="A1279">
        <v>18318</v>
      </c>
      <c r="B1279">
        <v>3.9</v>
      </c>
      <c r="C1279">
        <v>3.9049999999999998</v>
      </c>
      <c r="D1279">
        <v>3.823</v>
      </c>
      <c r="E1279">
        <v>3.7719999999999998</v>
      </c>
      <c r="F1279">
        <v>4.0259999999999998</v>
      </c>
      <c r="G1279">
        <v>3.887</v>
      </c>
      <c r="H1279">
        <v>3.8250000000000002</v>
      </c>
      <c r="I1279">
        <v>3.7989999999999999</v>
      </c>
      <c r="J1279">
        <v>30.937000000000001</v>
      </c>
      <c r="K1279">
        <v>21.5</v>
      </c>
      <c r="L1279">
        <v>-8.0000000000000002E-3</v>
      </c>
    </row>
    <row r="1280" spans="1:12" x14ac:dyDescent="0.25">
      <c r="A1280">
        <v>23324</v>
      </c>
      <c r="B1280">
        <v>3.9</v>
      </c>
      <c r="C1280">
        <v>3.9049999999999998</v>
      </c>
      <c r="D1280">
        <v>3.8380000000000001</v>
      </c>
      <c r="E1280">
        <v>3.7570000000000001</v>
      </c>
      <c r="F1280">
        <v>4.0259999999999998</v>
      </c>
      <c r="G1280">
        <v>3.887</v>
      </c>
      <c r="H1280">
        <v>3.8250000000000002</v>
      </c>
      <c r="I1280">
        <v>3.7989999999999999</v>
      </c>
      <c r="J1280">
        <v>30.937000000000001</v>
      </c>
      <c r="K1280">
        <v>21.5</v>
      </c>
      <c r="L1280">
        <v>-2.7E-2</v>
      </c>
    </row>
    <row r="1281" spans="1:12" x14ac:dyDescent="0.25">
      <c r="A1281">
        <v>28331</v>
      </c>
      <c r="B1281">
        <v>3.9</v>
      </c>
      <c r="C1281">
        <v>3.9140000000000001</v>
      </c>
      <c r="D1281">
        <v>3.8290000000000002</v>
      </c>
      <c r="E1281">
        <v>3.7749999999999999</v>
      </c>
      <c r="F1281">
        <v>4.0259999999999998</v>
      </c>
      <c r="G1281">
        <v>3.887</v>
      </c>
      <c r="H1281">
        <v>3.8250000000000002</v>
      </c>
      <c r="I1281">
        <v>3.8380000000000001</v>
      </c>
      <c r="J1281">
        <v>30.994</v>
      </c>
      <c r="K1281">
        <v>21.5</v>
      </c>
      <c r="L1281">
        <v>-2E-3</v>
      </c>
    </row>
    <row r="1282" spans="1:12" x14ac:dyDescent="0.25">
      <c r="A1282">
        <v>33331</v>
      </c>
      <c r="B1282">
        <v>3.9</v>
      </c>
      <c r="C1282">
        <v>3.9140000000000001</v>
      </c>
      <c r="D1282">
        <v>3.8290000000000002</v>
      </c>
      <c r="E1282">
        <v>3.7570000000000001</v>
      </c>
      <c r="F1282">
        <v>4.0259999999999998</v>
      </c>
      <c r="G1282">
        <v>3.887</v>
      </c>
      <c r="H1282">
        <v>3.8250000000000002</v>
      </c>
      <c r="I1282">
        <v>3.8380000000000001</v>
      </c>
      <c r="J1282">
        <v>30.975999999999999</v>
      </c>
      <c r="K1282">
        <v>21.5</v>
      </c>
      <c r="L1282">
        <v>-5.0000000000000001E-3</v>
      </c>
    </row>
    <row r="1283" spans="1:12" x14ac:dyDescent="0.25">
      <c r="A1283">
        <v>38369</v>
      </c>
      <c r="B1283">
        <v>3.9</v>
      </c>
      <c r="C1283">
        <v>3.9140000000000001</v>
      </c>
      <c r="D1283">
        <v>3.8290000000000002</v>
      </c>
      <c r="E1283">
        <v>3.7570000000000001</v>
      </c>
      <c r="F1283">
        <v>4.0259999999999998</v>
      </c>
      <c r="G1283">
        <v>3.887</v>
      </c>
      <c r="H1283">
        <v>3.8570000000000002</v>
      </c>
      <c r="I1283">
        <v>3.806</v>
      </c>
      <c r="J1283">
        <v>30.975999999999999</v>
      </c>
      <c r="K1283">
        <v>21.4</v>
      </c>
      <c r="L1283">
        <v>-1.2999999999999999E-2</v>
      </c>
    </row>
    <row r="1284" spans="1:12" x14ac:dyDescent="0.25">
      <c r="A1284">
        <v>43379</v>
      </c>
      <c r="B1284">
        <v>3.9</v>
      </c>
      <c r="C1284">
        <v>3.9049999999999998</v>
      </c>
      <c r="D1284">
        <v>3.8380000000000001</v>
      </c>
      <c r="E1284">
        <v>3.7570000000000001</v>
      </c>
      <c r="F1284">
        <v>4.0259999999999998</v>
      </c>
      <c r="G1284">
        <v>3.887</v>
      </c>
      <c r="H1284">
        <v>3.8250000000000002</v>
      </c>
      <c r="I1284">
        <v>3.8380000000000001</v>
      </c>
      <c r="J1284">
        <v>30.975999999999999</v>
      </c>
      <c r="K1284">
        <v>21.5</v>
      </c>
      <c r="L1284">
        <v>-1.6E-2</v>
      </c>
    </row>
    <row r="1285" spans="1:12" x14ac:dyDescent="0.25">
      <c r="A1285">
        <v>48441</v>
      </c>
      <c r="B1285">
        <v>3.9049999999999998</v>
      </c>
      <c r="C1285">
        <v>3.9089999999999998</v>
      </c>
      <c r="D1285">
        <v>3.8290000000000002</v>
      </c>
      <c r="E1285">
        <v>3.7749999999999999</v>
      </c>
      <c r="F1285">
        <v>4.0350000000000001</v>
      </c>
      <c r="G1285">
        <v>3.859</v>
      </c>
      <c r="H1285">
        <v>3.8570000000000002</v>
      </c>
      <c r="I1285">
        <v>3.806</v>
      </c>
      <c r="J1285">
        <v>30.975000000000001</v>
      </c>
      <c r="K1285">
        <v>21.4</v>
      </c>
      <c r="L1285">
        <v>-6.0000000000000001E-3</v>
      </c>
    </row>
    <row r="1286" spans="1:12" x14ac:dyDescent="0.25">
      <c r="A1286">
        <v>53453</v>
      </c>
      <c r="B1286">
        <v>3.9</v>
      </c>
      <c r="C1286">
        <v>3.9140000000000001</v>
      </c>
      <c r="D1286">
        <v>3.8290000000000002</v>
      </c>
      <c r="E1286">
        <v>3.7749999999999999</v>
      </c>
      <c r="F1286">
        <v>4.0259999999999998</v>
      </c>
      <c r="G1286">
        <v>3.887</v>
      </c>
      <c r="H1286">
        <v>3.8250000000000002</v>
      </c>
      <c r="I1286">
        <v>3.8380000000000001</v>
      </c>
      <c r="J1286">
        <v>30.994</v>
      </c>
      <c r="K1286">
        <v>21.5</v>
      </c>
      <c r="L1286">
        <v>-5.0000000000000001E-3</v>
      </c>
    </row>
    <row r="1287" spans="1:12" x14ac:dyDescent="0.25">
      <c r="A1287">
        <v>58460</v>
      </c>
      <c r="B1287">
        <v>3.9049999999999998</v>
      </c>
      <c r="C1287">
        <v>3.9089999999999998</v>
      </c>
      <c r="D1287">
        <v>3.8290000000000002</v>
      </c>
      <c r="E1287">
        <v>3.7749999999999999</v>
      </c>
      <c r="F1287">
        <v>4.008</v>
      </c>
      <c r="G1287">
        <v>3.887</v>
      </c>
      <c r="H1287">
        <v>3.8250000000000002</v>
      </c>
      <c r="I1287">
        <v>3.8380000000000001</v>
      </c>
      <c r="J1287">
        <v>30.975999999999999</v>
      </c>
      <c r="K1287">
        <v>21.5</v>
      </c>
      <c r="L1287">
        <v>-1.4999999999999999E-2</v>
      </c>
    </row>
    <row r="1288" spans="1:12" x14ac:dyDescent="0.25">
      <c r="A1288">
        <v>63460</v>
      </c>
      <c r="B1288">
        <v>3.9049999999999998</v>
      </c>
      <c r="C1288">
        <v>3.9089999999999998</v>
      </c>
      <c r="D1288">
        <v>3.8290000000000002</v>
      </c>
      <c r="E1288">
        <v>3.7749999999999999</v>
      </c>
      <c r="F1288">
        <v>4.008</v>
      </c>
      <c r="G1288">
        <v>3.887</v>
      </c>
      <c r="H1288">
        <v>3.8570000000000002</v>
      </c>
      <c r="I1288">
        <v>3.806</v>
      </c>
      <c r="J1288">
        <v>30.975999999999999</v>
      </c>
      <c r="K1288">
        <v>21.5</v>
      </c>
      <c r="L1288">
        <v>-6.0000000000000001E-3</v>
      </c>
    </row>
    <row r="1289" spans="1:12" x14ac:dyDescent="0.25">
      <c r="A1289">
        <v>68466</v>
      </c>
      <c r="B1289">
        <v>3.9049999999999998</v>
      </c>
      <c r="C1289">
        <v>3.9089999999999998</v>
      </c>
      <c r="D1289">
        <v>3.8290000000000002</v>
      </c>
      <c r="E1289">
        <v>3.7749999999999999</v>
      </c>
      <c r="F1289">
        <v>4.008</v>
      </c>
      <c r="G1289">
        <v>3.887</v>
      </c>
      <c r="H1289">
        <v>3.8570000000000002</v>
      </c>
      <c r="I1289">
        <v>3.806</v>
      </c>
      <c r="J1289">
        <v>30.975999999999999</v>
      </c>
      <c r="K1289">
        <v>21.5</v>
      </c>
      <c r="L1289">
        <v>-2.3E-2</v>
      </c>
    </row>
    <row r="1290" spans="1:12" x14ac:dyDescent="0.25">
      <c r="A1290">
        <v>73471</v>
      </c>
      <c r="B1290">
        <v>3.9049999999999998</v>
      </c>
      <c r="C1290">
        <v>3.9089999999999998</v>
      </c>
      <c r="D1290">
        <v>3.8439999999999999</v>
      </c>
      <c r="E1290">
        <v>3.7610000000000001</v>
      </c>
      <c r="F1290">
        <v>4.008</v>
      </c>
      <c r="G1290">
        <v>3.887</v>
      </c>
      <c r="H1290">
        <v>3.8570000000000002</v>
      </c>
      <c r="I1290">
        <v>3.806</v>
      </c>
      <c r="J1290">
        <v>30.977</v>
      </c>
      <c r="K1290">
        <v>21.4</v>
      </c>
      <c r="L1290">
        <v>-0.01</v>
      </c>
    </row>
    <row r="1291" spans="1:12" x14ac:dyDescent="0.25">
      <c r="A1291">
        <v>78513</v>
      </c>
      <c r="B1291">
        <v>3.9049999999999998</v>
      </c>
      <c r="C1291">
        <v>3.9180000000000001</v>
      </c>
      <c r="D1291">
        <v>3.835</v>
      </c>
      <c r="E1291">
        <v>3.7610000000000001</v>
      </c>
      <c r="F1291">
        <v>4.0350000000000001</v>
      </c>
      <c r="G1291">
        <v>3.859</v>
      </c>
      <c r="H1291">
        <v>3.8570000000000002</v>
      </c>
      <c r="I1291">
        <v>3.806</v>
      </c>
      <c r="J1291">
        <v>30.975999999999999</v>
      </c>
      <c r="K1291">
        <v>21.4</v>
      </c>
      <c r="L1291">
        <v>-0.02</v>
      </c>
    </row>
    <row r="1292" spans="1:12" x14ac:dyDescent="0.25">
      <c r="A1292">
        <v>83524</v>
      </c>
      <c r="B1292">
        <v>3.9049999999999998</v>
      </c>
      <c r="C1292">
        <v>3.9089999999999998</v>
      </c>
      <c r="D1292">
        <v>3.8290000000000002</v>
      </c>
      <c r="E1292">
        <v>3.7749999999999999</v>
      </c>
      <c r="F1292">
        <v>4.0350000000000001</v>
      </c>
      <c r="G1292">
        <v>3.8879999999999999</v>
      </c>
      <c r="H1292">
        <v>3.8290000000000002</v>
      </c>
      <c r="I1292">
        <v>3.8450000000000002</v>
      </c>
      <c r="J1292">
        <v>31.015000000000001</v>
      </c>
      <c r="K1292">
        <v>21.5</v>
      </c>
      <c r="L1292">
        <v>-1.2999999999999999E-2</v>
      </c>
    </row>
    <row r="1293" spans="1:12" x14ac:dyDescent="0.25">
      <c r="A1293">
        <v>88530</v>
      </c>
      <c r="B1293">
        <v>3.9049999999999998</v>
      </c>
      <c r="C1293">
        <v>3.9089999999999998</v>
      </c>
      <c r="D1293">
        <v>3.8290000000000002</v>
      </c>
      <c r="E1293">
        <v>3.7749999999999999</v>
      </c>
      <c r="F1293">
        <v>4.0350000000000001</v>
      </c>
      <c r="G1293">
        <v>3.859</v>
      </c>
      <c r="H1293">
        <v>3.8570000000000002</v>
      </c>
      <c r="I1293">
        <v>3.806</v>
      </c>
      <c r="J1293">
        <v>30.975000000000001</v>
      </c>
      <c r="K1293">
        <v>21.4</v>
      </c>
      <c r="L1293">
        <v>-1.7000000000000001E-2</v>
      </c>
    </row>
    <row r="1294" spans="1:12" x14ac:dyDescent="0.25">
      <c r="A1294">
        <v>93530</v>
      </c>
      <c r="B1294">
        <v>3.9049999999999998</v>
      </c>
      <c r="C1294">
        <v>3.9089999999999998</v>
      </c>
      <c r="D1294">
        <v>3.8290000000000002</v>
      </c>
      <c r="E1294">
        <v>3.7749999999999999</v>
      </c>
      <c r="F1294">
        <v>4.0350000000000001</v>
      </c>
      <c r="G1294">
        <v>3.859</v>
      </c>
      <c r="H1294">
        <v>3.8570000000000002</v>
      </c>
      <c r="I1294">
        <v>3.806</v>
      </c>
      <c r="J1294">
        <v>30.975000000000001</v>
      </c>
      <c r="K1294">
        <v>21.5</v>
      </c>
      <c r="L1294">
        <v>-3.1E-2</v>
      </c>
    </row>
    <row r="1295" spans="1:12" x14ac:dyDescent="0.25">
      <c r="A1295">
        <v>98533</v>
      </c>
      <c r="B1295">
        <v>3.9049999999999998</v>
      </c>
      <c r="C1295">
        <v>3.9089999999999998</v>
      </c>
      <c r="D1295">
        <v>3.8439999999999999</v>
      </c>
      <c r="E1295">
        <v>3.7610000000000001</v>
      </c>
      <c r="F1295">
        <v>4.0350000000000001</v>
      </c>
      <c r="G1295">
        <v>3.8879999999999999</v>
      </c>
      <c r="H1295">
        <v>3.8290000000000002</v>
      </c>
      <c r="I1295">
        <v>3.806</v>
      </c>
      <c r="J1295">
        <v>30.977</v>
      </c>
      <c r="K1295">
        <v>21.4</v>
      </c>
      <c r="L1295">
        <v>-1.2E-2</v>
      </c>
    </row>
    <row r="1296" spans="1:12" x14ac:dyDescent="0.25">
      <c r="A1296">
        <v>103534</v>
      </c>
      <c r="B1296">
        <v>3.9049999999999998</v>
      </c>
      <c r="C1296">
        <v>3.9089999999999998</v>
      </c>
      <c r="D1296">
        <v>3.8439999999999999</v>
      </c>
      <c r="E1296">
        <v>3.7610000000000001</v>
      </c>
      <c r="F1296">
        <v>4.0350000000000001</v>
      </c>
      <c r="G1296">
        <v>3.859</v>
      </c>
      <c r="H1296">
        <v>3.8570000000000002</v>
      </c>
      <c r="I1296">
        <v>3.806</v>
      </c>
      <c r="J1296">
        <v>30.975999999999999</v>
      </c>
      <c r="K1296">
        <v>21.4</v>
      </c>
      <c r="L1296">
        <v>-3.0000000000000001E-3</v>
      </c>
    </row>
    <row r="1297" spans="1:12" x14ac:dyDescent="0.25">
      <c r="A1297">
        <v>108576</v>
      </c>
      <c r="B1297">
        <v>3.9049999999999998</v>
      </c>
      <c r="C1297">
        <v>3.9180000000000001</v>
      </c>
      <c r="D1297">
        <v>3.835</v>
      </c>
      <c r="E1297">
        <v>3.7789999999999999</v>
      </c>
      <c r="F1297">
        <v>4.0350000000000001</v>
      </c>
      <c r="G1297">
        <v>3.8879999999999999</v>
      </c>
      <c r="H1297">
        <v>3.8290000000000002</v>
      </c>
      <c r="I1297">
        <v>3.806</v>
      </c>
      <c r="J1297">
        <v>30.995000000000001</v>
      </c>
      <c r="K1297">
        <v>21.4</v>
      </c>
      <c r="L1297">
        <v>-1.2999999999999999E-2</v>
      </c>
    </row>
    <row r="1298" spans="1:12" x14ac:dyDescent="0.25">
      <c r="A1298">
        <v>113587</v>
      </c>
      <c r="B1298">
        <v>3.9049999999999998</v>
      </c>
      <c r="C1298">
        <v>3.9180000000000001</v>
      </c>
      <c r="D1298">
        <v>3.835</v>
      </c>
      <c r="E1298">
        <v>3.7610000000000001</v>
      </c>
      <c r="F1298">
        <v>4.0350000000000001</v>
      </c>
      <c r="G1298">
        <v>3.8879999999999999</v>
      </c>
      <c r="H1298">
        <v>3.8290000000000002</v>
      </c>
      <c r="I1298">
        <v>3.8450000000000002</v>
      </c>
      <c r="J1298">
        <v>31.015999999999998</v>
      </c>
      <c r="K1298">
        <v>21.4</v>
      </c>
      <c r="L1298">
        <v>-1.7999999999999999E-2</v>
      </c>
    </row>
    <row r="1299" spans="1:12" x14ac:dyDescent="0.25">
      <c r="A1299">
        <v>118594</v>
      </c>
      <c r="B1299">
        <v>3.9049999999999998</v>
      </c>
      <c r="C1299">
        <v>3.9180000000000001</v>
      </c>
      <c r="D1299">
        <v>3.835</v>
      </c>
      <c r="E1299">
        <v>3.7610000000000001</v>
      </c>
      <c r="F1299">
        <v>4.0350000000000001</v>
      </c>
      <c r="G1299">
        <v>3.8879999999999999</v>
      </c>
      <c r="H1299">
        <v>3.8290000000000002</v>
      </c>
      <c r="I1299">
        <v>3.8450000000000002</v>
      </c>
      <c r="J1299">
        <v>31.015999999999998</v>
      </c>
      <c r="K1299">
        <v>21.4</v>
      </c>
      <c r="L1299">
        <v>-8.0000000000000002E-3</v>
      </c>
    </row>
    <row r="1300" spans="1:12" x14ac:dyDescent="0.25">
      <c r="A1300">
        <v>123594</v>
      </c>
      <c r="B1300">
        <v>3.9049999999999998</v>
      </c>
      <c r="C1300">
        <v>3.9180000000000001</v>
      </c>
      <c r="D1300">
        <v>3.835</v>
      </c>
      <c r="E1300">
        <v>3.7610000000000001</v>
      </c>
      <c r="F1300">
        <v>4.0350000000000001</v>
      </c>
      <c r="G1300">
        <v>3.8879999999999999</v>
      </c>
      <c r="H1300">
        <v>3.8290000000000002</v>
      </c>
      <c r="I1300">
        <v>3.8450000000000002</v>
      </c>
      <c r="J1300">
        <v>31.015999999999998</v>
      </c>
      <c r="K1300">
        <v>21.4</v>
      </c>
      <c r="L1300">
        <v>4.0000000000000001E-3</v>
      </c>
    </row>
    <row r="1301" spans="1:12" x14ac:dyDescent="0.25">
      <c r="A1301">
        <v>128596</v>
      </c>
      <c r="B1301">
        <v>3.9049999999999998</v>
      </c>
      <c r="C1301">
        <v>3.9180000000000001</v>
      </c>
      <c r="D1301">
        <v>3.835</v>
      </c>
      <c r="E1301">
        <v>3.7610000000000001</v>
      </c>
      <c r="F1301">
        <v>4.0350000000000001</v>
      </c>
      <c r="G1301">
        <v>3.8879999999999999</v>
      </c>
      <c r="H1301">
        <v>3.8290000000000002</v>
      </c>
      <c r="I1301">
        <v>3.8450000000000002</v>
      </c>
      <c r="J1301">
        <v>31.015999999999998</v>
      </c>
      <c r="K1301">
        <v>21.4</v>
      </c>
      <c r="L1301">
        <v>-6.0000000000000001E-3</v>
      </c>
    </row>
    <row r="1302" spans="1:12" x14ac:dyDescent="0.25">
      <c r="A1302">
        <v>133601</v>
      </c>
      <c r="B1302">
        <v>3.9049999999999998</v>
      </c>
      <c r="C1302">
        <v>3.9180000000000001</v>
      </c>
      <c r="D1302">
        <v>3.835</v>
      </c>
      <c r="E1302">
        <v>3.7610000000000001</v>
      </c>
      <c r="F1302">
        <v>4.0350000000000001</v>
      </c>
      <c r="G1302">
        <v>3.8879999999999999</v>
      </c>
      <c r="H1302">
        <v>3.8290000000000002</v>
      </c>
      <c r="I1302">
        <v>3.8450000000000002</v>
      </c>
      <c r="J1302">
        <v>31.015999999999998</v>
      </c>
      <c r="K1302">
        <v>21.5</v>
      </c>
      <c r="L1302">
        <v>6.0000000000000001E-3</v>
      </c>
    </row>
    <row r="1303" spans="1:12" x14ac:dyDescent="0.25">
      <c r="A1303">
        <v>138643</v>
      </c>
      <c r="B1303">
        <v>3.9049999999999998</v>
      </c>
      <c r="C1303">
        <v>3.9180000000000001</v>
      </c>
      <c r="D1303">
        <v>3.835</v>
      </c>
      <c r="E1303">
        <v>3.7610000000000001</v>
      </c>
      <c r="F1303">
        <v>4.0350000000000001</v>
      </c>
      <c r="G1303">
        <v>3.8879999999999999</v>
      </c>
      <c r="H1303">
        <v>3.8290000000000002</v>
      </c>
      <c r="I1303">
        <v>3.8450000000000002</v>
      </c>
      <c r="J1303">
        <v>31.015999999999998</v>
      </c>
      <c r="K1303">
        <v>21.4</v>
      </c>
      <c r="L1303">
        <v>-8.0000000000000002E-3</v>
      </c>
    </row>
    <row r="1304" spans="1:12" x14ac:dyDescent="0.25">
      <c r="A1304">
        <v>143654</v>
      </c>
      <c r="B1304">
        <v>3.9049999999999998</v>
      </c>
      <c r="C1304">
        <v>3.9180000000000001</v>
      </c>
      <c r="D1304">
        <v>3.835</v>
      </c>
      <c r="E1304">
        <v>3.7610000000000001</v>
      </c>
      <c r="F1304">
        <v>4.0350000000000001</v>
      </c>
      <c r="G1304">
        <v>3.8879999999999999</v>
      </c>
      <c r="H1304">
        <v>3.8290000000000002</v>
      </c>
      <c r="I1304">
        <v>3.8450000000000002</v>
      </c>
      <c r="J1304">
        <v>31.015999999999998</v>
      </c>
      <c r="K1304">
        <v>21.4</v>
      </c>
      <c r="L1304">
        <v>-1.2999999999999999E-2</v>
      </c>
    </row>
    <row r="1305" spans="1:12" x14ac:dyDescent="0.25">
      <c r="A1305">
        <v>148656</v>
      </c>
      <c r="B1305">
        <v>3.9049999999999998</v>
      </c>
      <c r="C1305">
        <v>3.9180000000000001</v>
      </c>
      <c r="D1305">
        <v>3.835</v>
      </c>
      <c r="E1305">
        <v>3.7789999999999999</v>
      </c>
      <c r="F1305">
        <v>4.0170000000000003</v>
      </c>
      <c r="G1305">
        <v>3.8879999999999999</v>
      </c>
      <c r="H1305">
        <v>3.8290000000000002</v>
      </c>
      <c r="I1305">
        <v>3.8450000000000002</v>
      </c>
      <c r="J1305">
        <v>31.015999999999998</v>
      </c>
      <c r="K1305">
        <v>21.4</v>
      </c>
      <c r="L1305">
        <v>-4.0000000000000001E-3</v>
      </c>
    </row>
    <row r="1306" spans="1:12" x14ac:dyDescent="0.25">
      <c r="A1306">
        <v>153662</v>
      </c>
      <c r="B1306">
        <v>3.9049999999999998</v>
      </c>
      <c r="C1306">
        <v>3.9180000000000001</v>
      </c>
      <c r="D1306">
        <v>3.835</v>
      </c>
      <c r="E1306">
        <v>3.7789999999999999</v>
      </c>
      <c r="F1306">
        <v>4.0350000000000001</v>
      </c>
      <c r="G1306">
        <v>3.8879999999999999</v>
      </c>
      <c r="H1306">
        <v>3.8290000000000002</v>
      </c>
      <c r="I1306">
        <v>3.8450000000000002</v>
      </c>
      <c r="J1306">
        <v>31.033999999999999</v>
      </c>
      <c r="K1306">
        <v>21.4</v>
      </c>
      <c r="L1306">
        <v>5.0000000000000001E-3</v>
      </c>
    </row>
    <row r="1307" spans="1:12" x14ac:dyDescent="0.25">
      <c r="A1307">
        <v>158669</v>
      </c>
      <c r="B1307">
        <v>3.9049999999999998</v>
      </c>
      <c r="C1307">
        <v>3.9180000000000001</v>
      </c>
      <c r="D1307">
        <v>3.835</v>
      </c>
      <c r="E1307">
        <v>3.7789999999999999</v>
      </c>
      <c r="F1307">
        <v>4.0350000000000001</v>
      </c>
      <c r="G1307">
        <v>3.8879999999999999</v>
      </c>
      <c r="H1307">
        <v>3.8290000000000002</v>
      </c>
      <c r="I1307">
        <v>3.8450000000000002</v>
      </c>
      <c r="J1307">
        <v>31.033999999999999</v>
      </c>
      <c r="K1307">
        <v>21.4</v>
      </c>
      <c r="L1307">
        <v>-8.9999999999999993E-3</v>
      </c>
    </row>
    <row r="1308" spans="1:12" x14ac:dyDescent="0.25">
      <c r="A1308">
        <v>163669</v>
      </c>
      <c r="B1308">
        <v>3.9049999999999998</v>
      </c>
      <c r="C1308">
        <v>3.9180000000000001</v>
      </c>
      <c r="D1308">
        <v>3.835</v>
      </c>
      <c r="E1308">
        <v>3.7789999999999999</v>
      </c>
      <c r="F1308">
        <v>4.0350000000000001</v>
      </c>
      <c r="G1308">
        <v>3.8879999999999999</v>
      </c>
      <c r="H1308">
        <v>3.8290000000000002</v>
      </c>
      <c r="I1308">
        <v>3.8450000000000002</v>
      </c>
      <c r="J1308">
        <v>31.033999999999999</v>
      </c>
      <c r="K1308">
        <v>21.4</v>
      </c>
      <c r="L1308">
        <v>5.0000000000000001E-3</v>
      </c>
    </row>
    <row r="1309" spans="1:12" x14ac:dyDescent="0.25">
      <c r="A1309">
        <v>168670</v>
      </c>
      <c r="B1309">
        <v>3.9049999999999998</v>
      </c>
      <c r="C1309">
        <v>3.9180000000000001</v>
      </c>
      <c r="D1309">
        <v>3.835</v>
      </c>
      <c r="E1309">
        <v>3.7789999999999999</v>
      </c>
      <c r="F1309">
        <v>4.0350000000000001</v>
      </c>
      <c r="G1309">
        <v>3.8879999999999999</v>
      </c>
      <c r="H1309">
        <v>3.8290000000000002</v>
      </c>
      <c r="I1309">
        <v>3.8450000000000002</v>
      </c>
      <c r="J1309">
        <v>31.033999999999999</v>
      </c>
      <c r="K1309">
        <v>21.4</v>
      </c>
      <c r="L1309">
        <v>-7.0000000000000001E-3</v>
      </c>
    </row>
    <row r="1310" spans="1:12" x14ac:dyDescent="0.25">
      <c r="A1310">
        <v>175611</v>
      </c>
      <c r="B1310">
        <v>3.9049999999999998</v>
      </c>
      <c r="C1310">
        <v>3.9180000000000001</v>
      </c>
      <c r="D1310">
        <v>3.835</v>
      </c>
      <c r="E1310">
        <v>3.7789999999999999</v>
      </c>
      <c r="F1310">
        <v>4.0170000000000003</v>
      </c>
      <c r="G1310">
        <v>3.8879999999999999</v>
      </c>
      <c r="H1310">
        <v>3.8290000000000002</v>
      </c>
      <c r="I1310">
        <v>3.8450000000000002</v>
      </c>
      <c r="J1310">
        <v>31.015999999999998</v>
      </c>
      <c r="K1310">
        <v>21.4</v>
      </c>
      <c r="L1310">
        <v>-2.5000000000000001E-2</v>
      </c>
    </row>
    <row r="1311" spans="1:12" x14ac:dyDescent="0.25">
      <c r="A1311">
        <v>180615</v>
      </c>
      <c r="B1311">
        <v>3.9780000000000002</v>
      </c>
      <c r="C1311">
        <v>3.95</v>
      </c>
      <c r="D1311">
        <v>3.86</v>
      </c>
      <c r="E1311">
        <v>3.8090000000000002</v>
      </c>
      <c r="F1311">
        <v>4.0759999999999996</v>
      </c>
      <c r="G1311">
        <v>3.9239999999999999</v>
      </c>
      <c r="H1311">
        <v>3.8660000000000001</v>
      </c>
      <c r="I1311">
        <v>3.863</v>
      </c>
      <c r="J1311">
        <v>31.326000000000001</v>
      </c>
      <c r="K1311">
        <v>21.4</v>
      </c>
      <c r="L1311">
        <v>2.8000000000000001E-2</v>
      </c>
    </row>
    <row r="1312" spans="1:12" x14ac:dyDescent="0.25">
      <c r="A1312">
        <v>8470</v>
      </c>
      <c r="B1312">
        <v>0</v>
      </c>
      <c r="C1312">
        <v>3.9180000000000001</v>
      </c>
      <c r="D1312">
        <v>3.835</v>
      </c>
      <c r="E1312">
        <v>3.7789999999999999</v>
      </c>
      <c r="F1312">
        <v>4.0170000000000003</v>
      </c>
      <c r="G1312">
        <v>3.9159999999999999</v>
      </c>
      <c r="H1312">
        <v>3.8330000000000002</v>
      </c>
      <c r="I1312">
        <v>3.8119999999999998</v>
      </c>
      <c r="J1312">
        <v>27.11</v>
      </c>
      <c r="K1312">
        <v>21.4</v>
      </c>
      <c r="L1312">
        <v>-1.9E-2</v>
      </c>
    </row>
    <row r="1313" spans="1:12" x14ac:dyDescent="0.25">
      <c r="A1313">
        <v>15352</v>
      </c>
      <c r="B1313">
        <v>3.9049999999999998</v>
      </c>
      <c r="C1313">
        <v>3.9180000000000001</v>
      </c>
      <c r="D1313">
        <v>3.835</v>
      </c>
      <c r="E1313">
        <v>3.7789999999999999</v>
      </c>
      <c r="F1313">
        <v>4.0170000000000003</v>
      </c>
      <c r="G1313">
        <v>3.8879999999999999</v>
      </c>
      <c r="H1313">
        <v>3.8610000000000002</v>
      </c>
      <c r="I1313">
        <v>3.8119999999999998</v>
      </c>
      <c r="J1313">
        <v>31.015000000000001</v>
      </c>
      <c r="K1313">
        <v>21.4</v>
      </c>
      <c r="L1313">
        <v>-8.0000000000000002E-3</v>
      </c>
    </row>
    <row r="1314" spans="1:12" x14ac:dyDescent="0.25">
      <c r="A1314">
        <v>20357</v>
      </c>
      <c r="B1314">
        <v>3.9830000000000001</v>
      </c>
      <c r="C1314">
        <v>3.9449999999999998</v>
      </c>
      <c r="D1314">
        <v>3.8740000000000001</v>
      </c>
      <c r="E1314">
        <v>3.794</v>
      </c>
      <c r="F1314">
        <v>4.0759999999999996</v>
      </c>
      <c r="G1314">
        <v>3.9239999999999999</v>
      </c>
      <c r="H1314">
        <v>3.8660000000000001</v>
      </c>
      <c r="I1314">
        <v>3.863</v>
      </c>
      <c r="J1314">
        <v>31.324999999999999</v>
      </c>
      <c r="K1314">
        <v>21.4</v>
      </c>
      <c r="L1314">
        <v>2.5000000000000001E-2</v>
      </c>
    </row>
    <row r="1315" spans="1:12" x14ac:dyDescent="0.25">
      <c r="A1315">
        <v>25362</v>
      </c>
      <c r="B1315">
        <v>3.9830000000000001</v>
      </c>
      <c r="C1315">
        <v>3.9449999999999998</v>
      </c>
      <c r="D1315">
        <v>3.8740000000000001</v>
      </c>
      <c r="E1315">
        <v>3.8119999999999998</v>
      </c>
      <c r="F1315">
        <v>4.0579999999999998</v>
      </c>
      <c r="G1315">
        <v>3.9239999999999999</v>
      </c>
      <c r="H1315">
        <v>3.8660000000000001</v>
      </c>
      <c r="I1315">
        <v>3.863</v>
      </c>
      <c r="J1315">
        <v>31.324999999999999</v>
      </c>
      <c r="K1315">
        <v>21.4</v>
      </c>
      <c r="L1315">
        <v>2.8000000000000001E-2</v>
      </c>
    </row>
    <row r="1316" spans="1:12" x14ac:dyDescent="0.25">
      <c r="A1316">
        <v>30370</v>
      </c>
      <c r="B1316">
        <v>3.9830000000000001</v>
      </c>
      <c r="C1316">
        <v>3.9449999999999998</v>
      </c>
      <c r="D1316">
        <v>3.86</v>
      </c>
      <c r="E1316">
        <v>3.8090000000000002</v>
      </c>
      <c r="F1316">
        <v>4.0579999999999998</v>
      </c>
      <c r="G1316">
        <v>3.9239999999999999</v>
      </c>
      <c r="H1316">
        <v>3.8330000000000002</v>
      </c>
      <c r="I1316">
        <v>3.895</v>
      </c>
      <c r="J1316">
        <v>31.306999999999999</v>
      </c>
      <c r="K1316">
        <v>21.4</v>
      </c>
      <c r="L1316">
        <v>3.6999999999999998E-2</v>
      </c>
    </row>
    <row r="1317" spans="1:12" x14ac:dyDescent="0.25">
      <c r="A1317">
        <v>35379</v>
      </c>
      <c r="B1317">
        <v>3.9830000000000001</v>
      </c>
      <c r="C1317">
        <v>3.9540000000000002</v>
      </c>
      <c r="D1317">
        <v>3.851</v>
      </c>
      <c r="E1317">
        <v>3.8090000000000002</v>
      </c>
      <c r="F1317">
        <v>4.0579999999999998</v>
      </c>
      <c r="G1317">
        <v>3.9239999999999999</v>
      </c>
      <c r="H1317">
        <v>3.8660000000000001</v>
      </c>
      <c r="I1317">
        <v>3.863</v>
      </c>
      <c r="J1317">
        <v>31.308</v>
      </c>
      <c r="K1317">
        <v>21.4</v>
      </c>
      <c r="L1317">
        <v>2.9000000000000001E-2</v>
      </c>
    </row>
    <row r="1318" spans="1:12" x14ac:dyDescent="0.25">
      <c r="A1318">
        <v>40385</v>
      </c>
      <c r="B1318">
        <v>3.9830000000000001</v>
      </c>
      <c r="C1318">
        <v>3.9540000000000002</v>
      </c>
      <c r="D1318">
        <v>3.851</v>
      </c>
      <c r="E1318">
        <v>3.8260000000000001</v>
      </c>
      <c r="F1318">
        <v>4.03</v>
      </c>
      <c r="G1318">
        <v>3.952</v>
      </c>
      <c r="H1318">
        <v>3.8660000000000001</v>
      </c>
      <c r="I1318">
        <v>3.863</v>
      </c>
      <c r="J1318">
        <v>31.324999999999999</v>
      </c>
      <c r="K1318">
        <v>21.4</v>
      </c>
      <c r="L1318">
        <v>3.4000000000000002E-2</v>
      </c>
    </row>
    <row r="1319" spans="1:12" x14ac:dyDescent="0.25">
      <c r="A1319">
        <v>45394</v>
      </c>
      <c r="B1319">
        <v>3.9830000000000001</v>
      </c>
      <c r="C1319">
        <v>3.9449999999999998</v>
      </c>
      <c r="D1319">
        <v>3.8740000000000001</v>
      </c>
      <c r="E1319">
        <v>3.8119999999999998</v>
      </c>
      <c r="F1319">
        <v>4.0579999999999998</v>
      </c>
      <c r="G1319">
        <v>3.9239999999999999</v>
      </c>
      <c r="H1319">
        <v>3.8660000000000001</v>
      </c>
      <c r="I1319">
        <v>3.863</v>
      </c>
      <c r="J1319">
        <v>31.324999999999999</v>
      </c>
      <c r="K1319">
        <v>21.4</v>
      </c>
      <c r="L1319">
        <v>0.02</v>
      </c>
    </row>
    <row r="1320" spans="1:12" x14ac:dyDescent="0.25">
      <c r="A1320">
        <v>50397</v>
      </c>
      <c r="B1320">
        <v>3.9780000000000002</v>
      </c>
      <c r="C1320">
        <v>3.9590000000000001</v>
      </c>
      <c r="D1320">
        <v>3.8650000000000002</v>
      </c>
      <c r="E1320">
        <v>3.794</v>
      </c>
      <c r="F1320">
        <v>4.0579999999999998</v>
      </c>
      <c r="G1320">
        <v>3.9239999999999999</v>
      </c>
      <c r="H1320">
        <v>3.8660000000000001</v>
      </c>
      <c r="I1320">
        <v>3.863</v>
      </c>
      <c r="J1320">
        <v>31.306999999999999</v>
      </c>
      <c r="K1320">
        <v>21.4</v>
      </c>
      <c r="L1320">
        <v>1.4999999999999999E-2</v>
      </c>
    </row>
    <row r="1321" spans="1:12" x14ac:dyDescent="0.25">
      <c r="A1321">
        <v>55408</v>
      </c>
      <c r="B1321">
        <v>3.9830000000000001</v>
      </c>
      <c r="C1321">
        <v>3.9540000000000002</v>
      </c>
      <c r="D1321">
        <v>3.8650000000000002</v>
      </c>
      <c r="E1321">
        <v>3.794</v>
      </c>
      <c r="F1321">
        <v>4.0579999999999998</v>
      </c>
      <c r="G1321">
        <v>3.9239999999999999</v>
      </c>
      <c r="H1321">
        <v>3.8660000000000001</v>
      </c>
      <c r="I1321">
        <v>3.863</v>
      </c>
      <c r="J1321">
        <v>31.306999999999999</v>
      </c>
      <c r="K1321">
        <v>21.4</v>
      </c>
      <c r="L1321">
        <v>2.5999999999999999E-2</v>
      </c>
    </row>
    <row r="1322" spans="1:12" x14ac:dyDescent="0.25">
      <c r="A1322">
        <v>60409</v>
      </c>
      <c r="B1322">
        <v>3.9780000000000002</v>
      </c>
      <c r="C1322">
        <v>3.9590000000000001</v>
      </c>
      <c r="D1322">
        <v>3.8650000000000002</v>
      </c>
      <c r="E1322">
        <v>3.8119999999999998</v>
      </c>
      <c r="F1322">
        <v>4.0759999999999996</v>
      </c>
      <c r="G1322">
        <v>3.9239999999999999</v>
      </c>
      <c r="H1322">
        <v>3.8660000000000001</v>
      </c>
      <c r="I1322">
        <v>3.863</v>
      </c>
      <c r="J1322">
        <v>31.343</v>
      </c>
      <c r="K1322">
        <v>21.4</v>
      </c>
      <c r="L1322">
        <v>3.2000000000000001E-2</v>
      </c>
    </row>
    <row r="1323" spans="1:12" x14ac:dyDescent="0.25">
      <c r="A1323">
        <v>65415</v>
      </c>
      <c r="B1323">
        <v>3.9830000000000001</v>
      </c>
      <c r="C1323">
        <v>3.9540000000000002</v>
      </c>
      <c r="D1323">
        <v>3.8650000000000002</v>
      </c>
      <c r="E1323">
        <v>3.8119999999999998</v>
      </c>
      <c r="F1323">
        <v>4.0759999999999996</v>
      </c>
      <c r="G1323">
        <v>3.9239999999999999</v>
      </c>
      <c r="H1323">
        <v>3.8660000000000001</v>
      </c>
      <c r="I1323">
        <v>3.863</v>
      </c>
      <c r="J1323">
        <v>31.343</v>
      </c>
      <c r="K1323">
        <v>21.4</v>
      </c>
      <c r="L1323">
        <v>1.6E-2</v>
      </c>
    </row>
    <row r="1324" spans="1:12" x14ac:dyDescent="0.25">
      <c r="A1324">
        <v>70422</v>
      </c>
      <c r="B1324">
        <v>3.9830000000000001</v>
      </c>
      <c r="C1324">
        <v>3.9540000000000002</v>
      </c>
      <c r="D1324">
        <v>3.8650000000000002</v>
      </c>
      <c r="E1324">
        <v>3.794</v>
      </c>
      <c r="F1324">
        <v>4.0579999999999998</v>
      </c>
      <c r="G1324">
        <v>3.9239999999999999</v>
      </c>
      <c r="H1324">
        <v>3.8660000000000001</v>
      </c>
      <c r="I1324">
        <v>3.863</v>
      </c>
      <c r="J1324">
        <v>31.306999999999999</v>
      </c>
      <c r="K1324">
        <v>21.4</v>
      </c>
      <c r="L1324">
        <v>0.03</v>
      </c>
    </row>
    <row r="1325" spans="1:12" x14ac:dyDescent="0.25">
      <c r="A1325">
        <v>75422</v>
      </c>
      <c r="B1325">
        <v>3.9830000000000001</v>
      </c>
      <c r="C1325">
        <v>3.9449999999999998</v>
      </c>
      <c r="D1325">
        <v>3.8740000000000001</v>
      </c>
      <c r="E1325">
        <v>3.794</v>
      </c>
      <c r="F1325">
        <v>4.0579999999999998</v>
      </c>
      <c r="G1325">
        <v>3.9239999999999999</v>
      </c>
      <c r="H1325">
        <v>3.8660000000000001</v>
      </c>
      <c r="I1325">
        <v>3.863</v>
      </c>
      <c r="J1325">
        <v>31.306999999999999</v>
      </c>
      <c r="K1325">
        <v>21.4</v>
      </c>
      <c r="L1325">
        <v>3.1E-2</v>
      </c>
    </row>
    <row r="1326" spans="1:12" x14ac:dyDescent="0.25">
      <c r="A1326">
        <v>80429</v>
      </c>
      <c r="B1326">
        <v>3.9830000000000001</v>
      </c>
      <c r="C1326">
        <v>3.9540000000000002</v>
      </c>
      <c r="D1326">
        <v>3.8650000000000002</v>
      </c>
      <c r="E1326">
        <v>3.8119999999999998</v>
      </c>
      <c r="F1326">
        <v>4.03</v>
      </c>
      <c r="G1326">
        <v>3.952</v>
      </c>
      <c r="H1326">
        <v>3.8660000000000001</v>
      </c>
      <c r="I1326">
        <v>3.863</v>
      </c>
      <c r="J1326">
        <v>31.324999999999999</v>
      </c>
      <c r="K1326">
        <v>21.4</v>
      </c>
      <c r="L1326">
        <v>2.3E-2</v>
      </c>
    </row>
    <row r="1327" spans="1:12" x14ac:dyDescent="0.25">
      <c r="A1327">
        <v>85429</v>
      </c>
      <c r="B1327">
        <v>3.9830000000000001</v>
      </c>
      <c r="C1327">
        <v>3.9540000000000002</v>
      </c>
      <c r="D1327">
        <v>3.8650000000000002</v>
      </c>
      <c r="E1327">
        <v>3.8119999999999998</v>
      </c>
      <c r="F1327">
        <v>4.0579999999999998</v>
      </c>
      <c r="G1327">
        <v>3.9239999999999999</v>
      </c>
      <c r="H1327">
        <v>3.8660000000000001</v>
      </c>
      <c r="I1327">
        <v>3.863</v>
      </c>
      <c r="J1327">
        <v>31.324999999999999</v>
      </c>
      <c r="K1327">
        <v>21.4</v>
      </c>
      <c r="L1327">
        <v>0.01</v>
      </c>
    </row>
    <row r="1328" spans="1:12" x14ac:dyDescent="0.25">
      <c r="A1328">
        <v>90435</v>
      </c>
      <c r="B1328">
        <v>3.9830000000000001</v>
      </c>
      <c r="C1328">
        <v>3.9540000000000002</v>
      </c>
      <c r="D1328">
        <v>3.851</v>
      </c>
      <c r="E1328">
        <v>3.8260000000000001</v>
      </c>
      <c r="F1328">
        <v>4.0579999999999998</v>
      </c>
      <c r="G1328">
        <v>3.9239999999999999</v>
      </c>
      <c r="H1328">
        <v>3.8660000000000001</v>
      </c>
      <c r="I1328">
        <v>3.863</v>
      </c>
      <c r="J1328">
        <v>31.324999999999999</v>
      </c>
      <c r="K1328">
        <v>21.4</v>
      </c>
      <c r="L1328">
        <v>8.9999999999999993E-3</v>
      </c>
    </row>
    <row r="1329" spans="1:12" x14ac:dyDescent="0.25">
      <c r="A1329">
        <v>95435</v>
      </c>
      <c r="B1329">
        <v>3.9830000000000001</v>
      </c>
      <c r="C1329">
        <v>3.9540000000000002</v>
      </c>
      <c r="D1329">
        <v>3.8650000000000002</v>
      </c>
      <c r="E1329">
        <v>3.8119999999999998</v>
      </c>
      <c r="F1329">
        <v>4.0579999999999998</v>
      </c>
      <c r="G1329">
        <v>3.9529999999999998</v>
      </c>
      <c r="H1329">
        <v>3.8370000000000002</v>
      </c>
      <c r="I1329">
        <v>3.863</v>
      </c>
      <c r="J1329">
        <v>31.324999999999999</v>
      </c>
      <c r="K1329">
        <v>21.4</v>
      </c>
      <c r="L1329">
        <v>4.0000000000000001E-3</v>
      </c>
    </row>
    <row r="1330" spans="1:12" x14ac:dyDescent="0.25">
      <c r="A1330">
        <v>100442</v>
      </c>
      <c r="B1330">
        <v>3.9830000000000001</v>
      </c>
      <c r="C1330">
        <v>3.9540000000000002</v>
      </c>
      <c r="D1330">
        <v>3.8650000000000002</v>
      </c>
      <c r="E1330">
        <v>3.8119999999999998</v>
      </c>
      <c r="F1330">
        <v>4.0579999999999998</v>
      </c>
      <c r="G1330">
        <v>3.9239999999999999</v>
      </c>
      <c r="H1330">
        <v>3.8660000000000001</v>
      </c>
      <c r="I1330">
        <v>3.863</v>
      </c>
      <c r="J1330">
        <v>31.324999999999999</v>
      </c>
      <c r="K1330">
        <v>21.4</v>
      </c>
      <c r="L1330">
        <v>7.0000000000000001E-3</v>
      </c>
    </row>
    <row r="1331" spans="1:12" x14ac:dyDescent="0.25">
      <c r="A1331">
        <v>105448</v>
      </c>
      <c r="B1331">
        <v>3.9830000000000001</v>
      </c>
      <c r="C1331">
        <v>3.9540000000000002</v>
      </c>
      <c r="D1331">
        <v>3.8650000000000002</v>
      </c>
      <c r="E1331">
        <v>3.8119999999999998</v>
      </c>
      <c r="F1331">
        <v>4.0579999999999998</v>
      </c>
      <c r="G1331">
        <v>3.9529999999999998</v>
      </c>
      <c r="H1331">
        <v>3.8370000000000002</v>
      </c>
      <c r="I1331">
        <v>3.863</v>
      </c>
      <c r="J1331">
        <v>31.324999999999999</v>
      </c>
      <c r="K1331">
        <v>21.4</v>
      </c>
      <c r="L1331">
        <v>1.7999999999999999E-2</v>
      </c>
    </row>
    <row r="1332" spans="1:12" x14ac:dyDescent="0.25">
      <c r="A1332">
        <v>110455</v>
      </c>
      <c r="B1332">
        <v>3.9780000000000002</v>
      </c>
      <c r="C1332">
        <v>3.9590000000000001</v>
      </c>
      <c r="D1332">
        <v>3.8650000000000002</v>
      </c>
      <c r="E1332">
        <v>3.8119999999999998</v>
      </c>
      <c r="F1332">
        <v>4.0579999999999998</v>
      </c>
      <c r="G1332">
        <v>3.9239999999999999</v>
      </c>
      <c r="H1332">
        <v>3.8660000000000001</v>
      </c>
      <c r="I1332">
        <v>3.863</v>
      </c>
      <c r="J1332">
        <v>31.324999999999999</v>
      </c>
      <c r="K1332">
        <v>21.4</v>
      </c>
      <c r="L1332">
        <v>0.01</v>
      </c>
    </row>
    <row r="1333" spans="1:12" x14ac:dyDescent="0.25">
      <c r="A1333">
        <v>115455</v>
      </c>
      <c r="B1333">
        <v>3.9830000000000001</v>
      </c>
      <c r="C1333">
        <v>3.9540000000000002</v>
      </c>
      <c r="D1333">
        <v>3.8650000000000002</v>
      </c>
      <c r="E1333">
        <v>3.8119999999999998</v>
      </c>
      <c r="F1333">
        <v>4.085</v>
      </c>
      <c r="G1333">
        <v>3.9249999999999998</v>
      </c>
      <c r="H1333">
        <v>3.8370000000000002</v>
      </c>
      <c r="I1333">
        <v>3.863</v>
      </c>
      <c r="J1333">
        <v>31.324000000000002</v>
      </c>
      <c r="K1333">
        <v>21.4</v>
      </c>
      <c r="L1333">
        <v>8.0000000000000002E-3</v>
      </c>
    </row>
    <row r="1334" spans="1:12" x14ac:dyDescent="0.25">
      <c r="A1334">
        <v>120456</v>
      </c>
      <c r="B1334">
        <v>3.9830000000000001</v>
      </c>
      <c r="C1334">
        <v>3.9540000000000002</v>
      </c>
      <c r="D1334">
        <v>3.8650000000000002</v>
      </c>
      <c r="E1334">
        <v>3.8119999999999998</v>
      </c>
      <c r="F1334">
        <v>4.0579999999999998</v>
      </c>
      <c r="G1334">
        <v>3.9529999999999998</v>
      </c>
      <c r="H1334">
        <v>3.8370000000000002</v>
      </c>
      <c r="I1334">
        <v>3.9020000000000001</v>
      </c>
      <c r="J1334">
        <v>31.364000000000001</v>
      </c>
      <c r="K1334">
        <v>21.4</v>
      </c>
      <c r="L1334">
        <v>3.0000000000000001E-3</v>
      </c>
    </row>
    <row r="1335" spans="1:12" x14ac:dyDescent="0.25">
      <c r="A1335">
        <v>125463</v>
      </c>
      <c r="B1335">
        <v>3.9830000000000001</v>
      </c>
      <c r="C1335">
        <v>3.9540000000000002</v>
      </c>
      <c r="D1335">
        <v>3.8650000000000002</v>
      </c>
      <c r="E1335">
        <v>3.8119999999999998</v>
      </c>
      <c r="F1335">
        <v>4.0579999999999998</v>
      </c>
      <c r="G1335">
        <v>3.9239999999999999</v>
      </c>
      <c r="H1335">
        <v>3.8660000000000001</v>
      </c>
      <c r="I1335">
        <v>3.863</v>
      </c>
      <c r="J1335">
        <v>31.324999999999999</v>
      </c>
      <c r="K1335">
        <v>21.4</v>
      </c>
      <c r="L1335">
        <v>-2.5999999999999999E-2</v>
      </c>
    </row>
    <row r="1336" spans="1:12" x14ac:dyDescent="0.25">
      <c r="A1336">
        <v>130465</v>
      </c>
      <c r="B1336">
        <v>3.91</v>
      </c>
      <c r="C1336">
        <v>3.9220000000000002</v>
      </c>
      <c r="D1336">
        <v>3.84</v>
      </c>
      <c r="E1336">
        <v>3.782</v>
      </c>
      <c r="F1336">
        <v>4.0270000000000001</v>
      </c>
      <c r="G1336">
        <v>3.9169999999999998</v>
      </c>
      <c r="H1336">
        <v>3.8039999999999998</v>
      </c>
      <c r="I1336">
        <v>3.851</v>
      </c>
      <c r="J1336">
        <v>31.053000000000001</v>
      </c>
      <c r="K1336">
        <v>21.4</v>
      </c>
      <c r="L1336">
        <v>-2.3E-2</v>
      </c>
    </row>
    <row r="1337" spans="1:12" x14ac:dyDescent="0.25">
      <c r="A1337">
        <v>135465</v>
      </c>
      <c r="B1337">
        <v>3.91</v>
      </c>
      <c r="C1337">
        <v>3.9220000000000002</v>
      </c>
      <c r="D1337">
        <v>3.84</v>
      </c>
      <c r="E1337">
        <v>3.782</v>
      </c>
      <c r="F1337">
        <v>4.0449999999999999</v>
      </c>
      <c r="G1337">
        <v>3.8889999999999998</v>
      </c>
      <c r="H1337">
        <v>3.8330000000000002</v>
      </c>
      <c r="I1337">
        <v>3.851</v>
      </c>
      <c r="J1337">
        <v>31.071999999999999</v>
      </c>
      <c r="K1337">
        <v>21.4</v>
      </c>
      <c r="L1337">
        <v>-4.2999999999999997E-2</v>
      </c>
    </row>
    <row r="1338" spans="1:12" x14ac:dyDescent="0.25">
      <c r="A1338">
        <v>140467</v>
      </c>
      <c r="B1338">
        <v>3.91</v>
      </c>
      <c r="C1338">
        <v>3.9220000000000002</v>
      </c>
      <c r="D1338">
        <v>3.84</v>
      </c>
      <c r="E1338">
        <v>3.782</v>
      </c>
      <c r="F1338">
        <v>4.0270000000000001</v>
      </c>
      <c r="G1338">
        <v>3.9169999999999998</v>
      </c>
      <c r="H1338">
        <v>3.8039999999999998</v>
      </c>
      <c r="I1338">
        <v>3.851</v>
      </c>
      <c r="J1338">
        <v>31.053000000000001</v>
      </c>
      <c r="K1338">
        <v>21.4</v>
      </c>
      <c r="L1338">
        <v>-3.3000000000000002E-2</v>
      </c>
    </row>
    <row r="1339" spans="1:12" x14ac:dyDescent="0.25">
      <c r="A1339">
        <v>145472</v>
      </c>
      <c r="B1339">
        <v>3.91</v>
      </c>
      <c r="C1339">
        <v>3.9220000000000002</v>
      </c>
      <c r="D1339">
        <v>3.84</v>
      </c>
      <c r="E1339">
        <v>3.782</v>
      </c>
      <c r="F1339">
        <v>4.0270000000000001</v>
      </c>
      <c r="G1339">
        <v>3.8889999999999998</v>
      </c>
      <c r="H1339">
        <v>3.8650000000000002</v>
      </c>
      <c r="I1339">
        <v>3.8180000000000001</v>
      </c>
      <c r="J1339">
        <v>31.053000000000001</v>
      </c>
      <c r="K1339">
        <v>21.4</v>
      </c>
      <c r="L1339">
        <v>-2.1000000000000001E-2</v>
      </c>
    </row>
    <row r="1340" spans="1:12" x14ac:dyDescent="0.25">
      <c r="A1340">
        <v>150475</v>
      </c>
      <c r="B1340">
        <v>3.91</v>
      </c>
      <c r="C1340">
        <v>3.9220000000000002</v>
      </c>
      <c r="D1340">
        <v>3.84</v>
      </c>
      <c r="E1340">
        <v>3.782</v>
      </c>
      <c r="F1340">
        <v>4.0270000000000001</v>
      </c>
      <c r="G1340">
        <v>3.9169999999999998</v>
      </c>
      <c r="H1340">
        <v>3.8370000000000002</v>
      </c>
      <c r="I1340">
        <v>3.8180000000000001</v>
      </c>
      <c r="J1340">
        <v>31.053000000000001</v>
      </c>
      <c r="K1340">
        <v>21.4</v>
      </c>
      <c r="L1340">
        <v>-2.8000000000000001E-2</v>
      </c>
    </row>
    <row r="1341" spans="1:12" x14ac:dyDescent="0.25">
      <c r="A1341">
        <v>155475</v>
      </c>
      <c r="B1341">
        <v>3.915</v>
      </c>
      <c r="C1341">
        <v>3.9260000000000002</v>
      </c>
      <c r="D1341">
        <v>3.8319999999999999</v>
      </c>
      <c r="E1341">
        <v>3.782</v>
      </c>
      <c r="F1341">
        <v>4.0270000000000001</v>
      </c>
      <c r="G1341">
        <v>3.9169999999999998</v>
      </c>
      <c r="H1341">
        <v>3.8370000000000002</v>
      </c>
      <c r="I1341">
        <v>3.8180000000000001</v>
      </c>
      <c r="J1341">
        <v>31.053999999999998</v>
      </c>
      <c r="K1341">
        <v>21.4</v>
      </c>
      <c r="L1341">
        <v>-3.2000000000000001E-2</v>
      </c>
    </row>
    <row r="1342" spans="1:12" x14ac:dyDescent="0.25">
      <c r="A1342">
        <v>160482</v>
      </c>
      <c r="B1342">
        <v>3.915</v>
      </c>
      <c r="C1342">
        <v>3.9260000000000002</v>
      </c>
      <c r="D1342">
        <v>3.8319999999999999</v>
      </c>
      <c r="E1342">
        <v>3.782</v>
      </c>
      <c r="F1342">
        <v>4.0270000000000001</v>
      </c>
      <c r="G1342">
        <v>3.9169999999999998</v>
      </c>
      <c r="H1342">
        <v>3.8370000000000002</v>
      </c>
      <c r="I1342">
        <v>3.8570000000000002</v>
      </c>
      <c r="J1342">
        <v>31.093</v>
      </c>
      <c r="K1342">
        <v>21.4</v>
      </c>
      <c r="L1342">
        <v>-2.3E-2</v>
      </c>
    </row>
    <row r="1343" spans="1:12" x14ac:dyDescent="0.25">
      <c r="A1343">
        <v>165482</v>
      </c>
      <c r="B1343">
        <v>3.915</v>
      </c>
      <c r="C1343">
        <v>3.9169999999999998</v>
      </c>
      <c r="D1343">
        <v>3.84</v>
      </c>
      <c r="E1343">
        <v>3.782</v>
      </c>
      <c r="F1343">
        <v>4.0270000000000001</v>
      </c>
      <c r="G1343">
        <v>3.9169999999999998</v>
      </c>
      <c r="H1343">
        <v>3.8370000000000002</v>
      </c>
      <c r="I1343">
        <v>3.8570000000000002</v>
      </c>
      <c r="J1343">
        <v>31.091999999999999</v>
      </c>
      <c r="K1343">
        <v>21.4</v>
      </c>
      <c r="L1343">
        <v>-3.9E-2</v>
      </c>
    </row>
    <row r="1344" spans="1:12" x14ac:dyDescent="0.25">
      <c r="A1344">
        <v>170490</v>
      </c>
      <c r="B1344">
        <v>3.915</v>
      </c>
      <c r="C1344">
        <v>3.9260000000000002</v>
      </c>
      <c r="D1344">
        <v>3.8460000000000001</v>
      </c>
      <c r="E1344">
        <v>3.7669999999999999</v>
      </c>
      <c r="F1344">
        <v>4.0540000000000003</v>
      </c>
      <c r="G1344">
        <v>3.89</v>
      </c>
      <c r="H1344">
        <v>3.8370000000000002</v>
      </c>
      <c r="I1344">
        <v>3.8570000000000002</v>
      </c>
      <c r="J1344">
        <v>31.091999999999999</v>
      </c>
      <c r="K1344">
        <v>21.4</v>
      </c>
      <c r="L1344">
        <v>-3.5000000000000003E-2</v>
      </c>
    </row>
    <row r="1345" spans="1:12" x14ac:dyDescent="0.25">
      <c r="A1345">
        <v>175495</v>
      </c>
      <c r="B1345">
        <v>3.915</v>
      </c>
      <c r="C1345">
        <v>3.9260000000000002</v>
      </c>
      <c r="D1345">
        <v>3.8460000000000001</v>
      </c>
      <c r="E1345">
        <v>3.7669999999999999</v>
      </c>
      <c r="F1345">
        <v>4.0540000000000003</v>
      </c>
      <c r="G1345">
        <v>3.89</v>
      </c>
      <c r="H1345">
        <v>3.8370000000000002</v>
      </c>
      <c r="I1345">
        <v>3.8570000000000002</v>
      </c>
      <c r="J1345">
        <v>31.091999999999999</v>
      </c>
      <c r="K1345">
        <v>21.4</v>
      </c>
      <c r="L1345">
        <v>-3.4000000000000002E-2</v>
      </c>
    </row>
    <row r="1346" spans="1:12" x14ac:dyDescent="0.25">
      <c r="A1346">
        <v>180498</v>
      </c>
      <c r="B1346">
        <v>3.915</v>
      </c>
      <c r="C1346">
        <v>3.9260000000000002</v>
      </c>
      <c r="D1346">
        <v>3.8460000000000001</v>
      </c>
      <c r="E1346">
        <v>3.7850000000000001</v>
      </c>
      <c r="F1346">
        <v>4.0540000000000003</v>
      </c>
      <c r="G1346">
        <v>3.89</v>
      </c>
      <c r="H1346">
        <v>3.8370000000000002</v>
      </c>
      <c r="I1346">
        <v>3.8570000000000002</v>
      </c>
      <c r="J1346">
        <v>31.11</v>
      </c>
      <c r="K1346">
        <v>21.4</v>
      </c>
      <c r="L1346">
        <v>-3.4000000000000002E-2</v>
      </c>
    </row>
    <row r="1347" spans="1:12" x14ac:dyDescent="0.25">
      <c r="A1347">
        <v>185502</v>
      </c>
      <c r="B1347">
        <v>3.915</v>
      </c>
      <c r="C1347">
        <v>3.9260000000000002</v>
      </c>
      <c r="D1347">
        <v>3.8460000000000001</v>
      </c>
      <c r="E1347">
        <v>3.7669999999999999</v>
      </c>
      <c r="F1347">
        <v>4.0540000000000003</v>
      </c>
      <c r="G1347">
        <v>3.89</v>
      </c>
      <c r="H1347">
        <v>3.8370000000000002</v>
      </c>
      <c r="I1347">
        <v>3.8570000000000002</v>
      </c>
      <c r="J1347">
        <v>31.091999999999999</v>
      </c>
      <c r="K1347">
        <v>21.4</v>
      </c>
      <c r="L1347">
        <v>-4.3999999999999997E-2</v>
      </c>
    </row>
    <row r="1348" spans="1:12" x14ac:dyDescent="0.25">
      <c r="A1348">
        <v>190504</v>
      </c>
      <c r="B1348">
        <v>3.915</v>
      </c>
      <c r="C1348">
        <v>3.9260000000000002</v>
      </c>
      <c r="D1348">
        <v>3.8460000000000001</v>
      </c>
      <c r="E1348">
        <v>3.7669999999999999</v>
      </c>
      <c r="F1348">
        <v>4.0270000000000001</v>
      </c>
      <c r="G1348">
        <v>3.9169999999999998</v>
      </c>
      <c r="H1348">
        <v>3.8370000000000002</v>
      </c>
      <c r="I1348">
        <v>3.8570000000000002</v>
      </c>
      <c r="J1348">
        <v>31.091999999999999</v>
      </c>
      <c r="K1348">
        <v>21.4</v>
      </c>
      <c r="L1348">
        <v>-0.02</v>
      </c>
    </row>
    <row r="1349" spans="1:12" x14ac:dyDescent="0.25">
      <c r="A1349">
        <v>195509</v>
      </c>
      <c r="B1349">
        <v>3.915</v>
      </c>
      <c r="C1349">
        <v>3.9260000000000002</v>
      </c>
      <c r="D1349">
        <v>3.8460000000000001</v>
      </c>
      <c r="E1349">
        <v>3.7669999999999999</v>
      </c>
      <c r="F1349">
        <v>4.0540000000000003</v>
      </c>
      <c r="G1349">
        <v>3.89</v>
      </c>
      <c r="H1349">
        <v>3.8370000000000002</v>
      </c>
      <c r="I1349">
        <v>3.8570000000000002</v>
      </c>
      <c r="J1349">
        <v>31.091999999999999</v>
      </c>
      <c r="K1349">
        <v>21.4</v>
      </c>
      <c r="L1349">
        <v>-3.1E-2</v>
      </c>
    </row>
    <row r="1350" spans="1:12" x14ac:dyDescent="0.25">
      <c r="A1350">
        <v>200512</v>
      </c>
      <c r="B1350">
        <v>3.915</v>
      </c>
      <c r="C1350">
        <v>3.9260000000000002</v>
      </c>
      <c r="D1350">
        <v>3.8460000000000001</v>
      </c>
      <c r="E1350">
        <v>3.7669999999999999</v>
      </c>
      <c r="F1350">
        <v>4.0540000000000003</v>
      </c>
      <c r="G1350">
        <v>3.89</v>
      </c>
      <c r="H1350">
        <v>3.8370000000000002</v>
      </c>
      <c r="I1350">
        <v>3.8570000000000002</v>
      </c>
      <c r="J1350">
        <v>31.091999999999999</v>
      </c>
      <c r="K1350">
        <v>21.4</v>
      </c>
      <c r="L1350">
        <v>-2.1999999999999999E-2</v>
      </c>
    </row>
    <row r="1351" spans="1:12" x14ac:dyDescent="0.25">
      <c r="A1351">
        <v>205516</v>
      </c>
      <c r="B1351">
        <v>3.915</v>
      </c>
      <c r="C1351">
        <v>3.9260000000000002</v>
      </c>
      <c r="D1351">
        <v>3.8460000000000001</v>
      </c>
      <c r="E1351">
        <v>3.7669999999999999</v>
      </c>
      <c r="F1351">
        <v>4.0540000000000003</v>
      </c>
      <c r="G1351">
        <v>3.89</v>
      </c>
      <c r="H1351">
        <v>3.8370000000000002</v>
      </c>
      <c r="I1351">
        <v>3.8570000000000002</v>
      </c>
      <c r="J1351">
        <v>31.091999999999999</v>
      </c>
      <c r="K1351">
        <v>21.4</v>
      </c>
      <c r="L1351">
        <v>-0.04</v>
      </c>
    </row>
    <row r="1352" spans="1:12" x14ac:dyDescent="0.25">
      <c r="A1352">
        <v>210523</v>
      </c>
      <c r="B1352">
        <v>3.915</v>
      </c>
      <c r="C1352">
        <v>3.9260000000000002</v>
      </c>
      <c r="D1352">
        <v>3.8460000000000001</v>
      </c>
      <c r="E1352">
        <v>3.7669999999999999</v>
      </c>
      <c r="F1352">
        <v>4.0540000000000003</v>
      </c>
      <c r="G1352">
        <v>3.89</v>
      </c>
      <c r="H1352">
        <v>3.8370000000000002</v>
      </c>
      <c r="I1352">
        <v>3.8570000000000002</v>
      </c>
      <c r="J1352">
        <v>31.091999999999999</v>
      </c>
      <c r="K1352">
        <v>21.4</v>
      </c>
      <c r="L1352">
        <v>-3.1E-2</v>
      </c>
    </row>
    <row r="1353" spans="1:12" x14ac:dyDescent="0.25">
      <c r="A1353">
        <v>215529</v>
      </c>
      <c r="B1353">
        <v>3.915</v>
      </c>
      <c r="C1353">
        <v>3.9260000000000002</v>
      </c>
      <c r="D1353">
        <v>3.8460000000000001</v>
      </c>
      <c r="E1353">
        <v>3.7669999999999999</v>
      </c>
      <c r="F1353">
        <v>4.0540000000000003</v>
      </c>
      <c r="G1353">
        <v>3.89</v>
      </c>
      <c r="H1353">
        <v>3.8370000000000002</v>
      </c>
      <c r="I1353">
        <v>3.8570000000000002</v>
      </c>
      <c r="J1353">
        <v>31.091999999999999</v>
      </c>
      <c r="K1353">
        <v>21.4</v>
      </c>
      <c r="L1353">
        <v>-2.7E-2</v>
      </c>
    </row>
    <row r="1354" spans="1:12" x14ac:dyDescent="0.25">
      <c r="A1354">
        <v>220536</v>
      </c>
      <c r="B1354">
        <v>3.915</v>
      </c>
      <c r="C1354">
        <v>3.9260000000000002</v>
      </c>
      <c r="D1354">
        <v>3.8460000000000001</v>
      </c>
      <c r="E1354">
        <v>3.7669999999999999</v>
      </c>
      <c r="F1354">
        <v>4.0540000000000003</v>
      </c>
      <c r="G1354">
        <v>3.89</v>
      </c>
      <c r="H1354">
        <v>3.8370000000000002</v>
      </c>
      <c r="I1354">
        <v>3.8570000000000002</v>
      </c>
      <c r="J1354">
        <v>31.091999999999999</v>
      </c>
      <c r="K1354">
        <v>21.4</v>
      </c>
      <c r="L1354">
        <v>-3.1E-2</v>
      </c>
    </row>
    <row r="1355" spans="1:12" x14ac:dyDescent="0.25">
      <c r="A1355">
        <v>225536</v>
      </c>
      <c r="B1355">
        <v>3.915</v>
      </c>
      <c r="C1355">
        <v>3.9260000000000002</v>
      </c>
      <c r="D1355">
        <v>3.8460000000000001</v>
      </c>
      <c r="E1355">
        <v>3.7669999999999999</v>
      </c>
      <c r="F1355">
        <v>4.0540000000000003</v>
      </c>
      <c r="G1355">
        <v>3.89</v>
      </c>
      <c r="H1355">
        <v>3.8370000000000002</v>
      </c>
      <c r="I1355">
        <v>3.8570000000000002</v>
      </c>
      <c r="J1355">
        <v>31.091999999999999</v>
      </c>
      <c r="K1355">
        <v>21.4</v>
      </c>
      <c r="L1355">
        <v>-3.9E-2</v>
      </c>
    </row>
    <row r="1356" spans="1:12" x14ac:dyDescent="0.25">
      <c r="A1356">
        <v>230544</v>
      </c>
      <c r="B1356">
        <v>3.915</v>
      </c>
      <c r="C1356">
        <v>3.9260000000000002</v>
      </c>
      <c r="D1356">
        <v>3.8460000000000001</v>
      </c>
      <c r="E1356">
        <v>3.7850000000000001</v>
      </c>
      <c r="F1356">
        <v>4.0540000000000003</v>
      </c>
      <c r="G1356">
        <v>3.89</v>
      </c>
      <c r="H1356">
        <v>3.8370000000000002</v>
      </c>
      <c r="I1356">
        <v>3.8570000000000002</v>
      </c>
      <c r="J1356">
        <v>31.11</v>
      </c>
      <c r="K1356">
        <v>21.4</v>
      </c>
      <c r="L1356">
        <v>-2.1000000000000001E-2</v>
      </c>
    </row>
    <row r="1357" spans="1:12" x14ac:dyDescent="0.25">
      <c r="A1357">
        <v>235546</v>
      </c>
      <c r="B1357">
        <v>3.915</v>
      </c>
      <c r="C1357">
        <v>3.9260000000000002</v>
      </c>
      <c r="D1357">
        <v>3.8460000000000001</v>
      </c>
      <c r="E1357">
        <v>3.7850000000000001</v>
      </c>
      <c r="F1357">
        <v>4.0540000000000003</v>
      </c>
      <c r="G1357">
        <v>3.89</v>
      </c>
      <c r="H1357">
        <v>3.8370000000000002</v>
      </c>
      <c r="I1357">
        <v>3.8570000000000002</v>
      </c>
      <c r="J1357">
        <v>31.11</v>
      </c>
      <c r="K1357">
        <v>21.4</v>
      </c>
      <c r="L1357">
        <v>-3.3000000000000002E-2</v>
      </c>
    </row>
    <row r="1358" spans="1:12" x14ac:dyDescent="0.25">
      <c r="A1358">
        <v>240554</v>
      </c>
      <c r="B1358">
        <v>3.915</v>
      </c>
      <c r="C1358">
        <v>3.9260000000000002</v>
      </c>
      <c r="D1358">
        <v>3.8460000000000001</v>
      </c>
      <c r="E1358">
        <v>3.7669999999999999</v>
      </c>
      <c r="F1358">
        <v>4.0540000000000003</v>
      </c>
      <c r="G1358">
        <v>3.89</v>
      </c>
      <c r="H1358">
        <v>3.8370000000000002</v>
      </c>
      <c r="I1358">
        <v>3.8570000000000002</v>
      </c>
      <c r="J1358">
        <v>31.091999999999999</v>
      </c>
      <c r="K1358">
        <v>21.4</v>
      </c>
      <c r="L1358">
        <v>0</v>
      </c>
    </row>
    <row r="1359" spans="1:12" x14ac:dyDescent="0.25">
      <c r="A1359">
        <v>245569</v>
      </c>
      <c r="B1359">
        <v>3.915</v>
      </c>
      <c r="C1359">
        <v>3.9260000000000002</v>
      </c>
      <c r="D1359">
        <v>3.8460000000000001</v>
      </c>
      <c r="E1359">
        <v>3.7669999999999999</v>
      </c>
      <c r="F1359">
        <v>4.0270000000000001</v>
      </c>
      <c r="G1359">
        <v>3.9169999999999998</v>
      </c>
      <c r="H1359">
        <v>3.8370000000000002</v>
      </c>
      <c r="I1359">
        <v>3.8570000000000002</v>
      </c>
      <c r="J1359">
        <v>31.091999999999999</v>
      </c>
      <c r="K1359">
        <v>21.4</v>
      </c>
      <c r="L1359">
        <v>-1.6E-2</v>
      </c>
    </row>
    <row r="1360" spans="1:12" x14ac:dyDescent="0.25">
      <c r="A1360">
        <v>250576</v>
      </c>
      <c r="B1360">
        <v>3.915</v>
      </c>
      <c r="C1360">
        <v>3.9260000000000002</v>
      </c>
      <c r="D1360">
        <v>3.8460000000000001</v>
      </c>
      <c r="E1360">
        <v>3.7669999999999999</v>
      </c>
      <c r="F1360">
        <v>4.0270000000000001</v>
      </c>
      <c r="G1360">
        <v>3.9169999999999998</v>
      </c>
      <c r="H1360">
        <v>3.8370000000000002</v>
      </c>
      <c r="I1360">
        <v>3.8570000000000002</v>
      </c>
      <c r="J1360">
        <v>31.091999999999999</v>
      </c>
      <c r="K1360">
        <v>21.4</v>
      </c>
      <c r="L1360">
        <v>-1.7000000000000001E-2</v>
      </c>
    </row>
    <row r="1361" spans="1:12" x14ac:dyDescent="0.25">
      <c r="A1361">
        <v>255576</v>
      </c>
      <c r="B1361">
        <v>3.915</v>
      </c>
      <c r="C1361">
        <v>3.9260000000000002</v>
      </c>
      <c r="D1361">
        <v>3.8460000000000001</v>
      </c>
      <c r="E1361">
        <v>3.7850000000000001</v>
      </c>
      <c r="F1361">
        <v>4.0540000000000003</v>
      </c>
      <c r="G1361">
        <v>3.89</v>
      </c>
      <c r="H1361">
        <v>3.8370000000000002</v>
      </c>
      <c r="I1361">
        <v>3.8570000000000002</v>
      </c>
      <c r="J1361">
        <v>31.11</v>
      </c>
      <c r="K1361">
        <v>21.4</v>
      </c>
      <c r="L1361">
        <v>-1.4E-2</v>
      </c>
    </row>
    <row r="1362" spans="1:12" x14ac:dyDescent="0.25">
      <c r="A1362">
        <v>260584</v>
      </c>
      <c r="B1362">
        <v>3.915</v>
      </c>
      <c r="C1362">
        <v>3.9260000000000002</v>
      </c>
      <c r="D1362">
        <v>3.8460000000000001</v>
      </c>
      <c r="E1362">
        <v>3.7850000000000001</v>
      </c>
      <c r="F1362">
        <v>4.0540000000000003</v>
      </c>
      <c r="G1362">
        <v>3.89</v>
      </c>
      <c r="H1362">
        <v>3.8370000000000002</v>
      </c>
      <c r="I1362">
        <v>3.8570000000000002</v>
      </c>
      <c r="J1362">
        <v>31.11</v>
      </c>
      <c r="K1362">
        <v>21.4</v>
      </c>
      <c r="L1362">
        <v>-2.3E-2</v>
      </c>
    </row>
    <row r="1363" spans="1:12" x14ac:dyDescent="0.25">
      <c r="A1363">
        <v>265589</v>
      </c>
      <c r="B1363">
        <v>3.915</v>
      </c>
      <c r="C1363">
        <v>3.9260000000000002</v>
      </c>
      <c r="D1363">
        <v>3.8460000000000001</v>
      </c>
      <c r="E1363">
        <v>3.7850000000000001</v>
      </c>
      <c r="F1363">
        <v>4.0540000000000003</v>
      </c>
      <c r="G1363">
        <v>3.89</v>
      </c>
      <c r="H1363">
        <v>3.8370000000000002</v>
      </c>
      <c r="I1363">
        <v>3.8570000000000002</v>
      </c>
      <c r="J1363">
        <v>31.11</v>
      </c>
      <c r="K1363">
        <v>21.4</v>
      </c>
      <c r="L1363">
        <v>-0.02</v>
      </c>
    </row>
    <row r="1364" spans="1:12" x14ac:dyDescent="0.25">
      <c r="A1364">
        <v>270597</v>
      </c>
      <c r="B1364">
        <v>3.915</v>
      </c>
      <c r="C1364">
        <v>3.9260000000000002</v>
      </c>
      <c r="D1364">
        <v>3.8460000000000001</v>
      </c>
      <c r="E1364">
        <v>3.7850000000000001</v>
      </c>
      <c r="F1364">
        <v>4.0540000000000003</v>
      </c>
      <c r="G1364">
        <v>3.89</v>
      </c>
      <c r="H1364">
        <v>3.8370000000000002</v>
      </c>
      <c r="I1364">
        <v>3.8570000000000002</v>
      </c>
      <c r="J1364">
        <v>31.11</v>
      </c>
      <c r="K1364">
        <v>21.4</v>
      </c>
      <c r="L1364">
        <v>-1.7000000000000001E-2</v>
      </c>
    </row>
    <row r="1365" spans="1:12" x14ac:dyDescent="0.25">
      <c r="A1365">
        <v>275597</v>
      </c>
      <c r="B1365">
        <v>3.92</v>
      </c>
      <c r="C1365">
        <v>3.9209999999999998</v>
      </c>
      <c r="D1365">
        <v>3.8460000000000001</v>
      </c>
      <c r="E1365">
        <v>3.7669999999999999</v>
      </c>
      <c r="F1365">
        <v>4.0540000000000003</v>
      </c>
      <c r="G1365">
        <v>3.89</v>
      </c>
      <c r="H1365">
        <v>3.8370000000000002</v>
      </c>
      <c r="I1365">
        <v>3.8570000000000002</v>
      </c>
      <c r="J1365">
        <v>31.091999999999999</v>
      </c>
      <c r="K1365">
        <v>21.4</v>
      </c>
      <c r="L1365">
        <v>-2.5999999999999999E-2</v>
      </c>
    </row>
    <row r="1366" spans="1:12" x14ac:dyDescent="0.25">
      <c r="A1366">
        <v>280604</v>
      </c>
      <c r="B1366">
        <v>3.915</v>
      </c>
      <c r="C1366">
        <v>3.9260000000000002</v>
      </c>
      <c r="D1366">
        <v>3.8460000000000001</v>
      </c>
      <c r="E1366">
        <v>3.7850000000000001</v>
      </c>
      <c r="F1366">
        <v>4.0540000000000003</v>
      </c>
      <c r="G1366">
        <v>3.89</v>
      </c>
      <c r="H1366">
        <v>3.8370000000000002</v>
      </c>
      <c r="I1366">
        <v>3.8570000000000002</v>
      </c>
      <c r="J1366">
        <v>31.11</v>
      </c>
      <c r="K1366">
        <v>21.4</v>
      </c>
      <c r="L1366">
        <v>-1.7000000000000001E-2</v>
      </c>
    </row>
    <row r="1367" spans="1:12" x14ac:dyDescent="0.25">
      <c r="A1367">
        <v>285611</v>
      </c>
      <c r="B1367">
        <v>3.915</v>
      </c>
      <c r="C1367">
        <v>3.9260000000000002</v>
      </c>
      <c r="D1367">
        <v>3.8460000000000001</v>
      </c>
      <c r="E1367">
        <v>3.7850000000000001</v>
      </c>
      <c r="F1367">
        <v>4.0540000000000003</v>
      </c>
      <c r="G1367">
        <v>3.89</v>
      </c>
      <c r="H1367">
        <v>3.8370000000000002</v>
      </c>
      <c r="I1367">
        <v>3.8570000000000002</v>
      </c>
      <c r="J1367">
        <v>31.11</v>
      </c>
      <c r="K1367">
        <v>21.4</v>
      </c>
      <c r="L1367">
        <v>-3.5000000000000003E-2</v>
      </c>
    </row>
    <row r="1368" spans="1:12" x14ac:dyDescent="0.25">
      <c r="A1368">
        <v>290611</v>
      </c>
      <c r="B1368">
        <v>3.915</v>
      </c>
      <c r="C1368">
        <v>3.9260000000000002</v>
      </c>
      <c r="D1368">
        <v>3.8460000000000001</v>
      </c>
      <c r="E1368">
        <v>3.7850000000000001</v>
      </c>
      <c r="F1368">
        <v>4.0540000000000003</v>
      </c>
      <c r="G1368">
        <v>3.89</v>
      </c>
      <c r="H1368">
        <v>3.8370000000000002</v>
      </c>
      <c r="I1368">
        <v>3.8570000000000002</v>
      </c>
      <c r="J1368">
        <v>31.11</v>
      </c>
      <c r="K1368">
        <v>21.4</v>
      </c>
      <c r="L1368">
        <v>-2.8000000000000001E-2</v>
      </c>
    </row>
    <row r="1369" spans="1:12" x14ac:dyDescent="0.25">
      <c r="A1369">
        <v>295616</v>
      </c>
      <c r="B1369">
        <v>3.915</v>
      </c>
      <c r="C1369">
        <v>3.9260000000000002</v>
      </c>
      <c r="D1369">
        <v>3.8460000000000001</v>
      </c>
      <c r="E1369">
        <v>3.7850000000000001</v>
      </c>
      <c r="F1369">
        <v>4.0540000000000003</v>
      </c>
      <c r="G1369">
        <v>3.89</v>
      </c>
      <c r="H1369">
        <v>3.8370000000000002</v>
      </c>
      <c r="I1369">
        <v>3.8570000000000002</v>
      </c>
      <c r="J1369">
        <v>31.11</v>
      </c>
      <c r="K1369">
        <v>21.4</v>
      </c>
      <c r="L1369">
        <v>-2.3E-2</v>
      </c>
    </row>
    <row r="1370" spans="1:12" x14ac:dyDescent="0.25">
      <c r="A1370">
        <v>300624</v>
      </c>
      <c r="B1370">
        <v>3.915</v>
      </c>
      <c r="C1370">
        <v>3.9260000000000002</v>
      </c>
      <c r="D1370">
        <v>3.8460000000000001</v>
      </c>
      <c r="E1370">
        <v>3.7850000000000001</v>
      </c>
      <c r="F1370">
        <v>4.0540000000000003</v>
      </c>
      <c r="G1370">
        <v>3.89</v>
      </c>
      <c r="H1370">
        <v>3.87</v>
      </c>
      <c r="I1370">
        <v>3.8250000000000002</v>
      </c>
      <c r="J1370">
        <v>31.111000000000001</v>
      </c>
      <c r="K1370">
        <v>21.4</v>
      </c>
      <c r="L1370">
        <v>-4.2999999999999997E-2</v>
      </c>
    </row>
    <row r="1371" spans="1:12" x14ac:dyDescent="0.25">
      <c r="A1371">
        <v>305630</v>
      </c>
      <c r="B1371">
        <v>3.92</v>
      </c>
      <c r="C1371">
        <v>3.9209999999999998</v>
      </c>
      <c r="D1371">
        <v>3.8460000000000001</v>
      </c>
      <c r="E1371">
        <v>3.7850000000000001</v>
      </c>
      <c r="F1371">
        <v>4.0540000000000003</v>
      </c>
      <c r="G1371">
        <v>3.89</v>
      </c>
      <c r="H1371">
        <v>3.8370000000000002</v>
      </c>
      <c r="I1371">
        <v>3.8570000000000002</v>
      </c>
      <c r="J1371">
        <v>31.11</v>
      </c>
      <c r="K1371">
        <v>21.4</v>
      </c>
      <c r="L1371">
        <v>-2.1999999999999999E-2</v>
      </c>
    </row>
    <row r="1372" spans="1:12" x14ac:dyDescent="0.25">
      <c r="A1372">
        <v>310637</v>
      </c>
      <c r="B1372">
        <v>3.915</v>
      </c>
      <c r="C1372">
        <v>3.9260000000000002</v>
      </c>
      <c r="D1372">
        <v>3.8460000000000001</v>
      </c>
      <c r="E1372">
        <v>3.7850000000000001</v>
      </c>
      <c r="F1372">
        <v>4.0540000000000003</v>
      </c>
      <c r="G1372">
        <v>3.89</v>
      </c>
      <c r="H1372">
        <v>3.8370000000000002</v>
      </c>
      <c r="I1372">
        <v>3.8570000000000002</v>
      </c>
      <c r="J1372">
        <v>31.11</v>
      </c>
      <c r="K1372">
        <v>21.4</v>
      </c>
      <c r="L1372">
        <v>-2.9000000000000001E-2</v>
      </c>
    </row>
    <row r="1373" spans="1:12" x14ac:dyDescent="0.25">
      <c r="A1373">
        <v>315643</v>
      </c>
      <c r="B1373">
        <v>3.915</v>
      </c>
      <c r="C1373">
        <v>3.9260000000000002</v>
      </c>
      <c r="D1373">
        <v>3.8460000000000001</v>
      </c>
      <c r="E1373">
        <v>3.7850000000000001</v>
      </c>
      <c r="F1373">
        <v>4.0540000000000003</v>
      </c>
      <c r="G1373">
        <v>3.89</v>
      </c>
      <c r="H1373">
        <v>3.8370000000000002</v>
      </c>
      <c r="I1373">
        <v>3.8570000000000002</v>
      </c>
      <c r="J1373">
        <v>31.11</v>
      </c>
      <c r="K1373">
        <v>21.4</v>
      </c>
      <c r="L1373">
        <v>-2.9000000000000001E-2</v>
      </c>
    </row>
    <row r="1374" spans="1:12" x14ac:dyDescent="0.25">
      <c r="A1374">
        <v>320644</v>
      </c>
      <c r="B1374">
        <v>3.915</v>
      </c>
      <c r="C1374">
        <v>3.9260000000000002</v>
      </c>
      <c r="D1374">
        <v>3.8460000000000001</v>
      </c>
      <c r="E1374">
        <v>3.7850000000000001</v>
      </c>
      <c r="F1374">
        <v>4.0540000000000003</v>
      </c>
      <c r="G1374">
        <v>3.89</v>
      </c>
      <c r="H1374">
        <v>3.8370000000000002</v>
      </c>
      <c r="I1374">
        <v>3.8570000000000002</v>
      </c>
      <c r="J1374">
        <v>31.11</v>
      </c>
      <c r="K1374">
        <v>21.4</v>
      </c>
      <c r="L1374">
        <v>-1.7000000000000001E-2</v>
      </c>
    </row>
    <row r="1375" spans="1:12" x14ac:dyDescent="0.25">
      <c r="A1375">
        <v>325650</v>
      </c>
      <c r="B1375">
        <v>3.915</v>
      </c>
      <c r="C1375">
        <v>3.9260000000000002</v>
      </c>
      <c r="D1375">
        <v>3.8460000000000001</v>
      </c>
      <c r="E1375">
        <v>3.7850000000000001</v>
      </c>
      <c r="F1375">
        <v>4.0540000000000003</v>
      </c>
      <c r="G1375">
        <v>3.89</v>
      </c>
      <c r="H1375">
        <v>3.8370000000000002</v>
      </c>
      <c r="I1375">
        <v>3.8570000000000002</v>
      </c>
      <c r="J1375">
        <v>31.11</v>
      </c>
      <c r="K1375">
        <v>21.4</v>
      </c>
      <c r="L1375">
        <v>-2.3E-2</v>
      </c>
    </row>
    <row r="1376" spans="1:12" x14ac:dyDescent="0.25">
      <c r="A1376">
        <v>330657</v>
      </c>
      <c r="B1376">
        <v>3.915</v>
      </c>
      <c r="C1376">
        <v>3.9260000000000002</v>
      </c>
      <c r="D1376">
        <v>3.8460000000000001</v>
      </c>
      <c r="E1376">
        <v>3.7669999999999999</v>
      </c>
      <c r="F1376">
        <v>4.0540000000000003</v>
      </c>
      <c r="G1376">
        <v>3.89</v>
      </c>
      <c r="H1376">
        <v>3.8370000000000002</v>
      </c>
      <c r="I1376">
        <v>3.8570000000000002</v>
      </c>
      <c r="J1376">
        <v>31.091999999999999</v>
      </c>
      <c r="K1376">
        <v>21.4</v>
      </c>
      <c r="L1376">
        <v>-1.7999999999999999E-2</v>
      </c>
    </row>
    <row r="1377" spans="1:12" x14ac:dyDescent="0.25">
      <c r="A1377">
        <v>335657</v>
      </c>
      <c r="B1377">
        <v>3.915</v>
      </c>
      <c r="C1377">
        <v>3.9260000000000002</v>
      </c>
      <c r="D1377">
        <v>3.8460000000000001</v>
      </c>
      <c r="E1377">
        <v>3.7850000000000001</v>
      </c>
      <c r="F1377">
        <v>4.0359999999999996</v>
      </c>
      <c r="G1377">
        <v>3.89</v>
      </c>
      <c r="H1377">
        <v>3.8370000000000002</v>
      </c>
      <c r="I1377">
        <v>3.8570000000000002</v>
      </c>
      <c r="J1377">
        <v>31.091999999999999</v>
      </c>
      <c r="K1377">
        <v>21.4</v>
      </c>
      <c r="L1377">
        <v>-0.02</v>
      </c>
    </row>
    <row r="1378" spans="1:12" x14ac:dyDescent="0.25">
      <c r="A1378">
        <v>340664</v>
      </c>
      <c r="B1378">
        <v>3.915</v>
      </c>
      <c r="C1378">
        <v>3.9260000000000002</v>
      </c>
      <c r="D1378">
        <v>3.8460000000000001</v>
      </c>
      <c r="E1378">
        <v>3.7669999999999999</v>
      </c>
      <c r="F1378">
        <v>4.0540000000000003</v>
      </c>
      <c r="G1378">
        <v>3.89</v>
      </c>
      <c r="H1378">
        <v>3.8370000000000002</v>
      </c>
      <c r="I1378">
        <v>3.8570000000000002</v>
      </c>
      <c r="J1378">
        <v>31.091999999999999</v>
      </c>
      <c r="K1378">
        <v>21.4</v>
      </c>
      <c r="L1378">
        <v>-3.6999999999999998E-2</v>
      </c>
    </row>
    <row r="1379" spans="1:12" x14ac:dyDescent="0.25">
      <c r="A1379">
        <v>345664</v>
      </c>
      <c r="B1379">
        <v>3.915</v>
      </c>
      <c r="C1379">
        <v>3.9260000000000002</v>
      </c>
      <c r="D1379">
        <v>3.8460000000000001</v>
      </c>
      <c r="E1379">
        <v>3.7850000000000001</v>
      </c>
      <c r="F1379">
        <v>4.0540000000000003</v>
      </c>
      <c r="G1379">
        <v>3.89</v>
      </c>
      <c r="H1379">
        <v>3.8370000000000002</v>
      </c>
      <c r="I1379">
        <v>3.8570000000000002</v>
      </c>
      <c r="J1379">
        <v>31.11</v>
      </c>
      <c r="K1379">
        <v>21.4</v>
      </c>
      <c r="L1379">
        <v>-2.1000000000000001E-2</v>
      </c>
    </row>
    <row r="1380" spans="1:12" x14ac:dyDescent="0.25">
      <c r="A1380">
        <v>350671</v>
      </c>
      <c r="B1380">
        <v>3.915</v>
      </c>
      <c r="C1380">
        <v>3.9260000000000002</v>
      </c>
      <c r="D1380">
        <v>3.8460000000000001</v>
      </c>
      <c r="E1380">
        <v>3.7850000000000001</v>
      </c>
      <c r="F1380">
        <v>4.0359999999999996</v>
      </c>
      <c r="G1380">
        <v>3.89</v>
      </c>
      <c r="H1380">
        <v>3.8370000000000002</v>
      </c>
      <c r="I1380">
        <v>3.8570000000000002</v>
      </c>
      <c r="J1380">
        <v>31.091999999999999</v>
      </c>
      <c r="K1380">
        <v>21.4</v>
      </c>
      <c r="L1380">
        <v>-2.8000000000000001E-2</v>
      </c>
    </row>
    <row r="1381" spans="1:12" x14ac:dyDescent="0.25">
      <c r="A1381">
        <v>355677</v>
      </c>
      <c r="B1381">
        <v>3.92</v>
      </c>
      <c r="C1381">
        <v>3.9209999999999998</v>
      </c>
      <c r="D1381">
        <v>3.8460000000000001</v>
      </c>
      <c r="E1381">
        <v>3.7850000000000001</v>
      </c>
      <c r="F1381">
        <v>4.0540000000000003</v>
      </c>
      <c r="G1381">
        <v>3.89</v>
      </c>
      <c r="H1381">
        <v>3.8370000000000002</v>
      </c>
      <c r="I1381">
        <v>3.8570000000000002</v>
      </c>
      <c r="J1381">
        <v>31.11</v>
      </c>
      <c r="K1381">
        <v>21.4</v>
      </c>
      <c r="L1381">
        <v>-0.04</v>
      </c>
    </row>
    <row r="1382" spans="1:12" x14ac:dyDescent="0.25">
      <c r="A1382">
        <v>360684</v>
      </c>
      <c r="B1382">
        <v>3.915</v>
      </c>
      <c r="C1382">
        <v>3.9260000000000002</v>
      </c>
      <c r="D1382">
        <v>3.8460000000000001</v>
      </c>
      <c r="E1382">
        <v>3.7850000000000001</v>
      </c>
      <c r="F1382">
        <v>4.0359999999999996</v>
      </c>
      <c r="G1382">
        <v>3.9180000000000001</v>
      </c>
      <c r="H1382">
        <v>3.8410000000000002</v>
      </c>
      <c r="I1382">
        <v>3.8250000000000002</v>
      </c>
      <c r="J1382">
        <v>31.091999999999999</v>
      </c>
      <c r="K1382">
        <v>21.4</v>
      </c>
      <c r="L1382">
        <v>-2.4E-2</v>
      </c>
    </row>
    <row r="1383" spans="1:12" x14ac:dyDescent="0.25">
      <c r="A1383">
        <v>365684</v>
      </c>
      <c r="B1383">
        <v>3.915</v>
      </c>
      <c r="C1383">
        <v>3.9260000000000002</v>
      </c>
      <c r="D1383">
        <v>3.8460000000000001</v>
      </c>
      <c r="E1383">
        <v>3.7850000000000001</v>
      </c>
      <c r="F1383">
        <v>4.0540000000000003</v>
      </c>
      <c r="G1383">
        <v>3.9180000000000001</v>
      </c>
      <c r="H1383">
        <v>3.8090000000000002</v>
      </c>
      <c r="I1383">
        <v>3.8570000000000002</v>
      </c>
      <c r="J1383">
        <v>31.11</v>
      </c>
      <c r="K1383">
        <v>21.4</v>
      </c>
      <c r="L1383">
        <v>-2.4E-2</v>
      </c>
    </row>
    <row r="1384" spans="1:12" x14ac:dyDescent="0.25">
      <c r="A1384">
        <v>370692</v>
      </c>
      <c r="B1384">
        <v>3.915</v>
      </c>
      <c r="C1384">
        <v>3.9260000000000002</v>
      </c>
      <c r="D1384">
        <v>3.8460000000000001</v>
      </c>
      <c r="E1384">
        <v>3.7850000000000001</v>
      </c>
      <c r="F1384">
        <v>4.0359999999999996</v>
      </c>
      <c r="G1384">
        <v>3.9180000000000001</v>
      </c>
      <c r="H1384">
        <v>3.8090000000000002</v>
      </c>
      <c r="I1384">
        <v>3.8570000000000002</v>
      </c>
      <c r="J1384">
        <v>31.091999999999999</v>
      </c>
      <c r="K1384">
        <v>21.4</v>
      </c>
      <c r="L1384">
        <v>-3.5000000000000003E-2</v>
      </c>
    </row>
    <row r="1385" spans="1:12" x14ac:dyDescent="0.25">
      <c r="A1385">
        <v>375698</v>
      </c>
      <c r="B1385">
        <v>3.915</v>
      </c>
      <c r="C1385">
        <v>3.9260000000000002</v>
      </c>
      <c r="D1385">
        <v>3.8460000000000001</v>
      </c>
      <c r="E1385">
        <v>3.7850000000000001</v>
      </c>
      <c r="F1385">
        <v>4.0270000000000001</v>
      </c>
      <c r="G1385">
        <v>3.9169999999999998</v>
      </c>
      <c r="H1385">
        <v>3.8370000000000002</v>
      </c>
      <c r="I1385">
        <v>3.8180000000000001</v>
      </c>
      <c r="J1385">
        <v>31.071000000000002</v>
      </c>
      <c r="K1385">
        <v>21.4</v>
      </c>
      <c r="L1385">
        <v>-4.9000000000000002E-2</v>
      </c>
    </row>
    <row r="1386" spans="1:12" x14ac:dyDescent="0.25">
      <c r="A1386">
        <v>380706</v>
      </c>
      <c r="B1386">
        <v>3.915</v>
      </c>
      <c r="C1386">
        <v>3.9260000000000002</v>
      </c>
      <c r="D1386">
        <v>3.8460000000000001</v>
      </c>
      <c r="E1386">
        <v>3.7669999999999999</v>
      </c>
      <c r="F1386">
        <v>4.0640000000000001</v>
      </c>
      <c r="G1386">
        <v>3.891</v>
      </c>
      <c r="H1386">
        <v>3.8410000000000002</v>
      </c>
      <c r="I1386">
        <v>3.8639999999999999</v>
      </c>
      <c r="J1386">
        <v>31.114000000000001</v>
      </c>
      <c r="K1386">
        <v>21.4</v>
      </c>
      <c r="L1386">
        <v>-2.7E-2</v>
      </c>
    </row>
    <row r="1387" spans="1:12" x14ac:dyDescent="0.25">
      <c r="A1387">
        <v>385706</v>
      </c>
      <c r="B1387">
        <v>3.915</v>
      </c>
      <c r="C1387">
        <v>3.9169999999999998</v>
      </c>
      <c r="D1387">
        <v>3.84</v>
      </c>
      <c r="E1387">
        <v>3.782</v>
      </c>
      <c r="F1387">
        <v>4.0460000000000003</v>
      </c>
      <c r="G1387">
        <v>3.919</v>
      </c>
      <c r="H1387">
        <v>3.8450000000000002</v>
      </c>
      <c r="I1387">
        <v>3.87</v>
      </c>
      <c r="J1387">
        <v>31.134</v>
      </c>
      <c r="K1387">
        <v>21.4</v>
      </c>
      <c r="L1387">
        <v>-3.4000000000000002E-2</v>
      </c>
    </row>
    <row r="1388" spans="1:12" x14ac:dyDescent="0.25">
      <c r="A1388">
        <v>7853</v>
      </c>
      <c r="B1388">
        <v>0</v>
      </c>
      <c r="C1388">
        <v>3.9220000000000002</v>
      </c>
      <c r="D1388">
        <v>3.84</v>
      </c>
      <c r="E1388">
        <v>3.782</v>
      </c>
      <c r="F1388">
        <v>4.056</v>
      </c>
      <c r="G1388">
        <v>3.92</v>
      </c>
      <c r="H1388">
        <v>3.8170000000000002</v>
      </c>
      <c r="I1388">
        <v>3.87</v>
      </c>
      <c r="J1388">
        <v>27.207000000000001</v>
      </c>
      <c r="K1388">
        <v>21.4</v>
      </c>
      <c r="L1388">
        <v>-6.0000000000000001E-3</v>
      </c>
    </row>
    <row r="1389" spans="1:12" x14ac:dyDescent="0.25">
      <c r="A1389">
        <v>12853</v>
      </c>
      <c r="B1389">
        <v>3.91</v>
      </c>
      <c r="C1389">
        <v>3.9220000000000002</v>
      </c>
      <c r="D1389">
        <v>3.84</v>
      </c>
      <c r="E1389">
        <v>3.782</v>
      </c>
      <c r="F1389">
        <v>4.0730000000000004</v>
      </c>
      <c r="G1389">
        <v>3.92</v>
      </c>
      <c r="H1389">
        <v>3.8170000000000002</v>
      </c>
      <c r="I1389">
        <v>3.87</v>
      </c>
      <c r="J1389">
        <v>31.134</v>
      </c>
      <c r="K1389">
        <v>21.4</v>
      </c>
      <c r="L1389">
        <v>-1E-3</v>
      </c>
    </row>
    <row r="1390" spans="1:12" x14ac:dyDescent="0.25">
      <c r="A1390">
        <v>17920</v>
      </c>
      <c r="B1390">
        <v>3.91</v>
      </c>
      <c r="C1390">
        <v>3.9220000000000002</v>
      </c>
      <c r="D1390">
        <v>3.84</v>
      </c>
      <c r="E1390">
        <v>3.782</v>
      </c>
      <c r="F1390">
        <v>4.056</v>
      </c>
      <c r="G1390">
        <v>3.92</v>
      </c>
      <c r="H1390">
        <v>3.8170000000000002</v>
      </c>
      <c r="I1390">
        <v>3.87</v>
      </c>
      <c r="J1390">
        <v>31.117000000000001</v>
      </c>
      <c r="K1390">
        <v>21.4</v>
      </c>
      <c r="L1390">
        <v>-8.9999999999999993E-3</v>
      </c>
    </row>
    <row r="1391" spans="1:12" x14ac:dyDescent="0.25">
      <c r="A1391">
        <v>22926</v>
      </c>
      <c r="B1391">
        <v>3.91</v>
      </c>
      <c r="C1391">
        <v>3.9220000000000002</v>
      </c>
      <c r="D1391">
        <v>3.84</v>
      </c>
      <c r="E1391">
        <v>3.782</v>
      </c>
      <c r="F1391">
        <v>4.056</v>
      </c>
      <c r="G1391">
        <v>3.92</v>
      </c>
      <c r="H1391">
        <v>3.8170000000000002</v>
      </c>
      <c r="I1391">
        <v>3.87</v>
      </c>
      <c r="J1391">
        <v>31.117000000000001</v>
      </c>
      <c r="K1391">
        <v>21.4</v>
      </c>
      <c r="L1391">
        <v>4.0000000000000001E-3</v>
      </c>
    </row>
    <row r="1392" spans="1:12" x14ac:dyDescent="0.25">
      <c r="A1392">
        <v>27993</v>
      </c>
      <c r="B1392">
        <v>3.91</v>
      </c>
      <c r="C1392">
        <v>3.9220000000000002</v>
      </c>
      <c r="D1392">
        <v>3.84</v>
      </c>
      <c r="E1392">
        <v>3.782</v>
      </c>
      <c r="F1392">
        <v>4.056</v>
      </c>
      <c r="G1392">
        <v>3.92</v>
      </c>
      <c r="H1392">
        <v>3.8490000000000002</v>
      </c>
      <c r="I1392">
        <v>3.8370000000000002</v>
      </c>
      <c r="J1392">
        <v>31.116</v>
      </c>
      <c r="K1392">
        <v>21.4</v>
      </c>
      <c r="L1392">
        <v>-5.0000000000000001E-3</v>
      </c>
    </row>
    <row r="1393" spans="1:12" x14ac:dyDescent="0.25">
      <c r="A1393">
        <v>32999</v>
      </c>
      <c r="B1393">
        <v>3.91</v>
      </c>
      <c r="C1393">
        <v>3.9220000000000002</v>
      </c>
      <c r="D1393">
        <v>3.84</v>
      </c>
      <c r="E1393">
        <v>3.782</v>
      </c>
      <c r="F1393">
        <v>4.056</v>
      </c>
      <c r="G1393">
        <v>3.92</v>
      </c>
      <c r="H1393">
        <v>3.8490000000000002</v>
      </c>
      <c r="I1393">
        <v>3.8370000000000002</v>
      </c>
      <c r="J1393">
        <v>31.116</v>
      </c>
      <c r="K1393">
        <v>21.4</v>
      </c>
      <c r="L1393">
        <v>7.0000000000000001E-3</v>
      </c>
    </row>
    <row r="1394" spans="1:12" x14ac:dyDescent="0.25">
      <c r="A1394">
        <v>38006</v>
      </c>
      <c r="B1394">
        <v>3.91</v>
      </c>
      <c r="C1394">
        <v>3.9220000000000002</v>
      </c>
      <c r="D1394">
        <v>3.84</v>
      </c>
      <c r="E1394">
        <v>3.782</v>
      </c>
      <c r="F1394">
        <v>4.056</v>
      </c>
      <c r="G1394">
        <v>3.92</v>
      </c>
      <c r="H1394">
        <v>3.8490000000000002</v>
      </c>
      <c r="I1394">
        <v>3.8759999999999999</v>
      </c>
      <c r="J1394">
        <v>31.155000000000001</v>
      </c>
      <c r="K1394">
        <v>21.4</v>
      </c>
      <c r="L1394">
        <v>7.0000000000000001E-3</v>
      </c>
    </row>
    <row r="1395" spans="1:12" x14ac:dyDescent="0.25">
      <c r="A1395">
        <v>43012</v>
      </c>
      <c r="B1395">
        <v>3.91</v>
      </c>
      <c r="C1395">
        <v>3.9220000000000002</v>
      </c>
      <c r="D1395">
        <v>3.84</v>
      </c>
      <c r="E1395">
        <v>3.782</v>
      </c>
      <c r="F1395">
        <v>4.056</v>
      </c>
      <c r="G1395">
        <v>3.92</v>
      </c>
      <c r="H1395">
        <v>3.8490000000000002</v>
      </c>
      <c r="I1395">
        <v>3.8370000000000002</v>
      </c>
      <c r="J1395">
        <v>31.116</v>
      </c>
      <c r="K1395">
        <v>21.4</v>
      </c>
      <c r="L1395">
        <v>0.02</v>
      </c>
    </row>
    <row r="1396" spans="1:12" x14ac:dyDescent="0.25">
      <c r="A1396">
        <v>48019</v>
      </c>
      <c r="B1396">
        <v>3.91</v>
      </c>
      <c r="C1396">
        <v>3.9220000000000002</v>
      </c>
      <c r="D1396">
        <v>3.84</v>
      </c>
      <c r="E1396">
        <v>3.782</v>
      </c>
      <c r="F1396">
        <v>4.056</v>
      </c>
      <c r="G1396">
        <v>3.92</v>
      </c>
      <c r="H1396">
        <v>3.8490000000000002</v>
      </c>
      <c r="I1396">
        <v>3.8370000000000002</v>
      </c>
      <c r="J1396">
        <v>31.116</v>
      </c>
      <c r="K1396">
        <v>21.4</v>
      </c>
      <c r="L1396">
        <v>2.1000000000000001E-2</v>
      </c>
    </row>
    <row r="1397" spans="1:12" x14ac:dyDescent="0.25">
      <c r="A1397">
        <v>53020</v>
      </c>
      <c r="B1397">
        <v>3.91</v>
      </c>
      <c r="C1397">
        <v>3.9220000000000002</v>
      </c>
      <c r="D1397">
        <v>3.84</v>
      </c>
      <c r="E1397">
        <v>3.782</v>
      </c>
      <c r="F1397">
        <v>4.056</v>
      </c>
      <c r="G1397">
        <v>3.92</v>
      </c>
      <c r="H1397">
        <v>3.8490000000000002</v>
      </c>
      <c r="I1397">
        <v>3.8370000000000002</v>
      </c>
      <c r="J1397">
        <v>31.116</v>
      </c>
      <c r="K1397">
        <v>21.4</v>
      </c>
      <c r="L1397">
        <v>1.2E-2</v>
      </c>
    </row>
    <row r="1398" spans="1:12" x14ac:dyDescent="0.25">
      <c r="A1398">
        <v>58067</v>
      </c>
      <c r="B1398">
        <v>3.91</v>
      </c>
      <c r="C1398">
        <v>3.9220000000000002</v>
      </c>
      <c r="D1398">
        <v>3.84</v>
      </c>
      <c r="E1398">
        <v>3.782</v>
      </c>
      <c r="F1398">
        <v>4.0730000000000004</v>
      </c>
      <c r="G1398">
        <v>3.92</v>
      </c>
      <c r="H1398">
        <v>3.8490000000000002</v>
      </c>
      <c r="I1398">
        <v>3.8370000000000002</v>
      </c>
      <c r="J1398">
        <v>31.132999999999999</v>
      </c>
      <c r="K1398">
        <v>21.4</v>
      </c>
      <c r="L1398">
        <v>1.2999999999999999E-2</v>
      </c>
    </row>
    <row r="1399" spans="1:12" x14ac:dyDescent="0.25">
      <c r="A1399">
        <v>63072</v>
      </c>
      <c r="B1399">
        <v>3.91</v>
      </c>
      <c r="C1399">
        <v>3.9220000000000002</v>
      </c>
      <c r="D1399">
        <v>3.84</v>
      </c>
      <c r="E1399">
        <v>3.782</v>
      </c>
      <c r="F1399">
        <v>4.056</v>
      </c>
      <c r="G1399">
        <v>3.92</v>
      </c>
      <c r="H1399">
        <v>3.8490000000000002</v>
      </c>
      <c r="I1399">
        <v>3.8370000000000002</v>
      </c>
      <c r="J1399">
        <v>31.116</v>
      </c>
      <c r="K1399">
        <v>21.4</v>
      </c>
      <c r="L1399">
        <v>5.0000000000000001E-3</v>
      </c>
    </row>
    <row r="1400" spans="1:12" x14ac:dyDescent="0.25">
      <c r="A1400">
        <v>68079</v>
      </c>
      <c r="B1400">
        <v>3.91</v>
      </c>
      <c r="C1400">
        <v>3.9220000000000002</v>
      </c>
      <c r="D1400">
        <v>3.84</v>
      </c>
      <c r="E1400">
        <v>3.782</v>
      </c>
      <c r="F1400">
        <v>4.056</v>
      </c>
      <c r="G1400">
        <v>3.92</v>
      </c>
      <c r="H1400">
        <v>3.8490000000000002</v>
      </c>
      <c r="I1400">
        <v>3.8370000000000002</v>
      </c>
      <c r="J1400">
        <v>31.116</v>
      </c>
      <c r="K1400">
        <v>21.4</v>
      </c>
      <c r="L1400">
        <v>2.4E-2</v>
      </c>
    </row>
    <row r="1401" spans="1:12" x14ac:dyDescent="0.25">
      <c r="A1401">
        <v>73085</v>
      </c>
      <c r="B1401">
        <v>3.91</v>
      </c>
      <c r="C1401">
        <v>3.9220000000000002</v>
      </c>
      <c r="D1401">
        <v>3.84</v>
      </c>
      <c r="E1401">
        <v>3.782</v>
      </c>
      <c r="F1401">
        <v>4.056</v>
      </c>
      <c r="G1401">
        <v>3.92</v>
      </c>
      <c r="H1401">
        <v>3.8490000000000002</v>
      </c>
      <c r="I1401">
        <v>3.8370000000000002</v>
      </c>
      <c r="J1401">
        <v>31.116</v>
      </c>
      <c r="K1401">
        <v>21.4</v>
      </c>
      <c r="L1401">
        <v>2E-3</v>
      </c>
    </row>
    <row r="1402" spans="1:12" x14ac:dyDescent="0.25">
      <c r="A1402">
        <v>78092</v>
      </c>
      <c r="B1402">
        <v>3.91</v>
      </c>
      <c r="C1402">
        <v>3.9220000000000002</v>
      </c>
      <c r="D1402">
        <v>3.84</v>
      </c>
      <c r="E1402">
        <v>3.782</v>
      </c>
      <c r="F1402">
        <v>4.056</v>
      </c>
      <c r="G1402">
        <v>3.92</v>
      </c>
      <c r="H1402">
        <v>3.8490000000000002</v>
      </c>
      <c r="I1402">
        <v>3.8370000000000002</v>
      </c>
      <c r="J1402">
        <v>31.116</v>
      </c>
      <c r="K1402">
        <v>21.4</v>
      </c>
      <c r="L1402">
        <v>1.0999999999999999E-2</v>
      </c>
    </row>
    <row r="1403" spans="1:12" x14ac:dyDescent="0.25">
      <c r="A1403">
        <v>83093</v>
      </c>
      <c r="B1403">
        <v>3.91</v>
      </c>
      <c r="C1403">
        <v>3.9220000000000002</v>
      </c>
      <c r="D1403">
        <v>3.84</v>
      </c>
      <c r="E1403">
        <v>3.782</v>
      </c>
      <c r="F1403">
        <v>4.056</v>
      </c>
      <c r="G1403">
        <v>3.92</v>
      </c>
      <c r="H1403">
        <v>3.8490000000000002</v>
      </c>
      <c r="I1403">
        <v>3.8370000000000002</v>
      </c>
      <c r="J1403">
        <v>31.116</v>
      </c>
      <c r="K1403">
        <v>21.4</v>
      </c>
      <c r="L1403">
        <v>0</v>
      </c>
    </row>
    <row r="1404" spans="1:12" x14ac:dyDescent="0.25">
      <c r="A1404">
        <v>88139</v>
      </c>
      <c r="B1404">
        <v>3.91</v>
      </c>
      <c r="C1404">
        <v>3.9220000000000002</v>
      </c>
      <c r="D1404">
        <v>3.84</v>
      </c>
      <c r="E1404">
        <v>3.782</v>
      </c>
      <c r="F1404">
        <v>4.056</v>
      </c>
      <c r="G1404">
        <v>3.92</v>
      </c>
      <c r="H1404">
        <v>3.8490000000000002</v>
      </c>
      <c r="I1404">
        <v>3.8370000000000002</v>
      </c>
      <c r="J1404">
        <v>31.116</v>
      </c>
      <c r="K1404">
        <v>21.4</v>
      </c>
      <c r="L1404">
        <v>0</v>
      </c>
    </row>
    <row r="1405" spans="1:12" x14ac:dyDescent="0.25">
      <c r="A1405">
        <v>93143</v>
      </c>
      <c r="B1405">
        <v>3.91</v>
      </c>
      <c r="C1405">
        <v>3.9220000000000002</v>
      </c>
      <c r="D1405">
        <v>3.84</v>
      </c>
      <c r="E1405">
        <v>3.782</v>
      </c>
      <c r="F1405">
        <v>4.056</v>
      </c>
      <c r="G1405">
        <v>3.92</v>
      </c>
      <c r="H1405">
        <v>3.8490000000000002</v>
      </c>
      <c r="I1405">
        <v>3.8370000000000002</v>
      </c>
      <c r="J1405">
        <v>31.116</v>
      </c>
      <c r="K1405">
        <v>21.4</v>
      </c>
      <c r="L1405">
        <v>1.2E-2</v>
      </c>
    </row>
    <row r="1406" spans="1:12" x14ac:dyDescent="0.25">
      <c r="A1406">
        <v>98150</v>
      </c>
      <c r="B1406">
        <v>3.91</v>
      </c>
      <c r="C1406">
        <v>3.9220000000000002</v>
      </c>
      <c r="D1406">
        <v>3.84</v>
      </c>
      <c r="E1406">
        <v>3.782</v>
      </c>
      <c r="F1406">
        <v>4.056</v>
      </c>
      <c r="G1406">
        <v>3.92</v>
      </c>
      <c r="H1406">
        <v>3.8490000000000002</v>
      </c>
      <c r="I1406">
        <v>3.8370000000000002</v>
      </c>
      <c r="J1406">
        <v>31.116</v>
      </c>
      <c r="K1406">
        <v>21.4</v>
      </c>
      <c r="L1406">
        <v>2.7E-2</v>
      </c>
    </row>
    <row r="1407" spans="1:12" x14ac:dyDescent="0.25">
      <c r="A1407">
        <v>103156</v>
      </c>
      <c r="B1407">
        <v>3.91</v>
      </c>
      <c r="C1407">
        <v>3.9220000000000002</v>
      </c>
      <c r="D1407">
        <v>3.84</v>
      </c>
      <c r="E1407">
        <v>3.782</v>
      </c>
      <c r="F1407">
        <v>4.056</v>
      </c>
      <c r="G1407">
        <v>3.92</v>
      </c>
      <c r="H1407">
        <v>3.8490000000000002</v>
      </c>
      <c r="I1407">
        <v>3.8370000000000002</v>
      </c>
      <c r="J1407">
        <v>31.116</v>
      </c>
      <c r="K1407">
        <v>21.4</v>
      </c>
      <c r="L1407">
        <v>4.0000000000000001E-3</v>
      </c>
    </row>
    <row r="1408" spans="1:12" x14ac:dyDescent="0.25">
      <c r="A1408">
        <v>108163</v>
      </c>
      <c r="B1408">
        <v>3.91</v>
      </c>
      <c r="C1408">
        <v>3.9220000000000002</v>
      </c>
      <c r="D1408">
        <v>3.84</v>
      </c>
      <c r="E1408">
        <v>3.782</v>
      </c>
      <c r="F1408">
        <v>4.056</v>
      </c>
      <c r="G1408">
        <v>3.92</v>
      </c>
      <c r="H1408">
        <v>3.8170000000000002</v>
      </c>
      <c r="I1408">
        <v>3.87</v>
      </c>
      <c r="J1408">
        <v>31.117000000000001</v>
      </c>
      <c r="K1408">
        <v>21.4</v>
      </c>
      <c r="L1408">
        <v>1.2999999999999999E-2</v>
      </c>
    </row>
    <row r="1409" spans="1:12" x14ac:dyDescent="0.25">
      <c r="A1409">
        <v>113163</v>
      </c>
      <c r="B1409">
        <v>3.91</v>
      </c>
      <c r="C1409">
        <v>3.9220000000000002</v>
      </c>
      <c r="D1409">
        <v>3.84</v>
      </c>
      <c r="E1409">
        <v>3.782</v>
      </c>
      <c r="F1409">
        <v>4.056</v>
      </c>
      <c r="G1409">
        <v>3.92</v>
      </c>
      <c r="H1409">
        <v>3.8490000000000002</v>
      </c>
      <c r="I1409">
        <v>3.8759999999999999</v>
      </c>
      <c r="J1409">
        <v>31.155000000000001</v>
      </c>
      <c r="K1409">
        <v>21.4</v>
      </c>
      <c r="L1409">
        <v>-1.9E-2</v>
      </c>
    </row>
    <row r="1410" spans="1:12" x14ac:dyDescent="0.25">
      <c r="A1410">
        <v>118211</v>
      </c>
      <c r="B1410">
        <v>3.91</v>
      </c>
      <c r="C1410">
        <v>3.9220000000000002</v>
      </c>
      <c r="D1410">
        <v>3.84</v>
      </c>
      <c r="E1410">
        <v>3.782</v>
      </c>
      <c r="F1410">
        <v>4.056</v>
      </c>
      <c r="G1410">
        <v>3.92</v>
      </c>
      <c r="H1410">
        <v>3.8490000000000002</v>
      </c>
      <c r="I1410">
        <v>3.8370000000000002</v>
      </c>
      <c r="J1410">
        <v>31.116</v>
      </c>
      <c r="K1410">
        <v>21.4</v>
      </c>
      <c r="L1410">
        <v>-7.0000000000000001E-3</v>
      </c>
    </row>
    <row r="1411" spans="1:12" x14ac:dyDescent="0.25">
      <c r="A1411">
        <v>7380</v>
      </c>
      <c r="B1411">
        <v>0</v>
      </c>
      <c r="C1411">
        <v>3.9220000000000002</v>
      </c>
      <c r="D1411">
        <v>3.84</v>
      </c>
      <c r="E1411">
        <v>3.782</v>
      </c>
      <c r="F1411">
        <v>4.0570000000000004</v>
      </c>
      <c r="G1411">
        <v>3.9510000000000001</v>
      </c>
      <c r="H1411">
        <v>3.8620000000000001</v>
      </c>
      <c r="I1411">
        <v>3.8570000000000002</v>
      </c>
      <c r="J1411">
        <v>27.271000000000001</v>
      </c>
      <c r="K1411">
        <v>21.4</v>
      </c>
      <c r="L1411">
        <v>-3.0000000000000001E-3</v>
      </c>
    </row>
    <row r="1412" spans="1:12" x14ac:dyDescent="0.25">
      <c r="A1412">
        <v>12380</v>
      </c>
      <c r="B1412">
        <v>3.91</v>
      </c>
      <c r="C1412">
        <v>3.9220000000000002</v>
      </c>
      <c r="D1412">
        <v>3.84</v>
      </c>
      <c r="E1412">
        <v>3.782</v>
      </c>
      <c r="F1412">
        <v>4.0570000000000004</v>
      </c>
      <c r="G1412">
        <v>3.9220000000000002</v>
      </c>
      <c r="H1412">
        <v>3.8570000000000002</v>
      </c>
      <c r="I1412">
        <v>3.8889999999999998</v>
      </c>
      <c r="J1412">
        <v>31.178999999999998</v>
      </c>
      <c r="K1412">
        <v>21.4</v>
      </c>
      <c r="L1412">
        <v>0</v>
      </c>
    </row>
    <row r="1413" spans="1:12" x14ac:dyDescent="0.25">
      <c r="A1413">
        <v>17447</v>
      </c>
      <c r="B1413">
        <v>3.91</v>
      </c>
      <c r="C1413">
        <v>3.9220000000000002</v>
      </c>
      <c r="D1413">
        <v>3.84</v>
      </c>
      <c r="E1413">
        <v>3.782</v>
      </c>
      <c r="F1413">
        <v>4.0750000000000002</v>
      </c>
      <c r="G1413">
        <v>3.9220000000000002</v>
      </c>
      <c r="H1413">
        <v>3.8570000000000002</v>
      </c>
      <c r="I1413">
        <v>3.8889999999999998</v>
      </c>
      <c r="J1413">
        <v>31.196999999999999</v>
      </c>
      <c r="K1413">
        <v>21.4</v>
      </c>
      <c r="L1413">
        <v>-1E-3</v>
      </c>
    </row>
    <row r="1414" spans="1:12" x14ac:dyDescent="0.25">
      <c r="A1414">
        <v>22452</v>
      </c>
      <c r="B1414">
        <v>3.91</v>
      </c>
      <c r="C1414">
        <v>3.9220000000000002</v>
      </c>
      <c r="D1414">
        <v>3.84</v>
      </c>
      <c r="E1414">
        <v>3.782</v>
      </c>
      <c r="F1414">
        <v>4.0570000000000004</v>
      </c>
      <c r="G1414">
        <v>3.9220000000000002</v>
      </c>
      <c r="H1414">
        <v>3.8570000000000002</v>
      </c>
      <c r="I1414">
        <v>3.8889999999999998</v>
      </c>
      <c r="J1414">
        <v>31.178999999999998</v>
      </c>
      <c r="K1414">
        <v>21.4</v>
      </c>
      <c r="L1414">
        <v>-1.0999999999999999E-2</v>
      </c>
    </row>
    <row r="1415" spans="1:12" x14ac:dyDescent="0.25">
      <c r="A1415">
        <v>27459</v>
      </c>
      <c r="B1415">
        <v>3.91</v>
      </c>
      <c r="C1415">
        <v>3.9220000000000002</v>
      </c>
      <c r="D1415">
        <v>3.84</v>
      </c>
      <c r="E1415">
        <v>3.782</v>
      </c>
      <c r="F1415">
        <v>4.0750000000000002</v>
      </c>
      <c r="G1415">
        <v>3.9220000000000002</v>
      </c>
      <c r="H1415">
        <v>3.8570000000000002</v>
      </c>
      <c r="I1415">
        <v>3.8889999999999998</v>
      </c>
      <c r="J1415">
        <v>31.196999999999999</v>
      </c>
      <c r="K1415">
        <v>21.3</v>
      </c>
      <c r="L1415">
        <v>-1.6E-2</v>
      </c>
    </row>
    <row r="1416" spans="1:12" x14ac:dyDescent="0.25">
      <c r="A1416">
        <v>32465</v>
      </c>
      <c r="B1416">
        <v>3.91</v>
      </c>
      <c r="C1416">
        <v>3.9220000000000002</v>
      </c>
      <c r="D1416">
        <v>3.84</v>
      </c>
      <c r="E1416">
        <v>3.782</v>
      </c>
      <c r="F1416">
        <v>4.0750000000000002</v>
      </c>
      <c r="G1416">
        <v>3.9220000000000002</v>
      </c>
      <c r="H1416">
        <v>3.8570000000000002</v>
      </c>
      <c r="I1416">
        <v>3.85</v>
      </c>
      <c r="J1416">
        <v>31.158000000000001</v>
      </c>
      <c r="K1416">
        <v>21.4</v>
      </c>
      <c r="L1416">
        <v>-6.0000000000000001E-3</v>
      </c>
    </row>
    <row r="1417" spans="1:12" x14ac:dyDescent="0.25">
      <c r="A1417">
        <v>37472</v>
      </c>
      <c r="B1417">
        <v>3.91</v>
      </c>
      <c r="C1417">
        <v>3.9220000000000002</v>
      </c>
      <c r="D1417">
        <v>3.84</v>
      </c>
      <c r="E1417">
        <v>3.782</v>
      </c>
      <c r="F1417">
        <v>4.0750000000000002</v>
      </c>
      <c r="G1417">
        <v>3.9220000000000002</v>
      </c>
      <c r="H1417">
        <v>3.8570000000000002</v>
      </c>
      <c r="I1417">
        <v>3.85</v>
      </c>
      <c r="J1417">
        <v>31.158000000000001</v>
      </c>
      <c r="K1417">
        <v>21.4</v>
      </c>
      <c r="L1417">
        <v>1.2999999999999999E-2</v>
      </c>
    </row>
    <row r="1418" spans="1:12" x14ac:dyDescent="0.25">
      <c r="A1418">
        <v>42472</v>
      </c>
      <c r="B1418">
        <v>3.915</v>
      </c>
      <c r="C1418">
        <v>3.9169999999999998</v>
      </c>
      <c r="D1418">
        <v>3.84</v>
      </c>
      <c r="E1418">
        <v>3.782</v>
      </c>
      <c r="F1418">
        <v>4.0650000000000004</v>
      </c>
      <c r="G1418">
        <v>3.9209999999999998</v>
      </c>
      <c r="H1418">
        <v>3.9180000000000001</v>
      </c>
      <c r="I1418">
        <v>3.9340000000000002</v>
      </c>
      <c r="J1418">
        <v>31.292000000000002</v>
      </c>
      <c r="K1418">
        <v>21.4</v>
      </c>
      <c r="L1418">
        <v>8.0000000000000002E-3</v>
      </c>
    </row>
    <row r="1419" spans="1:12" x14ac:dyDescent="0.25">
      <c r="A1419">
        <v>47519</v>
      </c>
      <c r="B1419">
        <v>3.92</v>
      </c>
      <c r="C1419">
        <v>3.9289999999999998</v>
      </c>
      <c r="D1419">
        <v>3.8519999999999999</v>
      </c>
      <c r="E1419">
        <v>3.7890000000000001</v>
      </c>
      <c r="F1419">
        <v>4.0460000000000003</v>
      </c>
      <c r="G1419">
        <v>3.919</v>
      </c>
      <c r="H1419">
        <v>3.8450000000000002</v>
      </c>
      <c r="I1419">
        <v>3.87</v>
      </c>
      <c r="J1419">
        <v>31.17</v>
      </c>
      <c r="K1419">
        <v>21.4</v>
      </c>
      <c r="L1419">
        <v>-8.9999999999999993E-3</v>
      </c>
    </row>
    <row r="1420" spans="1:12" x14ac:dyDescent="0.25">
      <c r="A1420">
        <v>52526</v>
      </c>
      <c r="B1420">
        <v>3.915</v>
      </c>
      <c r="C1420">
        <v>3.9260000000000002</v>
      </c>
      <c r="D1420">
        <v>3.8460000000000001</v>
      </c>
      <c r="E1420">
        <v>3.7850000000000001</v>
      </c>
      <c r="F1420">
        <v>4.0359999999999996</v>
      </c>
      <c r="G1420">
        <v>3.9180000000000001</v>
      </c>
      <c r="H1420">
        <v>3.8410000000000002</v>
      </c>
      <c r="I1420">
        <v>3.8250000000000002</v>
      </c>
      <c r="J1420">
        <v>31.091999999999999</v>
      </c>
      <c r="K1420">
        <v>21.4</v>
      </c>
      <c r="L1420">
        <v>-7.0000000000000001E-3</v>
      </c>
    </row>
    <row r="1421" spans="1:12" x14ac:dyDescent="0.25">
      <c r="A1421">
        <v>57533</v>
      </c>
      <c r="B1421">
        <v>3.91</v>
      </c>
      <c r="C1421">
        <v>3.9220000000000002</v>
      </c>
      <c r="D1421">
        <v>3.84</v>
      </c>
      <c r="E1421">
        <v>3.782</v>
      </c>
      <c r="F1421">
        <v>4.0270000000000001</v>
      </c>
      <c r="G1421">
        <v>3.9169999999999998</v>
      </c>
      <c r="H1421">
        <v>3.8039999999999998</v>
      </c>
      <c r="I1421">
        <v>3.851</v>
      </c>
      <c r="J1421">
        <v>31.053000000000001</v>
      </c>
      <c r="K1421">
        <v>21.4</v>
      </c>
      <c r="L1421">
        <v>4.0000000000000001E-3</v>
      </c>
    </row>
    <row r="1422" spans="1:12" x14ac:dyDescent="0.25">
      <c r="A1422">
        <v>62539</v>
      </c>
      <c r="B1422">
        <v>3.91</v>
      </c>
      <c r="C1422">
        <v>3.9220000000000002</v>
      </c>
      <c r="D1422">
        <v>3.84</v>
      </c>
      <c r="E1422">
        <v>3.782</v>
      </c>
      <c r="F1422">
        <v>4.0449999999999999</v>
      </c>
      <c r="G1422">
        <v>3.8889999999999998</v>
      </c>
      <c r="H1422">
        <v>3.8330000000000002</v>
      </c>
      <c r="I1422">
        <v>3.851</v>
      </c>
      <c r="J1422">
        <v>31.071999999999999</v>
      </c>
      <c r="K1422">
        <v>21.4</v>
      </c>
      <c r="L1422">
        <v>-0.02</v>
      </c>
    </row>
    <row r="1423" spans="1:12" x14ac:dyDescent="0.25">
      <c r="A1423">
        <v>67546</v>
      </c>
      <c r="B1423">
        <v>3.9590000000000001</v>
      </c>
      <c r="C1423">
        <v>3.952</v>
      </c>
      <c r="D1423">
        <v>3.863</v>
      </c>
      <c r="E1423">
        <v>3.8050000000000002</v>
      </c>
      <c r="F1423">
        <v>4.0170000000000003</v>
      </c>
      <c r="G1423">
        <v>3.8879999999999999</v>
      </c>
      <c r="H1423">
        <v>3.8290000000000002</v>
      </c>
      <c r="I1423">
        <v>3.8450000000000002</v>
      </c>
      <c r="J1423">
        <v>31.158000000000001</v>
      </c>
      <c r="K1423">
        <v>21.3</v>
      </c>
      <c r="L1423">
        <v>-7.0000000000000001E-3</v>
      </c>
    </row>
    <row r="1424" spans="1:12" x14ac:dyDescent="0.25">
      <c r="A1424">
        <v>72552</v>
      </c>
      <c r="B1424">
        <v>3.93</v>
      </c>
      <c r="C1424">
        <v>3.9369999999999998</v>
      </c>
      <c r="D1424">
        <v>3.863</v>
      </c>
      <c r="E1424">
        <v>3.7949999999999999</v>
      </c>
      <c r="F1424">
        <v>4.0380000000000003</v>
      </c>
      <c r="G1424">
        <v>3.9489999999999998</v>
      </c>
      <c r="H1424">
        <v>3.8210000000000002</v>
      </c>
      <c r="I1424">
        <v>3.8759999999999999</v>
      </c>
      <c r="J1424">
        <v>31.209</v>
      </c>
      <c r="K1424">
        <v>21.3</v>
      </c>
      <c r="L1424">
        <v>3.0000000000000001E-3</v>
      </c>
    </row>
    <row r="1425" spans="1:12" x14ac:dyDescent="0.25">
      <c r="A1425">
        <v>77571</v>
      </c>
      <c r="B1425">
        <v>3.915</v>
      </c>
      <c r="C1425">
        <v>3.9260000000000002</v>
      </c>
      <c r="D1425">
        <v>3.8460000000000001</v>
      </c>
      <c r="E1425">
        <v>3.7850000000000001</v>
      </c>
      <c r="F1425">
        <v>4.0359999999999996</v>
      </c>
      <c r="G1425">
        <v>3.9180000000000001</v>
      </c>
      <c r="H1425">
        <v>3.8410000000000002</v>
      </c>
      <c r="I1425">
        <v>3.8250000000000002</v>
      </c>
      <c r="J1425">
        <v>31.091999999999999</v>
      </c>
      <c r="K1425">
        <v>21.4</v>
      </c>
      <c r="L1425">
        <v>-7.0000000000000001E-3</v>
      </c>
    </row>
    <row r="1426" spans="1:12" x14ac:dyDescent="0.25">
      <c r="A1426">
        <v>82582</v>
      </c>
      <c r="B1426">
        <v>3.93</v>
      </c>
      <c r="C1426">
        <v>3.9369999999999998</v>
      </c>
      <c r="D1426">
        <v>3.863</v>
      </c>
      <c r="E1426">
        <v>3.7949999999999999</v>
      </c>
      <c r="F1426">
        <v>4.0650000000000004</v>
      </c>
      <c r="G1426">
        <v>3.9209999999999998</v>
      </c>
      <c r="H1426">
        <v>3.8530000000000002</v>
      </c>
      <c r="I1426">
        <v>3.8439999999999999</v>
      </c>
      <c r="J1426">
        <v>31.207999999999998</v>
      </c>
      <c r="K1426">
        <v>21.4</v>
      </c>
      <c r="L1426">
        <v>-0.02</v>
      </c>
    </row>
    <row r="1427" spans="1:12" x14ac:dyDescent="0.25">
      <c r="A1427">
        <v>87644</v>
      </c>
      <c r="B1427">
        <v>3.9350000000000001</v>
      </c>
      <c r="C1427">
        <v>3.95</v>
      </c>
      <c r="D1427">
        <v>3.86</v>
      </c>
      <c r="E1427">
        <v>3.7989999999999999</v>
      </c>
      <c r="F1427">
        <v>4.0469999999999997</v>
      </c>
      <c r="G1427">
        <v>3.95</v>
      </c>
      <c r="H1427">
        <v>3.8570000000000002</v>
      </c>
      <c r="I1427">
        <v>3.85</v>
      </c>
      <c r="J1427">
        <v>31.248000000000001</v>
      </c>
      <c r="K1427">
        <v>21.4</v>
      </c>
      <c r="L1427">
        <v>-3.0000000000000001E-3</v>
      </c>
    </row>
    <row r="1428" spans="1:12" x14ac:dyDescent="0.25">
      <c r="A1428">
        <v>92655</v>
      </c>
      <c r="B1428">
        <v>3.9390000000000001</v>
      </c>
      <c r="C1428">
        <v>3.9449999999999998</v>
      </c>
      <c r="D1428">
        <v>3.86</v>
      </c>
      <c r="E1428">
        <v>3.8159999999999998</v>
      </c>
      <c r="F1428">
        <v>4.0750000000000002</v>
      </c>
      <c r="G1428">
        <v>3.9220000000000002</v>
      </c>
      <c r="H1428">
        <v>3.8570000000000002</v>
      </c>
      <c r="I1428">
        <v>3.85</v>
      </c>
      <c r="J1428">
        <v>31.263999999999999</v>
      </c>
      <c r="K1428">
        <v>21.3</v>
      </c>
      <c r="L1428">
        <v>-8.9999999999999993E-3</v>
      </c>
    </row>
    <row r="1429" spans="1:12" x14ac:dyDescent="0.25">
      <c r="A1429">
        <v>97656</v>
      </c>
      <c r="B1429">
        <v>3.9350000000000001</v>
      </c>
      <c r="C1429">
        <v>3.95</v>
      </c>
      <c r="D1429">
        <v>3.86</v>
      </c>
      <c r="E1429">
        <v>3.7989999999999999</v>
      </c>
      <c r="F1429">
        <v>4.0469999999999997</v>
      </c>
      <c r="G1429">
        <v>3.95</v>
      </c>
      <c r="H1429">
        <v>3.8570000000000002</v>
      </c>
      <c r="I1429">
        <v>3.85</v>
      </c>
      <c r="J1429">
        <v>31.248000000000001</v>
      </c>
      <c r="K1429">
        <v>21.3</v>
      </c>
      <c r="L1429">
        <v>1.0999999999999999E-2</v>
      </c>
    </row>
    <row r="1430" spans="1:12" x14ac:dyDescent="0.25">
      <c r="A1430">
        <v>102662</v>
      </c>
      <c r="B1430">
        <v>3.9390000000000001</v>
      </c>
      <c r="C1430">
        <v>3.9359999999999999</v>
      </c>
      <c r="D1430">
        <v>3.8690000000000002</v>
      </c>
      <c r="E1430">
        <v>3.7989999999999999</v>
      </c>
      <c r="F1430">
        <v>4.0469999999999997</v>
      </c>
      <c r="G1430">
        <v>3.9209999999999998</v>
      </c>
      <c r="H1430">
        <v>3.8530000000000002</v>
      </c>
      <c r="I1430">
        <v>3.883</v>
      </c>
      <c r="J1430">
        <v>31.247</v>
      </c>
      <c r="K1430">
        <v>21.3</v>
      </c>
      <c r="L1430">
        <v>0.01</v>
      </c>
    </row>
    <row r="1431" spans="1:12" x14ac:dyDescent="0.25">
      <c r="A1431">
        <v>107669</v>
      </c>
      <c r="B1431">
        <v>3.9350000000000001</v>
      </c>
      <c r="C1431">
        <v>3.9409999999999998</v>
      </c>
      <c r="D1431">
        <v>3.8690000000000002</v>
      </c>
      <c r="E1431">
        <v>3.7989999999999999</v>
      </c>
      <c r="F1431">
        <v>4.0469999999999997</v>
      </c>
      <c r="G1431">
        <v>3.9209999999999998</v>
      </c>
      <c r="H1431">
        <v>3.8530000000000002</v>
      </c>
      <c r="I1431">
        <v>3.883</v>
      </c>
      <c r="J1431">
        <v>31.248000000000001</v>
      </c>
      <c r="K1431">
        <v>21.3</v>
      </c>
      <c r="L1431">
        <v>-8.0000000000000002E-3</v>
      </c>
    </row>
    <row r="1432" spans="1:12" x14ac:dyDescent="0.25">
      <c r="A1432">
        <v>112669</v>
      </c>
      <c r="B1432">
        <v>3.9350000000000001</v>
      </c>
      <c r="C1432">
        <v>3.95</v>
      </c>
      <c r="D1432">
        <v>3.86</v>
      </c>
      <c r="E1432">
        <v>3.7989999999999999</v>
      </c>
      <c r="F1432">
        <v>4.0469999999999997</v>
      </c>
      <c r="G1432">
        <v>3.95</v>
      </c>
      <c r="H1432">
        <v>3.8570000000000002</v>
      </c>
      <c r="I1432">
        <v>3.85</v>
      </c>
      <c r="J1432">
        <v>31.248000000000001</v>
      </c>
      <c r="K1432">
        <v>21.3</v>
      </c>
      <c r="L1432">
        <v>-1.0999999999999999E-2</v>
      </c>
    </row>
    <row r="1433" spans="1:12" x14ac:dyDescent="0.25">
      <c r="A1433">
        <v>9090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-1.4E-2</v>
      </c>
    </row>
    <row r="1434" spans="1:12" x14ac:dyDescent="0.25">
      <c r="A1434">
        <v>14101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-8.9999999999999993E-3</v>
      </c>
    </row>
    <row r="1435" spans="1:12" x14ac:dyDescent="0.25">
      <c r="A1435">
        <v>7936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-7.0000000000000001E-3</v>
      </c>
    </row>
    <row r="1436" spans="1:12" x14ac:dyDescent="0.25">
      <c r="A1436">
        <v>12955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-1.7000000000000001E-2</v>
      </c>
    </row>
    <row r="1437" spans="1:12" x14ac:dyDescent="0.25">
      <c r="A1437">
        <v>19041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-1.4999999999999999E-2</v>
      </c>
    </row>
    <row r="1438" spans="1:12" x14ac:dyDescent="0.25">
      <c r="A1438">
        <v>25125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-8.0000000000000002E-3</v>
      </c>
    </row>
    <row r="1439" spans="1:12" x14ac:dyDescent="0.25">
      <c r="A1439">
        <v>31209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-1.2E-2</v>
      </c>
    </row>
    <row r="1440" spans="1:12" x14ac:dyDescent="0.25">
      <c r="A1440">
        <v>37293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-2.9000000000000001E-2</v>
      </c>
    </row>
    <row r="1441" spans="1:12" x14ac:dyDescent="0.25">
      <c r="A1441">
        <v>43377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-5.0000000000000001E-3</v>
      </c>
    </row>
    <row r="1442" spans="1:12" x14ac:dyDescent="0.25">
      <c r="A1442">
        <v>49462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-1.4E-2</v>
      </c>
    </row>
    <row r="1443" spans="1:12" x14ac:dyDescent="0.25">
      <c r="A1443">
        <v>55550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-1.9E-2</v>
      </c>
    </row>
    <row r="1444" spans="1:12" x14ac:dyDescent="0.25">
      <c r="A1444">
        <v>61634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-1.7000000000000001E-2</v>
      </c>
    </row>
    <row r="1445" spans="1:12" x14ac:dyDescent="0.25">
      <c r="A1445">
        <v>67721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-3.5999999999999997E-2</v>
      </c>
    </row>
    <row r="1446" spans="1:12" x14ac:dyDescent="0.25">
      <c r="A1446">
        <v>73805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-1.2E-2</v>
      </c>
    </row>
    <row r="1447" spans="1:12" x14ac:dyDescent="0.25">
      <c r="A1447">
        <v>79889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-8.0000000000000002E-3</v>
      </c>
    </row>
    <row r="1448" spans="1:12" x14ac:dyDescent="0.25">
      <c r="A1448">
        <v>85983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-2.5999999999999999E-2</v>
      </c>
    </row>
    <row r="1449" spans="1:12" x14ac:dyDescent="0.25">
      <c r="A1449">
        <v>90985</v>
      </c>
      <c r="B1449">
        <v>3.9249999999999998</v>
      </c>
      <c r="C1449">
        <v>3.9420000000000002</v>
      </c>
      <c r="D1449">
        <v>3.8490000000000002</v>
      </c>
      <c r="E1449">
        <v>3.7919999999999998</v>
      </c>
      <c r="F1449">
        <v>4.0279999999999996</v>
      </c>
      <c r="G1449">
        <v>3.948</v>
      </c>
      <c r="H1449">
        <v>3.8490000000000002</v>
      </c>
      <c r="I1449">
        <v>3.8370000000000002</v>
      </c>
      <c r="J1449">
        <v>31.17</v>
      </c>
      <c r="K1449">
        <v>20.7</v>
      </c>
      <c r="L1449">
        <v>-3.4000000000000002E-2</v>
      </c>
    </row>
    <row r="1450" spans="1:12" x14ac:dyDescent="0.25">
      <c r="A1450">
        <v>95985</v>
      </c>
      <c r="B1450">
        <v>3.92</v>
      </c>
      <c r="C1450">
        <v>3.9380000000000002</v>
      </c>
      <c r="D1450">
        <v>3.8580000000000001</v>
      </c>
      <c r="E1450">
        <v>3.7919999999999998</v>
      </c>
      <c r="F1450">
        <v>4.056</v>
      </c>
      <c r="G1450">
        <v>3.92</v>
      </c>
      <c r="H1450">
        <v>3.8490000000000002</v>
      </c>
      <c r="I1450">
        <v>3.8370000000000002</v>
      </c>
      <c r="J1450">
        <v>31.17</v>
      </c>
      <c r="K1450">
        <v>20.8</v>
      </c>
      <c r="L1450">
        <v>-2.3E-2</v>
      </c>
    </row>
    <row r="1451" spans="1:12" x14ac:dyDescent="0.25">
      <c r="A1451">
        <v>101066</v>
      </c>
      <c r="B1451">
        <v>3.92</v>
      </c>
      <c r="C1451">
        <v>3.9470000000000001</v>
      </c>
      <c r="D1451">
        <v>3.8490000000000002</v>
      </c>
      <c r="E1451">
        <v>3.7919999999999998</v>
      </c>
      <c r="F1451">
        <v>4.056</v>
      </c>
      <c r="G1451">
        <v>3.92</v>
      </c>
      <c r="H1451">
        <v>3.8490000000000002</v>
      </c>
      <c r="I1451">
        <v>3.8759999999999999</v>
      </c>
      <c r="J1451">
        <v>31.209</v>
      </c>
      <c r="K1451">
        <v>20.8</v>
      </c>
      <c r="L1451">
        <v>-3.3000000000000002E-2</v>
      </c>
    </row>
    <row r="1452" spans="1:12" x14ac:dyDescent="0.25">
      <c r="A1452">
        <v>106090</v>
      </c>
      <c r="B1452">
        <v>3.92</v>
      </c>
      <c r="C1452">
        <v>3.9470000000000001</v>
      </c>
      <c r="D1452">
        <v>3.8490000000000002</v>
      </c>
      <c r="E1452">
        <v>3.7919999999999998</v>
      </c>
      <c r="F1452">
        <v>4.056</v>
      </c>
      <c r="G1452">
        <v>3.92</v>
      </c>
      <c r="H1452">
        <v>3.8490000000000002</v>
      </c>
      <c r="I1452">
        <v>3.8759999999999999</v>
      </c>
      <c r="J1452">
        <v>31.209</v>
      </c>
      <c r="K1452">
        <v>20.8</v>
      </c>
      <c r="L1452">
        <v>-2.9000000000000001E-2</v>
      </c>
    </row>
    <row r="1453" spans="1:12" x14ac:dyDescent="0.25">
      <c r="A1453">
        <v>111093</v>
      </c>
      <c r="B1453">
        <v>3.92</v>
      </c>
      <c r="C1453">
        <v>3.9380000000000002</v>
      </c>
      <c r="D1453">
        <v>3.8580000000000001</v>
      </c>
      <c r="E1453">
        <v>3.7919999999999998</v>
      </c>
      <c r="F1453">
        <v>4.056</v>
      </c>
      <c r="G1453">
        <v>3.92</v>
      </c>
      <c r="H1453">
        <v>3.8490000000000002</v>
      </c>
      <c r="I1453">
        <v>3.8759999999999999</v>
      </c>
      <c r="J1453">
        <v>31.209</v>
      </c>
      <c r="K1453">
        <v>20.7</v>
      </c>
      <c r="L1453">
        <v>-2.4E-2</v>
      </c>
    </row>
    <row r="1454" spans="1:12" x14ac:dyDescent="0.25">
      <c r="A1454">
        <v>116099</v>
      </c>
      <c r="B1454">
        <v>3.92</v>
      </c>
      <c r="C1454">
        <v>3.9380000000000002</v>
      </c>
      <c r="D1454">
        <v>3.8580000000000001</v>
      </c>
      <c r="E1454">
        <v>3.7919999999999998</v>
      </c>
      <c r="F1454">
        <v>4.056</v>
      </c>
      <c r="G1454">
        <v>3.92</v>
      </c>
      <c r="H1454">
        <v>3.8490000000000002</v>
      </c>
      <c r="I1454">
        <v>3.8759999999999999</v>
      </c>
      <c r="J1454">
        <v>31.209</v>
      </c>
      <c r="K1454">
        <v>20.7</v>
      </c>
      <c r="L1454">
        <v>-3.5000000000000003E-2</v>
      </c>
    </row>
    <row r="1455" spans="1:12" x14ac:dyDescent="0.25">
      <c r="A1455">
        <v>121100</v>
      </c>
      <c r="B1455">
        <v>3.92</v>
      </c>
      <c r="C1455">
        <v>3.9380000000000002</v>
      </c>
      <c r="D1455">
        <v>3.8580000000000001</v>
      </c>
      <c r="E1455">
        <v>3.7919999999999998</v>
      </c>
      <c r="F1455">
        <v>4.056</v>
      </c>
      <c r="G1455">
        <v>3.92</v>
      </c>
      <c r="H1455">
        <v>3.8490000000000002</v>
      </c>
      <c r="I1455">
        <v>3.8759999999999999</v>
      </c>
      <c r="J1455">
        <v>31.209</v>
      </c>
      <c r="K1455">
        <v>20.7</v>
      </c>
      <c r="L1455">
        <v>-3.3000000000000002E-2</v>
      </c>
    </row>
    <row r="1456" spans="1:12" x14ac:dyDescent="0.25">
      <c r="A1456">
        <v>126106</v>
      </c>
      <c r="B1456">
        <v>3.92</v>
      </c>
      <c r="C1456">
        <v>3.9380000000000002</v>
      </c>
      <c r="D1456">
        <v>3.8580000000000001</v>
      </c>
      <c r="E1456">
        <v>3.7919999999999998</v>
      </c>
      <c r="F1456">
        <v>4.056</v>
      </c>
      <c r="G1456">
        <v>3.92</v>
      </c>
      <c r="H1456">
        <v>3.8490000000000002</v>
      </c>
      <c r="I1456">
        <v>3.8370000000000002</v>
      </c>
      <c r="J1456">
        <v>31.17</v>
      </c>
      <c r="K1456">
        <v>20.7</v>
      </c>
      <c r="L1456">
        <v>-3.5999999999999997E-2</v>
      </c>
    </row>
    <row r="1457" spans="1:12" x14ac:dyDescent="0.25">
      <c r="A1457">
        <v>131113</v>
      </c>
      <c r="B1457">
        <v>3.92</v>
      </c>
      <c r="C1457">
        <v>3.9380000000000002</v>
      </c>
      <c r="D1457">
        <v>3.8580000000000001</v>
      </c>
      <c r="E1457">
        <v>3.7919999999999998</v>
      </c>
      <c r="F1457">
        <v>4.056</v>
      </c>
      <c r="G1457">
        <v>3.92</v>
      </c>
      <c r="H1457">
        <v>3.8490000000000002</v>
      </c>
      <c r="I1457">
        <v>3.8759999999999999</v>
      </c>
      <c r="J1457">
        <v>31.209</v>
      </c>
      <c r="K1457">
        <v>20.7</v>
      </c>
      <c r="L1457">
        <v>-1.7999999999999999E-2</v>
      </c>
    </row>
    <row r="1458" spans="1:12" x14ac:dyDescent="0.25">
      <c r="A1458">
        <v>136113</v>
      </c>
      <c r="B1458">
        <v>3.92</v>
      </c>
      <c r="C1458">
        <v>3.9380000000000002</v>
      </c>
      <c r="D1458">
        <v>3.8580000000000001</v>
      </c>
      <c r="E1458">
        <v>3.7919999999999998</v>
      </c>
      <c r="F1458">
        <v>4.056</v>
      </c>
      <c r="G1458">
        <v>3.92</v>
      </c>
      <c r="H1458">
        <v>3.8490000000000002</v>
      </c>
      <c r="I1458">
        <v>3.8759999999999999</v>
      </c>
      <c r="J1458">
        <v>31.209</v>
      </c>
      <c r="K1458">
        <v>20.7</v>
      </c>
      <c r="L1458">
        <v>-3.1E-2</v>
      </c>
    </row>
    <row r="1459" spans="1:12" x14ac:dyDescent="0.25">
      <c r="A1459">
        <v>141127</v>
      </c>
      <c r="B1459">
        <v>3.92</v>
      </c>
      <c r="C1459">
        <v>3.9380000000000002</v>
      </c>
      <c r="D1459">
        <v>3.8580000000000001</v>
      </c>
      <c r="E1459">
        <v>3.7919999999999998</v>
      </c>
      <c r="F1459">
        <v>4.056</v>
      </c>
      <c r="G1459">
        <v>3.92</v>
      </c>
      <c r="H1459">
        <v>3.8490000000000002</v>
      </c>
      <c r="I1459">
        <v>3.8759999999999999</v>
      </c>
      <c r="J1459">
        <v>31.209</v>
      </c>
      <c r="K1459">
        <v>20.7</v>
      </c>
      <c r="L1459">
        <v>-2.7E-2</v>
      </c>
    </row>
    <row r="1460" spans="1:12" x14ac:dyDescent="0.25">
      <c r="A1460">
        <v>146135</v>
      </c>
      <c r="B1460">
        <v>3.92</v>
      </c>
      <c r="C1460">
        <v>3.9380000000000002</v>
      </c>
      <c r="D1460">
        <v>3.8580000000000001</v>
      </c>
      <c r="E1460">
        <v>3.7919999999999998</v>
      </c>
      <c r="F1460">
        <v>4.056</v>
      </c>
      <c r="G1460">
        <v>3.92</v>
      </c>
      <c r="H1460">
        <v>3.8490000000000002</v>
      </c>
      <c r="I1460">
        <v>3.8759999999999999</v>
      </c>
      <c r="J1460">
        <v>31.209</v>
      </c>
      <c r="K1460">
        <v>20.7</v>
      </c>
      <c r="L1460">
        <v>-4.1000000000000002E-2</v>
      </c>
    </row>
    <row r="1461" spans="1:12" x14ac:dyDescent="0.25">
      <c r="A1461">
        <v>151142</v>
      </c>
      <c r="B1461">
        <v>3.92</v>
      </c>
      <c r="C1461">
        <v>3.9470000000000001</v>
      </c>
      <c r="D1461">
        <v>3.8490000000000002</v>
      </c>
      <c r="E1461">
        <v>3.7919999999999998</v>
      </c>
      <c r="F1461">
        <v>4.056</v>
      </c>
      <c r="G1461">
        <v>3.92</v>
      </c>
      <c r="H1461">
        <v>3.8490000000000002</v>
      </c>
      <c r="I1461">
        <v>3.8759999999999999</v>
      </c>
      <c r="J1461">
        <v>31.209</v>
      </c>
      <c r="K1461">
        <v>20.8</v>
      </c>
      <c r="L1461">
        <v>-3.7999999999999999E-2</v>
      </c>
    </row>
    <row r="1462" spans="1:12" x14ac:dyDescent="0.25">
      <c r="A1462">
        <v>156147</v>
      </c>
      <c r="B1462">
        <v>3.92</v>
      </c>
      <c r="C1462">
        <v>3.9380000000000002</v>
      </c>
      <c r="D1462">
        <v>3.8580000000000001</v>
      </c>
      <c r="E1462">
        <v>3.7919999999999998</v>
      </c>
      <c r="F1462">
        <v>4.056</v>
      </c>
      <c r="G1462">
        <v>3.92</v>
      </c>
      <c r="H1462">
        <v>3.8490000000000002</v>
      </c>
      <c r="I1462">
        <v>3.8759999999999999</v>
      </c>
      <c r="J1462">
        <v>31.209</v>
      </c>
      <c r="K1462">
        <v>20.7</v>
      </c>
      <c r="L1462">
        <v>-2.4E-2</v>
      </c>
    </row>
    <row r="1463" spans="1:12" x14ac:dyDescent="0.25">
      <c r="A1463">
        <v>161148</v>
      </c>
      <c r="B1463">
        <v>3.92</v>
      </c>
      <c r="C1463">
        <v>3.9380000000000002</v>
      </c>
      <c r="D1463">
        <v>3.8580000000000001</v>
      </c>
      <c r="E1463">
        <v>3.7919999999999998</v>
      </c>
      <c r="F1463">
        <v>4.056</v>
      </c>
      <c r="G1463">
        <v>3.92</v>
      </c>
      <c r="H1463">
        <v>3.8490000000000002</v>
      </c>
      <c r="I1463">
        <v>3.8759999999999999</v>
      </c>
      <c r="J1463">
        <v>31.209</v>
      </c>
      <c r="K1463">
        <v>20.7</v>
      </c>
      <c r="L1463">
        <v>-4.3999999999999997E-2</v>
      </c>
    </row>
    <row r="1464" spans="1:12" x14ac:dyDescent="0.25">
      <c r="A1464">
        <v>166159</v>
      </c>
      <c r="B1464">
        <v>3.92</v>
      </c>
      <c r="C1464">
        <v>3.9380000000000002</v>
      </c>
      <c r="D1464">
        <v>3.8580000000000001</v>
      </c>
      <c r="E1464">
        <v>3.7919999999999998</v>
      </c>
      <c r="F1464">
        <v>4.056</v>
      </c>
      <c r="G1464">
        <v>3.92</v>
      </c>
      <c r="H1464">
        <v>3.8490000000000002</v>
      </c>
      <c r="I1464">
        <v>3.8759999999999999</v>
      </c>
      <c r="J1464">
        <v>31.209</v>
      </c>
      <c r="K1464">
        <v>20.7</v>
      </c>
      <c r="L1464">
        <v>-3.7999999999999999E-2</v>
      </c>
    </row>
    <row r="1465" spans="1:12" x14ac:dyDescent="0.25">
      <c r="A1465">
        <v>171162</v>
      </c>
      <c r="B1465">
        <v>3.92</v>
      </c>
      <c r="C1465">
        <v>3.9380000000000002</v>
      </c>
      <c r="D1465">
        <v>3.8580000000000001</v>
      </c>
      <c r="E1465">
        <v>3.7919999999999998</v>
      </c>
      <c r="F1465">
        <v>4.056</v>
      </c>
      <c r="G1465">
        <v>3.92</v>
      </c>
      <c r="H1465">
        <v>3.8490000000000002</v>
      </c>
      <c r="I1465">
        <v>3.8759999999999999</v>
      </c>
      <c r="J1465">
        <v>31.209</v>
      </c>
      <c r="K1465">
        <v>20.8</v>
      </c>
      <c r="L1465">
        <v>-2.5999999999999999E-2</v>
      </c>
    </row>
    <row r="1466" spans="1:12" x14ac:dyDescent="0.25">
      <c r="A1466">
        <v>176166</v>
      </c>
      <c r="B1466">
        <v>3.92</v>
      </c>
      <c r="C1466">
        <v>3.9380000000000002</v>
      </c>
      <c r="D1466">
        <v>3.8580000000000001</v>
      </c>
      <c r="E1466">
        <v>3.7919999999999998</v>
      </c>
      <c r="F1466">
        <v>4.056</v>
      </c>
      <c r="G1466">
        <v>3.92</v>
      </c>
      <c r="H1466">
        <v>3.8490000000000002</v>
      </c>
      <c r="I1466">
        <v>3.8759999999999999</v>
      </c>
      <c r="J1466">
        <v>31.209</v>
      </c>
      <c r="K1466">
        <v>20.7</v>
      </c>
      <c r="L1466">
        <v>-3.1E-2</v>
      </c>
    </row>
    <row r="1467" spans="1:12" x14ac:dyDescent="0.25">
      <c r="A1467">
        <v>181166</v>
      </c>
      <c r="B1467">
        <v>3.92</v>
      </c>
      <c r="C1467">
        <v>3.9380000000000002</v>
      </c>
      <c r="D1467">
        <v>3.8580000000000001</v>
      </c>
      <c r="E1467">
        <v>3.7919999999999998</v>
      </c>
      <c r="F1467">
        <v>4.056</v>
      </c>
      <c r="G1467">
        <v>3.92</v>
      </c>
      <c r="H1467">
        <v>3.8490000000000002</v>
      </c>
      <c r="I1467">
        <v>3.8759999999999999</v>
      </c>
      <c r="J1467">
        <v>31.209</v>
      </c>
      <c r="K1467">
        <v>20.7</v>
      </c>
      <c r="L1467">
        <v>-3.9E-2</v>
      </c>
    </row>
    <row r="1468" spans="1:12" x14ac:dyDescent="0.25">
      <c r="A1468">
        <v>186174</v>
      </c>
      <c r="B1468">
        <v>3.92</v>
      </c>
      <c r="C1468">
        <v>3.9380000000000002</v>
      </c>
      <c r="D1468">
        <v>3.8580000000000001</v>
      </c>
      <c r="E1468">
        <v>3.7919999999999998</v>
      </c>
      <c r="F1468">
        <v>4.056</v>
      </c>
      <c r="G1468">
        <v>3.92</v>
      </c>
      <c r="H1468">
        <v>3.8490000000000002</v>
      </c>
      <c r="I1468">
        <v>3.8759999999999999</v>
      </c>
      <c r="J1468">
        <v>31.209</v>
      </c>
      <c r="K1468">
        <v>20.7</v>
      </c>
      <c r="L1468">
        <v>-4.3999999999999997E-2</v>
      </c>
    </row>
    <row r="1469" spans="1:12" x14ac:dyDescent="0.25">
      <c r="A1469">
        <v>191181</v>
      </c>
      <c r="B1469">
        <v>3.92</v>
      </c>
      <c r="C1469">
        <v>3.9380000000000002</v>
      </c>
      <c r="D1469">
        <v>3.8580000000000001</v>
      </c>
      <c r="E1469">
        <v>3.7919999999999998</v>
      </c>
      <c r="F1469">
        <v>4.056</v>
      </c>
      <c r="G1469">
        <v>3.92</v>
      </c>
      <c r="H1469">
        <v>3.8490000000000002</v>
      </c>
      <c r="I1469">
        <v>3.8370000000000002</v>
      </c>
      <c r="J1469">
        <v>31.17</v>
      </c>
      <c r="K1469">
        <v>20.8</v>
      </c>
      <c r="L1469">
        <v>-0.04</v>
      </c>
    </row>
    <row r="1470" spans="1:12" x14ac:dyDescent="0.25">
      <c r="A1470">
        <v>196181</v>
      </c>
      <c r="B1470">
        <v>3.92</v>
      </c>
      <c r="C1470">
        <v>3.9470000000000001</v>
      </c>
      <c r="D1470">
        <v>3.8490000000000002</v>
      </c>
      <c r="E1470">
        <v>3.7919999999999998</v>
      </c>
      <c r="F1470">
        <v>4.056</v>
      </c>
      <c r="G1470">
        <v>3.92</v>
      </c>
      <c r="H1470">
        <v>3.8490000000000002</v>
      </c>
      <c r="I1470">
        <v>3.8759999999999999</v>
      </c>
      <c r="J1470">
        <v>31.209</v>
      </c>
      <c r="K1470">
        <v>20.7</v>
      </c>
      <c r="L1470">
        <v>-3.6999999999999998E-2</v>
      </c>
    </row>
    <row r="1471" spans="1:12" x14ac:dyDescent="0.25">
      <c r="A1471">
        <v>201187</v>
      </c>
      <c r="B1471">
        <v>3.92</v>
      </c>
      <c r="C1471">
        <v>3.9380000000000002</v>
      </c>
      <c r="D1471">
        <v>3.8580000000000001</v>
      </c>
      <c r="E1471">
        <v>3.7919999999999998</v>
      </c>
      <c r="F1471">
        <v>4.056</v>
      </c>
      <c r="G1471">
        <v>3.92</v>
      </c>
      <c r="H1471">
        <v>3.8490000000000002</v>
      </c>
      <c r="I1471">
        <v>3.8759999999999999</v>
      </c>
      <c r="J1471">
        <v>31.209</v>
      </c>
      <c r="K1471">
        <v>20.8</v>
      </c>
      <c r="L1471">
        <v>-4.5999999999999999E-2</v>
      </c>
    </row>
    <row r="1472" spans="1:12" x14ac:dyDescent="0.25">
      <c r="A1472">
        <v>206198</v>
      </c>
      <c r="B1472">
        <v>3.92</v>
      </c>
      <c r="C1472">
        <v>3.9380000000000002</v>
      </c>
      <c r="D1472">
        <v>3.8580000000000001</v>
      </c>
      <c r="E1472">
        <v>3.7919999999999998</v>
      </c>
      <c r="F1472">
        <v>4.056</v>
      </c>
      <c r="G1472">
        <v>3.92</v>
      </c>
      <c r="H1472">
        <v>3.8490000000000002</v>
      </c>
      <c r="I1472">
        <v>3.8759999999999999</v>
      </c>
      <c r="J1472">
        <v>31.209</v>
      </c>
      <c r="K1472">
        <v>20.8</v>
      </c>
      <c r="L1472">
        <v>-2.4E-2</v>
      </c>
    </row>
    <row r="1473" spans="1:12" x14ac:dyDescent="0.25">
      <c r="A1473">
        <v>211200</v>
      </c>
      <c r="B1473">
        <v>3.92</v>
      </c>
      <c r="C1473">
        <v>3.9380000000000002</v>
      </c>
      <c r="D1473">
        <v>3.8580000000000001</v>
      </c>
      <c r="E1473">
        <v>3.7919999999999998</v>
      </c>
      <c r="F1473">
        <v>4.056</v>
      </c>
      <c r="G1473">
        <v>3.92</v>
      </c>
      <c r="H1473">
        <v>3.8490000000000002</v>
      </c>
      <c r="I1473">
        <v>3.8759999999999999</v>
      </c>
      <c r="J1473">
        <v>31.209</v>
      </c>
      <c r="K1473">
        <v>20.7</v>
      </c>
      <c r="L1473">
        <v>-2.8000000000000001E-2</v>
      </c>
    </row>
    <row r="1474" spans="1:12" x14ac:dyDescent="0.25">
      <c r="A1474">
        <v>216206</v>
      </c>
      <c r="B1474">
        <v>3.92</v>
      </c>
      <c r="C1474">
        <v>3.9380000000000002</v>
      </c>
      <c r="D1474">
        <v>3.8580000000000001</v>
      </c>
      <c r="E1474">
        <v>3.7919999999999998</v>
      </c>
      <c r="F1474">
        <v>4.056</v>
      </c>
      <c r="G1474">
        <v>3.92</v>
      </c>
      <c r="H1474">
        <v>3.8490000000000002</v>
      </c>
      <c r="I1474">
        <v>3.8759999999999999</v>
      </c>
      <c r="J1474">
        <v>31.209</v>
      </c>
      <c r="K1474">
        <v>20.7</v>
      </c>
      <c r="L1474">
        <v>-0.02</v>
      </c>
    </row>
    <row r="1475" spans="1:12" x14ac:dyDescent="0.25">
      <c r="A1475">
        <v>221214</v>
      </c>
      <c r="B1475">
        <v>3.92</v>
      </c>
      <c r="C1475">
        <v>3.9380000000000002</v>
      </c>
      <c r="D1475">
        <v>3.8580000000000001</v>
      </c>
      <c r="E1475">
        <v>3.7919999999999998</v>
      </c>
      <c r="F1475">
        <v>4.056</v>
      </c>
      <c r="G1475">
        <v>3.92</v>
      </c>
      <c r="H1475">
        <v>3.8490000000000002</v>
      </c>
      <c r="I1475">
        <v>3.8759999999999999</v>
      </c>
      <c r="J1475">
        <v>31.209</v>
      </c>
      <c r="K1475">
        <v>20.8</v>
      </c>
      <c r="L1475">
        <v>-5.5E-2</v>
      </c>
    </row>
    <row r="1476" spans="1:12" x14ac:dyDescent="0.25">
      <c r="A1476">
        <v>226214</v>
      </c>
      <c r="B1476">
        <v>3.92</v>
      </c>
      <c r="C1476">
        <v>3.9380000000000002</v>
      </c>
      <c r="D1476">
        <v>3.8580000000000001</v>
      </c>
      <c r="E1476">
        <v>3.7919999999999998</v>
      </c>
      <c r="F1476">
        <v>4.056</v>
      </c>
      <c r="G1476">
        <v>3.92</v>
      </c>
      <c r="H1476">
        <v>3.8490000000000002</v>
      </c>
      <c r="I1476">
        <v>3.8759999999999999</v>
      </c>
      <c r="J1476">
        <v>31.209</v>
      </c>
      <c r="K1476">
        <v>20.7</v>
      </c>
      <c r="L1476">
        <v>-3.7999999999999999E-2</v>
      </c>
    </row>
    <row r="1477" spans="1:12" x14ac:dyDescent="0.25">
      <c r="A1477">
        <v>231221</v>
      </c>
      <c r="B1477">
        <v>3.92</v>
      </c>
      <c r="C1477">
        <v>3.9380000000000002</v>
      </c>
      <c r="D1477">
        <v>3.8580000000000001</v>
      </c>
      <c r="E1477">
        <v>3.7919999999999998</v>
      </c>
      <c r="F1477">
        <v>4.056</v>
      </c>
      <c r="G1477">
        <v>3.92</v>
      </c>
      <c r="H1477">
        <v>3.8490000000000002</v>
      </c>
      <c r="I1477">
        <v>3.8759999999999999</v>
      </c>
      <c r="J1477">
        <v>31.209</v>
      </c>
      <c r="K1477">
        <v>20.7</v>
      </c>
      <c r="L1477">
        <v>-4.2000000000000003E-2</v>
      </c>
    </row>
    <row r="1478" spans="1:12" x14ac:dyDescent="0.25">
      <c r="A1478">
        <v>236226</v>
      </c>
      <c r="B1478">
        <v>3.92</v>
      </c>
      <c r="C1478">
        <v>3.9380000000000002</v>
      </c>
      <c r="D1478">
        <v>3.8580000000000001</v>
      </c>
      <c r="E1478">
        <v>3.7919999999999998</v>
      </c>
      <c r="F1478">
        <v>4.056</v>
      </c>
      <c r="G1478">
        <v>3.92</v>
      </c>
      <c r="H1478">
        <v>3.8490000000000002</v>
      </c>
      <c r="I1478">
        <v>3.8759999999999999</v>
      </c>
      <c r="J1478">
        <v>31.209</v>
      </c>
      <c r="K1478">
        <v>20.8</v>
      </c>
      <c r="L1478">
        <v>-4.2000000000000003E-2</v>
      </c>
    </row>
    <row r="1479" spans="1:12" x14ac:dyDescent="0.25">
      <c r="A1479">
        <v>241233</v>
      </c>
      <c r="B1479">
        <v>3.92</v>
      </c>
      <c r="C1479">
        <v>3.9380000000000002</v>
      </c>
      <c r="D1479">
        <v>3.8580000000000001</v>
      </c>
      <c r="E1479">
        <v>3.7919999999999998</v>
      </c>
      <c r="F1479">
        <v>4.056</v>
      </c>
      <c r="G1479">
        <v>3.92</v>
      </c>
      <c r="H1479">
        <v>3.8490000000000002</v>
      </c>
      <c r="I1479">
        <v>3.8759999999999999</v>
      </c>
      <c r="J1479">
        <v>31.209</v>
      </c>
      <c r="K1479">
        <v>20.7</v>
      </c>
      <c r="L1479">
        <v>-5.0999999999999997E-2</v>
      </c>
    </row>
    <row r="1480" spans="1:12" x14ac:dyDescent="0.25">
      <c r="A1480">
        <v>246233</v>
      </c>
      <c r="B1480">
        <v>3.92</v>
      </c>
      <c r="C1480">
        <v>3.9380000000000002</v>
      </c>
      <c r="D1480">
        <v>3.8580000000000001</v>
      </c>
      <c r="E1480">
        <v>3.7919999999999998</v>
      </c>
      <c r="F1480">
        <v>4.056</v>
      </c>
      <c r="G1480">
        <v>3.92</v>
      </c>
      <c r="H1480">
        <v>3.8490000000000002</v>
      </c>
      <c r="I1480">
        <v>3.8759999999999999</v>
      </c>
      <c r="J1480">
        <v>31.209</v>
      </c>
      <c r="K1480">
        <v>20.8</v>
      </c>
      <c r="L1480">
        <v>-3.3000000000000002E-2</v>
      </c>
    </row>
    <row r="1481" spans="1:12" x14ac:dyDescent="0.25">
      <c r="A1481">
        <v>251240</v>
      </c>
      <c r="B1481">
        <v>3.92</v>
      </c>
      <c r="C1481">
        <v>3.9380000000000002</v>
      </c>
      <c r="D1481">
        <v>3.8580000000000001</v>
      </c>
      <c r="E1481">
        <v>3.7919999999999998</v>
      </c>
      <c r="F1481">
        <v>4.056</v>
      </c>
      <c r="G1481">
        <v>3.92</v>
      </c>
      <c r="H1481">
        <v>3.8490000000000002</v>
      </c>
      <c r="I1481">
        <v>3.8759999999999999</v>
      </c>
      <c r="J1481">
        <v>31.209</v>
      </c>
      <c r="K1481">
        <v>20.7</v>
      </c>
      <c r="L1481">
        <v>-5.3999999999999999E-2</v>
      </c>
    </row>
    <row r="1482" spans="1:12" x14ac:dyDescent="0.25">
      <c r="A1482">
        <v>256240</v>
      </c>
      <c r="B1482">
        <v>3.92</v>
      </c>
      <c r="C1482">
        <v>3.9380000000000002</v>
      </c>
      <c r="D1482">
        <v>3.8580000000000001</v>
      </c>
      <c r="E1482">
        <v>3.7919999999999998</v>
      </c>
      <c r="F1482">
        <v>4.056</v>
      </c>
      <c r="G1482">
        <v>3.92</v>
      </c>
      <c r="H1482">
        <v>3.8490000000000002</v>
      </c>
      <c r="I1482">
        <v>3.8759999999999999</v>
      </c>
      <c r="J1482">
        <v>31.209</v>
      </c>
      <c r="K1482">
        <v>20.7</v>
      </c>
      <c r="L1482">
        <v>-3.3000000000000002E-2</v>
      </c>
    </row>
    <row r="1483" spans="1:12" x14ac:dyDescent="0.25">
      <c r="A1483">
        <v>261247</v>
      </c>
      <c r="B1483">
        <v>3.92</v>
      </c>
      <c r="C1483">
        <v>3.9380000000000002</v>
      </c>
      <c r="D1483">
        <v>3.8580000000000001</v>
      </c>
      <c r="E1483">
        <v>3.7919999999999998</v>
      </c>
      <c r="F1483">
        <v>4.056</v>
      </c>
      <c r="G1483">
        <v>3.92</v>
      </c>
      <c r="H1483">
        <v>3.8490000000000002</v>
      </c>
      <c r="I1483">
        <v>3.8759999999999999</v>
      </c>
      <c r="J1483">
        <v>31.209</v>
      </c>
      <c r="K1483">
        <v>20.7</v>
      </c>
      <c r="L1483">
        <v>-3.4000000000000002E-2</v>
      </c>
    </row>
    <row r="1484" spans="1:12" x14ac:dyDescent="0.25">
      <c r="A1484">
        <v>266253</v>
      </c>
      <c r="B1484">
        <v>3.92</v>
      </c>
      <c r="C1484">
        <v>3.9380000000000002</v>
      </c>
      <c r="D1484">
        <v>3.8580000000000001</v>
      </c>
      <c r="E1484">
        <v>3.7919999999999998</v>
      </c>
      <c r="F1484">
        <v>4.056</v>
      </c>
      <c r="G1484">
        <v>3.92</v>
      </c>
      <c r="H1484">
        <v>3.8490000000000002</v>
      </c>
      <c r="I1484">
        <v>3.8759999999999999</v>
      </c>
      <c r="J1484">
        <v>31.209</v>
      </c>
      <c r="K1484">
        <v>20.7</v>
      </c>
      <c r="L1484">
        <v>-1.9E-2</v>
      </c>
    </row>
    <row r="1485" spans="1:12" x14ac:dyDescent="0.25">
      <c r="A1485">
        <v>271260</v>
      </c>
      <c r="B1485">
        <v>3.92</v>
      </c>
      <c r="C1485">
        <v>3.9380000000000002</v>
      </c>
      <c r="D1485">
        <v>3.8580000000000001</v>
      </c>
      <c r="E1485">
        <v>3.7919999999999998</v>
      </c>
      <c r="F1485">
        <v>4.056</v>
      </c>
      <c r="G1485">
        <v>3.92</v>
      </c>
      <c r="H1485">
        <v>3.8490000000000002</v>
      </c>
      <c r="I1485">
        <v>3.8759999999999999</v>
      </c>
      <c r="J1485">
        <v>31.209</v>
      </c>
      <c r="K1485">
        <v>20.7</v>
      </c>
      <c r="L1485">
        <v>-3.9E-2</v>
      </c>
    </row>
    <row r="1486" spans="1:12" x14ac:dyDescent="0.25">
      <c r="A1486">
        <v>276266</v>
      </c>
      <c r="B1486">
        <v>3.92</v>
      </c>
      <c r="C1486">
        <v>3.9380000000000002</v>
      </c>
      <c r="D1486">
        <v>3.8580000000000001</v>
      </c>
      <c r="E1486">
        <v>3.7919999999999998</v>
      </c>
      <c r="F1486">
        <v>4.056</v>
      </c>
      <c r="G1486">
        <v>3.92</v>
      </c>
      <c r="H1486">
        <v>3.8490000000000002</v>
      </c>
      <c r="I1486">
        <v>3.8759999999999999</v>
      </c>
      <c r="J1486">
        <v>31.209</v>
      </c>
      <c r="K1486">
        <v>20.7</v>
      </c>
      <c r="L1486">
        <v>-2.7E-2</v>
      </c>
    </row>
    <row r="1487" spans="1:12" x14ac:dyDescent="0.25">
      <c r="A1487">
        <v>281268</v>
      </c>
      <c r="B1487">
        <v>3.92</v>
      </c>
      <c r="C1487">
        <v>3.9380000000000002</v>
      </c>
      <c r="D1487">
        <v>3.8580000000000001</v>
      </c>
      <c r="E1487">
        <v>3.7919999999999998</v>
      </c>
      <c r="F1487">
        <v>4.056</v>
      </c>
      <c r="G1487">
        <v>3.92</v>
      </c>
      <c r="H1487">
        <v>3.8490000000000002</v>
      </c>
      <c r="I1487">
        <v>3.8759999999999999</v>
      </c>
      <c r="J1487">
        <v>31.209</v>
      </c>
      <c r="K1487">
        <v>20.7</v>
      </c>
      <c r="L1487">
        <v>-2.5999999999999999E-2</v>
      </c>
    </row>
    <row r="1488" spans="1:12" x14ac:dyDescent="0.25">
      <c r="A1488">
        <v>286273</v>
      </c>
      <c r="B1488">
        <v>3.92</v>
      </c>
      <c r="C1488">
        <v>3.9380000000000002</v>
      </c>
      <c r="D1488">
        <v>3.8580000000000001</v>
      </c>
      <c r="E1488">
        <v>3.7919999999999998</v>
      </c>
      <c r="F1488">
        <v>4.056</v>
      </c>
      <c r="G1488">
        <v>3.92</v>
      </c>
      <c r="H1488">
        <v>3.8490000000000002</v>
      </c>
      <c r="I1488">
        <v>3.8759999999999999</v>
      </c>
      <c r="J1488">
        <v>31.209</v>
      </c>
      <c r="K1488">
        <v>20.7</v>
      </c>
      <c r="L1488">
        <v>-3.4000000000000002E-2</v>
      </c>
    </row>
    <row r="1489" spans="1:12" x14ac:dyDescent="0.25">
      <c r="A1489">
        <v>291281</v>
      </c>
      <c r="B1489">
        <v>3.92</v>
      </c>
      <c r="C1489">
        <v>3.9380000000000002</v>
      </c>
      <c r="D1489">
        <v>3.8580000000000001</v>
      </c>
      <c r="E1489">
        <v>3.7919999999999998</v>
      </c>
      <c r="F1489">
        <v>4.056</v>
      </c>
      <c r="G1489">
        <v>3.92</v>
      </c>
      <c r="H1489">
        <v>3.8490000000000002</v>
      </c>
      <c r="I1489">
        <v>3.8759999999999999</v>
      </c>
      <c r="J1489">
        <v>31.209</v>
      </c>
      <c r="K1489">
        <v>20.7</v>
      </c>
      <c r="L1489">
        <v>-3.9E-2</v>
      </c>
    </row>
    <row r="1490" spans="1:12" x14ac:dyDescent="0.25">
      <c r="A1490">
        <v>296281</v>
      </c>
      <c r="B1490">
        <v>3.92</v>
      </c>
      <c r="C1490">
        <v>3.9380000000000002</v>
      </c>
      <c r="D1490">
        <v>3.8580000000000001</v>
      </c>
      <c r="E1490">
        <v>3.7919999999999998</v>
      </c>
      <c r="F1490">
        <v>4.056</v>
      </c>
      <c r="G1490">
        <v>3.92</v>
      </c>
      <c r="H1490">
        <v>3.8490000000000002</v>
      </c>
      <c r="I1490">
        <v>3.8759999999999999</v>
      </c>
      <c r="J1490">
        <v>31.209</v>
      </c>
      <c r="K1490">
        <v>20.8</v>
      </c>
      <c r="L1490">
        <v>-3.1E-2</v>
      </c>
    </row>
    <row r="1491" spans="1:12" x14ac:dyDescent="0.25">
      <c r="A1491">
        <v>301283</v>
      </c>
      <c r="B1491">
        <v>3.92</v>
      </c>
      <c r="C1491">
        <v>3.9380000000000002</v>
      </c>
      <c r="D1491">
        <v>3.8580000000000001</v>
      </c>
      <c r="E1491">
        <v>3.7919999999999998</v>
      </c>
      <c r="F1491">
        <v>4.056</v>
      </c>
      <c r="G1491">
        <v>3.92</v>
      </c>
      <c r="H1491">
        <v>3.8490000000000002</v>
      </c>
      <c r="I1491">
        <v>3.8759999999999999</v>
      </c>
      <c r="J1491">
        <v>31.209</v>
      </c>
      <c r="K1491">
        <v>20.7</v>
      </c>
      <c r="L1491">
        <v>-2.4E-2</v>
      </c>
    </row>
    <row r="1492" spans="1:12" x14ac:dyDescent="0.25">
      <c r="A1492">
        <v>306288</v>
      </c>
      <c r="B1492">
        <v>3.92</v>
      </c>
      <c r="C1492">
        <v>3.9380000000000002</v>
      </c>
      <c r="D1492">
        <v>3.8580000000000001</v>
      </c>
      <c r="E1492">
        <v>3.7919999999999998</v>
      </c>
      <c r="F1492">
        <v>4.056</v>
      </c>
      <c r="G1492">
        <v>3.92</v>
      </c>
      <c r="H1492">
        <v>3.8490000000000002</v>
      </c>
      <c r="I1492">
        <v>3.8759999999999999</v>
      </c>
      <c r="J1492">
        <v>31.209</v>
      </c>
      <c r="K1492">
        <v>20.7</v>
      </c>
      <c r="L1492">
        <v>-0.04</v>
      </c>
    </row>
    <row r="1493" spans="1:12" x14ac:dyDescent="0.25">
      <c r="A1493">
        <v>311291</v>
      </c>
      <c r="B1493">
        <v>3.92</v>
      </c>
      <c r="C1493">
        <v>3.9380000000000002</v>
      </c>
      <c r="D1493">
        <v>3.8580000000000001</v>
      </c>
      <c r="E1493">
        <v>3.7919999999999998</v>
      </c>
      <c r="F1493">
        <v>4.056</v>
      </c>
      <c r="G1493">
        <v>3.92</v>
      </c>
      <c r="H1493">
        <v>3.8490000000000002</v>
      </c>
      <c r="I1493">
        <v>3.8759999999999999</v>
      </c>
      <c r="J1493">
        <v>31.209</v>
      </c>
      <c r="K1493">
        <v>20.7</v>
      </c>
      <c r="L1493">
        <v>-0.03</v>
      </c>
    </row>
    <row r="1494" spans="1:12" x14ac:dyDescent="0.25">
      <c r="A1494">
        <v>316294</v>
      </c>
      <c r="B1494">
        <v>3.92</v>
      </c>
      <c r="C1494">
        <v>3.9380000000000002</v>
      </c>
      <c r="D1494">
        <v>3.8580000000000001</v>
      </c>
      <c r="E1494">
        <v>3.7919999999999998</v>
      </c>
      <c r="F1494">
        <v>4.056</v>
      </c>
      <c r="G1494">
        <v>3.92</v>
      </c>
      <c r="H1494">
        <v>3.8490000000000002</v>
      </c>
      <c r="I1494">
        <v>3.8759999999999999</v>
      </c>
      <c r="J1494">
        <v>31.209</v>
      </c>
      <c r="K1494">
        <v>20.7</v>
      </c>
      <c r="L1494">
        <v>-2.5999999999999999E-2</v>
      </c>
    </row>
    <row r="1495" spans="1:12" x14ac:dyDescent="0.25">
      <c r="A1495">
        <v>321302</v>
      </c>
      <c r="B1495">
        <v>3.92</v>
      </c>
      <c r="C1495">
        <v>3.9380000000000002</v>
      </c>
      <c r="D1495">
        <v>3.8580000000000001</v>
      </c>
      <c r="E1495">
        <v>3.7919999999999998</v>
      </c>
      <c r="F1495">
        <v>4.056</v>
      </c>
      <c r="G1495">
        <v>3.92</v>
      </c>
      <c r="H1495">
        <v>3.8490000000000002</v>
      </c>
      <c r="I1495">
        <v>3.8759999999999999</v>
      </c>
      <c r="J1495">
        <v>31.209</v>
      </c>
      <c r="K1495">
        <v>20.7</v>
      </c>
      <c r="L1495">
        <v>-4.7E-2</v>
      </c>
    </row>
    <row r="1496" spans="1:12" x14ac:dyDescent="0.25">
      <c r="A1496">
        <v>326308</v>
      </c>
      <c r="B1496">
        <v>3.92</v>
      </c>
      <c r="C1496">
        <v>3.9380000000000002</v>
      </c>
      <c r="D1496">
        <v>3.8580000000000001</v>
      </c>
      <c r="E1496">
        <v>3.7919999999999998</v>
      </c>
      <c r="F1496">
        <v>4.056</v>
      </c>
      <c r="G1496">
        <v>3.92</v>
      </c>
      <c r="H1496">
        <v>3.8490000000000002</v>
      </c>
      <c r="I1496">
        <v>3.8759999999999999</v>
      </c>
      <c r="J1496">
        <v>31.209</v>
      </c>
      <c r="K1496">
        <v>20.7</v>
      </c>
      <c r="L1496">
        <v>-4.5999999999999999E-2</v>
      </c>
    </row>
    <row r="1497" spans="1:12" x14ac:dyDescent="0.25">
      <c r="A1497">
        <v>331315</v>
      </c>
      <c r="B1497">
        <v>3.92</v>
      </c>
      <c r="C1497">
        <v>3.9380000000000002</v>
      </c>
      <c r="D1497">
        <v>3.8580000000000001</v>
      </c>
      <c r="E1497">
        <v>3.7919999999999998</v>
      </c>
      <c r="F1497">
        <v>4.056</v>
      </c>
      <c r="G1497">
        <v>3.92</v>
      </c>
      <c r="H1497">
        <v>3.8490000000000002</v>
      </c>
      <c r="I1497">
        <v>3.8759999999999999</v>
      </c>
      <c r="J1497">
        <v>31.209</v>
      </c>
      <c r="K1497">
        <v>20.7</v>
      </c>
      <c r="L1497">
        <v>-5.1999999999999998E-2</v>
      </c>
    </row>
    <row r="1498" spans="1:12" x14ac:dyDescent="0.25">
      <c r="A1498">
        <v>336316</v>
      </c>
      <c r="B1498">
        <v>3.92</v>
      </c>
      <c r="C1498">
        <v>3.9380000000000002</v>
      </c>
      <c r="D1498">
        <v>3.8580000000000001</v>
      </c>
      <c r="E1498">
        <v>3.7919999999999998</v>
      </c>
      <c r="F1498">
        <v>4.056</v>
      </c>
      <c r="G1498">
        <v>3.92</v>
      </c>
      <c r="H1498">
        <v>3.8490000000000002</v>
      </c>
      <c r="I1498">
        <v>3.8759999999999999</v>
      </c>
      <c r="J1498">
        <v>31.209</v>
      </c>
      <c r="K1498">
        <v>20.7</v>
      </c>
      <c r="L1498">
        <v>-2.7E-2</v>
      </c>
    </row>
    <row r="1499" spans="1:12" x14ac:dyDescent="0.25">
      <c r="A1499">
        <v>341321</v>
      </c>
      <c r="B1499">
        <v>3.92</v>
      </c>
      <c r="C1499">
        <v>3.9380000000000002</v>
      </c>
      <c r="D1499">
        <v>3.8580000000000001</v>
      </c>
      <c r="E1499">
        <v>3.7919999999999998</v>
      </c>
      <c r="F1499">
        <v>4.056</v>
      </c>
      <c r="G1499">
        <v>3.92</v>
      </c>
      <c r="H1499">
        <v>3.8490000000000002</v>
      </c>
      <c r="I1499">
        <v>3.8759999999999999</v>
      </c>
      <c r="J1499">
        <v>31.209</v>
      </c>
      <c r="K1499">
        <v>20.7</v>
      </c>
      <c r="L1499">
        <v>-0.05</v>
      </c>
    </row>
    <row r="1500" spans="1:12" x14ac:dyDescent="0.25">
      <c r="A1500">
        <v>346326</v>
      </c>
      <c r="B1500">
        <v>3.92</v>
      </c>
      <c r="C1500">
        <v>3.9380000000000002</v>
      </c>
      <c r="D1500">
        <v>3.8580000000000001</v>
      </c>
      <c r="E1500">
        <v>3.7919999999999998</v>
      </c>
      <c r="F1500">
        <v>4.056</v>
      </c>
      <c r="G1500">
        <v>3.92</v>
      </c>
      <c r="H1500">
        <v>3.8490000000000002</v>
      </c>
      <c r="I1500">
        <v>3.8759999999999999</v>
      </c>
      <c r="J1500">
        <v>31.209</v>
      </c>
      <c r="K1500">
        <v>20.7</v>
      </c>
      <c r="L1500">
        <v>-3.7999999999999999E-2</v>
      </c>
    </row>
    <row r="1501" spans="1:12" x14ac:dyDescent="0.25">
      <c r="A1501">
        <v>351334</v>
      </c>
      <c r="B1501">
        <v>3.92</v>
      </c>
      <c r="C1501">
        <v>3.9380000000000002</v>
      </c>
      <c r="D1501">
        <v>3.8580000000000001</v>
      </c>
      <c r="E1501">
        <v>3.7919999999999998</v>
      </c>
      <c r="F1501">
        <v>4.056</v>
      </c>
      <c r="G1501">
        <v>3.92</v>
      </c>
      <c r="H1501">
        <v>3.8490000000000002</v>
      </c>
      <c r="I1501">
        <v>3.8759999999999999</v>
      </c>
      <c r="J1501">
        <v>31.209</v>
      </c>
      <c r="K1501">
        <v>20.7</v>
      </c>
      <c r="L1501">
        <v>-2.5000000000000001E-2</v>
      </c>
    </row>
    <row r="1502" spans="1:12" x14ac:dyDescent="0.25">
      <c r="A1502">
        <v>356334</v>
      </c>
      <c r="B1502">
        <v>3.92</v>
      </c>
      <c r="C1502">
        <v>3.9380000000000002</v>
      </c>
      <c r="D1502">
        <v>3.8580000000000001</v>
      </c>
      <c r="E1502">
        <v>3.7919999999999998</v>
      </c>
      <c r="F1502">
        <v>4.056</v>
      </c>
      <c r="G1502">
        <v>3.92</v>
      </c>
      <c r="H1502">
        <v>3.8490000000000002</v>
      </c>
      <c r="I1502">
        <v>3.8759999999999999</v>
      </c>
      <c r="J1502">
        <v>31.209</v>
      </c>
      <c r="K1502">
        <v>20.7</v>
      </c>
      <c r="L1502">
        <v>-3.3000000000000002E-2</v>
      </c>
    </row>
    <row r="1503" spans="1:12" x14ac:dyDescent="0.25">
      <c r="A1503">
        <v>361341</v>
      </c>
      <c r="B1503">
        <v>3.92</v>
      </c>
      <c r="C1503">
        <v>3.9380000000000002</v>
      </c>
      <c r="D1503">
        <v>3.8580000000000001</v>
      </c>
      <c r="E1503">
        <v>3.7919999999999998</v>
      </c>
      <c r="F1503">
        <v>4.056</v>
      </c>
      <c r="G1503">
        <v>3.92</v>
      </c>
      <c r="H1503">
        <v>3.8490000000000002</v>
      </c>
      <c r="I1503">
        <v>3.8370000000000002</v>
      </c>
      <c r="J1503">
        <v>31.17</v>
      </c>
      <c r="K1503">
        <v>20.8</v>
      </c>
      <c r="L1503">
        <v>-2.9000000000000001E-2</v>
      </c>
    </row>
    <row r="1504" spans="1:12" x14ac:dyDescent="0.25">
      <c r="A1504">
        <v>366345</v>
      </c>
      <c r="B1504">
        <v>3.92</v>
      </c>
      <c r="C1504">
        <v>3.9380000000000002</v>
      </c>
      <c r="D1504">
        <v>3.8580000000000001</v>
      </c>
      <c r="E1504">
        <v>3.7919999999999998</v>
      </c>
      <c r="F1504">
        <v>4.056</v>
      </c>
      <c r="G1504">
        <v>3.92</v>
      </c>
      <c r="H1504">
        <v>3.8490000000000002</v>
      </c>
      <c r="I1504">
        <v>3.8370000000000002</v>
      </c>
      <c r="J1504">
        <v>31.17</v>
      </c>
      <c r="K1504">
        <v>20.8</v>
      </c>
      <c r="L1504">
        <v>-2.5000000000000001E-2</v>
      </c>
    </row>
    <row r="1505" spans="1:12" x14ac:dyDescent="0.25">
      <c r="A1505">
        <v>371353</v>
      </c>
      <c r="B1505">
        <v>3.92</v>
      </c>
      <c r="C1505">
        <v>3.9380000000000002</v>
      </c>
      <c r="D1505">
        <v>3.8580000000000001</v>
      </c>
      <c r="E1505">
        <v>3.7919999999999998</v>
      </c>
      <c r="F1505">
        <v>4.056</v>
      </c>
      <c r="G1505">
        <v>3.92</v>
      </c>
      <c r="H1505">
        <v>3.8490000000000002</v>
      </c>
      <c r="I1505">
        <v>3.8370000000000002</v>
      </c>
      <c r="J1505">
        <v>31.17</v>
      </c>
      <c r="K1505">
        <v>20.7</v>
      </c>
      <c r="L1505">
        <v>-2.5999999999999999E-2</v>
      </c>
    </row>
    <row r="1506" spans="1:12" x14ac:dyDescent="0.25">
      <c r="A1506">
        <v>376358</v>
      </c>
      <c r="B1506">
        <v>3.92</v>
      </c>
      <c r="C1506">
        <v>3.9380000000000002</v>
      </c>
      <c r="D1506">
        <v>3.8580000000000001</v>
      </c>
      <c r="E1506">
        <v>3.7919999999999998</v>
      </c>
      <c r="F1506">
        <v>4.056</v>
      </c>
      <c r="G1506">
        <v>3.92</v>
      </c>
      <c r="H1506">
        <v>3.8490000000000002</v>
      </c>
      <c r="I1506">
        <v>3.8759999999999999</v>
      </c>
      <c r="J1506">
        <v>31.209</v>
      </c>
      <c r="K1506">
        <v>20.7</v>
      </c>
      <c r="L1506">
        <v>-1.9E-2</v>
      </c>
    </row>
    <row r="1507" spans="1:12" x14ac:dyDescent="0.25">
      <c r="A1507">
        <v>381365</v>
      </c>
      <c r="B1507">
        <v>3.92</v>
      </c>
      <c r="C1507">
        <v>3.9380000000000002</v>
      </c>
      <c r="D1507">
        <v>3.8580000000000001</v>
      </c>
      <c r="E1507">
        <v>3.7919999999999998</v>
      </c>
      <c r="F1507">
        <v>4.056</v>
      </c>
      <c r="G1507">
        <v>3.92</v>
      </c>
      <c r="H1507">
        <v>3.8490000000000002</v>
      </c>
      <c r="I1507">
        <v>3.8759999999999999</v>
      </c>
      <c r="J1507">
        <v>31.209</v>
      </c>
      <c r="K1507">
        <v>20.7</v>
      </c>
      <c r="L1507">
        <v>-1.9E-2</v>
      </c>
    </row>
    <row r="1508" spans="1:12" x14ac:dyDescent="0.25">
      <c r="A1508">
        <v>386365</v>
      </c>
      <c r="B1508">
        <v>3.92</v>
      </c>
      <c r="C1508">
        <v>3.9380000000000002</v>
      </c>
      <c r="D1508">
        <v>3.8580000000000001</v>
      </c>
      <c r="E1508">
        <v>3.7919999999999998</v>
      </c>
      <c r="F1508">
        <v>4.056</v>
      </c>
      <c r="G1508">
        <v>3.92</v>
      </c>
      <c r="H1508">
        <v>3.8490000000000002</v>
      </c>
      <c r="I1508">
        <v>3.8759999999999999</v>
      </c>
      <c r="J1508">
        <v>31.209</v>
      </c>
      <c r="K1508">
        <v>20.7</v>
      </c>
      <c r="L1508">
        <v>-1.9E-2</v>
      </c>
    </row>
    <row r="1509" spans="1:12" x14ac:dyDescent="0.25">
      <c r="A1509">
        <v>391367</v>
      </c>
      <c r="B1509">
        <v>3.92</v>
      </c>
      <c r="C1509">
        <v>3.9380000000000002</v>
      </c>
      <c r="D1509">
        <v>3.8580000000000001</v>
      </c>
      <c r="E1509">
        <v>3.7919999999999998</v>
      </c>
      <c r="F1509">
        <v>4.056</v>
      </c>
      <c r="G1509">
        <v>3.92</v>
      </c>
      <c r="H1509">
        <v>3.8490000000000002</v>
      </c>
      <c r="I1509">
        <v>3.8759999999999999</v>
      </c>
      <c r="J1509">
        <v>31.209</v>
      </c>
      <c r="K1509">
        <v>20.7</v>
      </c>
      <c r="L1509">
        <v>-2.5000000000000001E-2</v>
      </c>
    </row>
    <row r="1510" spans="1:12" x14ac:dyDescent="0.25">
      <c r="A1510">
        <v>396372</v>
      </c>
      <c r="B1510">
        <v>3.92</v>
      </c>
      <c r="C1510">
        <v>3.9380000000000002</v>
      </c>
      <c r="D1510">
        <v>3.8580000000000001</v>
      </c>
      <c r="E1510">
        <v>3.7919999999999998</v>
      </c>
      <c r="F1510">
        <v>4.056</v>
      </c>
      <c r="G1510">
        <v>3.92</v>
      </c>
      <c r="H1510">
        <v>3.8490000000000002</v>
      </c>
      <c r="I1510">
        <v>3.8759999999999999</v>
      </c>
      <c r="J1510">
        <v>31.209</v>
      </c>
      <c r="K1510">
        <v>20.7</v>
      </c>
      <c r="L1510">
        <v>-2.4E-2</v>
      </c>
    </row>
    <row r="1511" spans="1:12" x14ac:dyDescent="0.25">
      <c r="A1511">
        <v>401375</v>
      </c>
      <c r="B1511">
        <v>3.92</v>
      </c>
      <c r="C1511">
        <v>3.9380000000000002</v>
      </c>
      <c r="D1511">
        <v>3.8580000000000001</v>
      </c>
      <c r="E1511">
        <v>3.7919999999999998</v>
      </c>
      <c r="F1511">
        <v>4.056</v>
      </c>
      <c r="G1511">
        <v>3.92</v>
      </c>
      <c r="H1511">
        <v>3.8490000000000002</v>
      </c>
      <c r="I1511">
        <v>3.8759999999999999</v>
      </c>
      <c r="J1511">
        <v>31.209</v>
      </c>
      <c r="K1511">
        <v>20.7</v>
      </c>
      <c r="L1511">
        <v>-3.3000000000000002E-2</v>
      </c>
    </row>
    <row r="1512" spans="1:12" x14ac:dyDescent="0.25">
      <c r="A1512">
        <v>406378</v>
      </c>
      <c r="B1512">
        <v>3.92</v>
      </c>
      <c r="C1512">
        <v>3.9380000000000002</v>
      </c>
      <c r="D1512">
        <v>3.8580000000000001</v>
      </c>
      <c r="E1512">
        <v>3.7919999999999998</v>
      </c>
      <c r="F1512">
        <v>4.056</v>
      </c>
      <c r="G1512">
        <v>3.92</v>
      </c>
      <c r="H1512">
        <v>3.8490000000000002</v>
      </c>
      <c r="I1512">
        <v>3.8759999999999999</v>
      </c>
      <c r="J1512">
        <v>31.209</v>
      </c>
      <c r="K1512">
        <v>20.7</v>
      </c>
      <c r="L1512">
        <v>-1.7999999999999999E-2</v>
      </c>
    </row>
    <row r="1513" spans="1:12" x14ac:dyDescent="0.25">
      <c r="A1513">
        <v>411385</v>
      </c>
      <c r="B1513">
        <v>3.92</v>
      </c>
      <c r="C1513">
        <v>3.9380000000000002</v>
      </c>
      <c r="D1513">
        <v>3.8580000000000001</v>
      </c>
      <c r="E1513">
        <v>3.7919999999999998</v>
      </c>
      <c r="F1513">
        <v>4.056</v>
      </c>
      <c r="G1513">
        <v>3.92</v>
      </c>
      <c r="H1513">
        <v>3.8490000000000002</v>
      </c>
      <c r="I1513">
        <v>3.8759999999999999</v>
      </c>
      <c r="J1513">
        <v>31.209</v>
      </c>
      <c r="K1513">
        <v>20.7</v>
      </c>
      <c r="L1513">
        <v>-2.1999999999999999E-2</v>
      </c>
    </row>
    <row r="1514" spans="1:12" x14ac:dyDescent="0.25">
      <c r="A1514">
        <v>416391</v>
      </c>
      <c r="B1514">
        <v>3.92</v>
      </c>
      <c r="C1514">
        <v>3.9380000000000002</v>
      </c>
      <c r="D1514">
        <v>3.8580000000000001</v>
      </c>
      <c r="E1514">
        <v>3.7919999999999998</v>
      </c>
      <c r="F1514">
        <v>4.056</v>
      </c>
      <c r="G1514">
        <v>3.92</v>
      </c>
      <c r="H1514">
        <v>3.8490000000000002</v>
      </c>
      <c r="I1514">
        <v>3.8759999999999999</v>
      </c>
      <c r="J1514">
        <v>31.209</v>
      </c>
      <c r="K1514">
        <v>20.7</v>
      </c>
      <c r="L1514">
        <v>-2.1999999999999999E-2</v>
      </c>
    </row>
    <row r="1515" spans="1:12" x14ac:dyDescent="0.25">
      <c r="A1515">
        <v>421398</v>
      </c>
      <c r="B1515">
        <v>3.92</v>
      </c>
      <c r="C1515">
        <v>3.9380000000000002</v>
      </c>
      <c r="D1515">
        <v>3.8580000000000001</v>
      </c>
      <c r="E1515">
        <v>3.7919999999999998</v>
      </c>
      <c r="F1515">
        <v>4.056</v>
      </c>
      <c r="G1515">
        <v>3.92</v>
      </c>
      <c r="H1515">
        <v>3.8490000000000002</v>
      </c>
      <c r="I1515">
        <v>3.8759999999999999</v>
      </c>
      <c r="J1515">
        <v>31.209</v>
      </c>
      <c r="K1515">
        <v>20.8</v>
      </c>
      <c r="L1515">
        <v>-3.7999999999999999E-2</v>
      </c>
    </row>
    <row r="1516" spans="1:12" x14ac:dyDescent="0.25">
      <c r="A1516">
        <v>426404</v>
      </c>
      <c r="B1516">
        <v>3.92</v>
      </c>
      <c r="C1516">
        <v>3.9380000000000002</v>
      </c>
      <c r="D1516">
        <v>3.8580000000000001</v>
      </c>
      <c r="E1516">
        <v>3.7919999999999998</v>
      </c>
      <c r="F1516">
        <v>4.056</v>
      </c>
      <c r="G1516">
        <v>3.92</v>
      </c>
      <c r="H1516">
        <v>3.8490000000000002</v>
      </c>
      <c r="I1516">
        <v>3.8759999999999999</v>
      </c>
      <c r="J1516">
        <v>31.209</v>
      </c>
      <c r="K1516">
        <v>20.8</v>
      </c>
      <c r="L1516">
        <v>-1.2999999999999999E-2</v>
      </c>
    </row>
    <row r="1517" spans="1:12" x14ac:dyDescent="0.25">
      <c r="A1517">
        <v>431406</v>
      </c>
      <c r="B1517">
        <v>3.92</v>
      </c>
      <c r="C1517">
        <v>3.9380000000000002</v>
      </c>
      <c r="D1517">
        <v>3.8580000000000001</v>
      </c>
      <c r="E1517">
        <v>3.7919999999999998</v>
      </c>
      <c r="F1517">
        <v>4.056</v>
      </c>
      <c r="G1517">
        <v>3.92</v>
      </c>
      <c r="H1517">
        <v>3.8490000000000002</v>
      </c>
      <c r="I1517">
        <v>3.8759999999999999</v>
      </c>
      <c r="J1517">
        <v>31.209</v>
      </c>
      <c r="K1517">
        <v>20.7</v>
      </c>
      <c r="L1517">
        <v>-3.3000000000000002E-2</v>
      </c>
    </row>
    <row r="1518" spans="1:12" x14ac:dyDescent="0.25">
      <c r="A1518">
        <v>436412</v>
      </c>
      <c r="B1518">
        <v>3.92</v>
      </c>
      <c r="C1518">
        <v>3.9380000000000002</v>
      </c>
      <c r="D1518">
        <v>3.8580000000000001</v>
      </c>
      <c r="E1518">
        <v>3.7919999999999998</v>
      </c>
      <c r="F1518">
        <v>4.056</v>
      </c>
      <c r="G1518">
        <v>3.92</v>
      </c>
      <c r="H1518">
        <v>3.8490000000000002</v>
      </c>
      <c r="I1518">
        <v>3.8759999999999999</v>
      </c>
      <c r="J1518">
        <v>31.209</v>
      </c>
      <c r="K1518">
        <v>20.7</v>
      </c>
      <c r="L1518">
        <v>-2.8000000000000001E-2</v>
      </c>
    </row>
    <row r="1519" spans="1:12" x14ac:dyDescent="0.25">
      <c r="A1519">
        <v>441420</v>
      </c>
      <c r="B1519">
        <v>3.92</v>
      </c>
      <c r="C1519">
        <v>3.9380000000000002</v>
      </c>
      <c r="D1519">
        <v>3.8580000000000001</v>
      </c>
      <c r="E1519">
        <v>3.7919999999999998</v>
      </c>
      <c r="F1519">
        <v>4.056</v>
      </c>
      <c r="G1519">
        <v>3.92</v>
      </c>
      <c r="H1519">
        <v>3.8490000000000002</v>
      </c>
      <c r="I1519">
        <v>3.8759999999999999</v>
      </c>
      <c r="J1519">
        <v>31.209</v>
      </c>
      <c r="K1519">
        <v>20.7</v>
      </c>
      <c r="L1519">
        <v>-0.03</v>
      </c>
    </row>
    <row r="1520" spans="1:12" x14ac:dyDescent="0.25">
      <c r="A1520">
        <v>446420</v>
      </c>
      <c r="B1520">
        <v>3.92</v>
      </c>
      <c r="C1520">
        <v>3.9380000000000002</v>
      </c>
      <c r="D1520">
        <v>3.8580000000000001</v>
      </c>
      <c r="E1520">
        <v>3.7919999999999998</v>
      </c>
      <c r="F1520">
        <v>4.056</v>
      </c>
      <c r="G1520">
        <v>3.92</v>
      </c>
      <c r="H1520">
        <v>3.8490000000000002</v>
      </c>
      <c r="I1520">
        <v>3.8759999999999999</v>
      </c>
      <c r="J1520">
        <v>31.209</v>
      </c>
      <c r="K1520">
        <v>20.7</v>
      </c>
      <c r="L1520">
        <v>-4.2999999999999997E-2</v>
      </c>
    </row>
    <row r="1521" spans="1:12" x14ac:dyDescent="0.25">
      <c r="A1521">
        <v>451422</v>
      </c>
      <c r="B1521">
        <v>3.92</v>
      </c>
      <c r="C1521">
        <v>3.9380000000000002</v>
      </c>
      <c r="D1521">
        <v>3.8580000000000001</v>
      </c>
      <c r="E1521">
        <v>3.7919999999999998</v>
      </c>
      <c r="F1521">
        <v>4.056</v>
      </c>
      <c r="G1521">
        <v>3.92</v>
      </c>
      <c r="H1521">
        <v>3.8490000000000002</v>
      </c>
      <c r="I1521">
        <v>3.8759999999999999</v>
      </c>
      <c r="J1521">
        <v>31.209</v>
      </c>
      <c r="K1521">
        <v>20.7</v>
      </c>
      <c r="L1521">
        <v>-2.9000000000000001E-2</v>
      </c>
    </row>
    <row r="1522" spans="1:12" x14ac:dyDescent="0.25">
      <c r="A1522">
        <v>456427</v>
      </c>
      <c r="B1522">
        <v>3.92</v>
      </c>
      <c r="C1522">
        <v>3.9380000000000002</v>
      </c>
      <c r="D1522">
        <v>3.8580000000000001</v>
      </c>
      <c r="E1522">
        <v>3.7919999999999998</v>
      </c>
      <c r="F1522">
        <v>4.056</v>
      </c>
      <c r="G1522">
        <v>3.92</v>
      </c>
      <c r="H1522">
        <v>3.8490000000000002</v>
      </c>
      <c r="I1522">
        <v>3.8759999999999999</v>
      </c>
      <c r="J1522">
        <v>31.209</v>
      </c>
      <c r="K1522">
        <v>20.7</v>
      </c>
      <c r="L1522">
        <v>-2.9000000000000001E-2</v>
      </c>
    </row>
    <row r="1523" spans="1:12" x14ac:dyDescent="0.25">
      <c r="A1523">
        <v>461429</v>
      </c>
      <c r="B1523">
        <v>3.92</v>
      </c>
      <c r="C1523">
        <v>3.9380000000000002</v>
      </c>
      <c r="D1523">
        <v>3.8580000000000001</v>
      </c>
      <c r="E1523">
        <v>3.7919999999999998</v>
      </c>
      <c r="F1523">
        <v>4.056</v>
      </c>
      <c r="G1523">
        <v>3.92</v>
      </c>
      <c r="H1523">
        <v>3.8490000000000002</v>
      </c>
      <c r="I1523">
        <v>3.8759999999999999</v>
      </c>
      <c r="J1523">
        <v>31.209</v>
      </c>
      <c r="K1523">
        <v>20.7</v>
      </c>
      <c r="L1523">
        <v>-1.4999999999999999E-2</v>
      </c>
    </row>
    <row r="1524" spans="1:12" x14ac:dyDescent="0.25">
      <c r="A1524">
        <v>466434</v>
      </c>
      <c r="B1524">
        <v>3.92</v>
      </c>
      <c r="C1524">
        <v>3.9380000000000002</v>
      </c>
      <c r="D1524">
        <v>3.8580000000000001</v>
      </c>
      <c r="E1524">
        <v>3.7919999999999998</v>
      </c>
      <c r="F1524">
        <v>4.056</v>
      </c>
      <c r="G1524">
        <v>3.92</v>
      </c>
      <c r="H1524">
        <v>3.8490000000000002</v>
      </c>
      <c r="I1524">
        <v>3.8759999999999999</v>
      </c>
      <c r="J1524">
        <v>31.209</v>
      </c>
      <c r="K1524">
        <v>20.7</v>
      </c>
      <c r="L1524">
        <v>-3.7999999999999999E-2</v>
      </c>
    </row>
    <row r="1525" spans="1:12" x14ac:dyDescent="0.25">
      <c r="A1525">
        <v>471442</v>
      </c>
      <c r="B1525">
        <v>3.92</v>
      </c>
      <c r="C1525">
        <v>3.9380000000000002</v>
      </c>
      <c r="D1525">
        <v>3.8580000000000001</v>
      </c>
      <c r="E1525">
        <v>3.7919999999999998</v>
      </c>
      <c r="F1525">
        <v>4.056</v>
      </c>
      <c r="G1525">
        <v>3.92</v>
      </c>
      <c r="H1525">
        <v>3.8490000000000002</v>
      </c>
      <c r="I1525">
        <v>3.8759999999999999</v>
      </c>
      <c r="J1525">
        <v>31.209</v>
      </c>
      <c r="K1525">
        <v>20.7</v>
      </c>
      <c r="L1525">
        <v>-4.2000000000000003E-2</v>
      </c>
    </row>
    <row r="1526" spans="1:12" x14ac:dyDescent="0.25">
      <c r="A1526">
        <v>476448</v>
      </c>
      <c r="B1526">
        <v>3.92</v>
      </c>
      <c r="C1526">
        <v>3.9380000000000002</v>
      </c>
      <c r="D1526">
        <v>3.8580000000000001</v>
      </c>
      <c r="E1526">
        <v>3.7919999999999998</v>
      </c>
      <c r="F1526">
        <v>4.056</v>
      </c>
      <c r="G1526">
        <v>3.92</v>
      </c>
      <c r="H1526">
        <v>3.8490000000000002</v>
      </c>
      <c r="I1526">
        <v>3.8759999999999999</v>
      </c>
      <c r="J1526">
        <v>31.209</v>
      </c>
      <c r="K1526">
        <v>20.8</v>
      </c>
      <c r="L1526">
        <v>-2.1999999999999999E-2</v>
      </c>
    </row>
    <row r="1527" spans="1:12" x14ac:dyDescent="0.25">
      <c r="A1527">
        <v>481455</v>
      </c>
      <c r="B1527">
        <v>3.92</v>
      </c>
      <c r="C1527">
        <v>3.9380000000000002</v>
      </c>
      <c r="D1527">
        <v>3.8580000000000001</v>
      </c>
      <c r="E1527">
        <v>3.7919999999999998</v>
      </c>
      <c r="F1527">
        <v>4.056</v>
      </c>
      <c r="G1527">
        <v>3.92</v>
      </c>
      <c r="H1527">
        <v>3.8490000000000002</v>
      </c>
      <c r="I1527">
        <v>3.8759999999999999</v>
      </c>
      <c r="J1527">
        <v>31.209</v>
      </c>
      <c r="K1527">
        <v>20.7</v>
      </c>
      <c r="L1527">
        <v>-3.4000000000000002E-2</v>
      </c>
    </row>
    <row r="1528" spans="1:12" x14ac:dyDescent="0.25">
      <c r="A1528">
        <v>486455</v>
      </c>
      <c r="B1528">
        <v>3.92</v>
      </c>
      <c r="C1528">
        <v>3.9380000000000002</v>
      </c>
      <c r="D1528">
        <v>3.8580000000000001</v>
      </c>
      <c r="E1528">
        <v>3.7919999999999998</v>
      </c>
      <c r="F1528">
        <v>4.056</v>
      </c>
      <c r="G1528">
        <v>3.92</v>
      </c>
      <c r="H1528">
        <v>3.8490000000000002</v>
      </c>
      <c r="I1528">
        <v>3.8759999999999999</v>
      </c>
      <c r="J1528">
        <v>31.209</v>
      </c>
      <c r="K1528">
        <v>20.7</v>
      </c>
      <c r="L1528">
        <v>-2.7E-2</v>
      </c>
    </row>
    <row r="1529" spans="1:12" x14ac:dyDescent="0.25">
      <c r="A1529">
        <v>491463</v>
      </c>
      <c r="B1529">
        <v>3.92</v>
      </c>
      <c r="C1529">
        <v>3.9380000000000002</v>
      </c>
      <c r="D1529">
        <v>3.8580000000000001</v>
      </c>
      <c r="E1529">
        <v>3.7919999999999998</v>
      </c>
      <c r="F1529">
        <v>4.056</v>
      </c>
      <c r="G1529">
        <v>3.92</v>
      </c>
      <c r="H1529">
        <v>3.8490000000000002</v>
      </c>
      <c r="I1529">
        <v>3.8759999999999999</v>
      </c>
      <c r="J1529">
        <v>31.209</v>
      </c>
      <c r="K1529">
        <v>20.7</v>
      </c>
      <c r="L1529">
        <v>-2.8000000000000001E-2</v>
      </c>
    </row>
    <row r="1530" spans="1:12" x14ac:dyDescent="0.25">
      <c r="A1530">
        <v>496464</v>
      </c>
      <c r="B1530">
        <v>3.92</v>
      </c>
      <c r="C1530">
        <v>3.9380000000000002</v>
      </c>
      <c r="D1530">
        <v>3.8580000000000001</v>
      </c>
      <c r="E1530">
        <v>3.7919999999999998</v>
      </c>
      <c r="F1530">
        <v>4.056</v>
      </c>
      <c r="G1530">
        <v>3.92</v>
      </c>
      <c r="H1530">
        <v>3.8490000000000002</v>
      </c>
      <c r="I1530">
        <v>3.8759999999999999</v>
      </c>
      <c r="J1530">
        <v>31.209</v>
      </c>
      <c r="K1530">
        <v>20.7</v>
      </c>
      <c r="L1530">
        <v>-3.5000000000000003E-2</v>
      </c>
    </row>
    <row r="1531" spans="1:12" x14ac:dyDescent="0.25">
      <c r="A1531">
        <v>501466</v>
      </c>
      <c r="B1531">
        <v>3.92</v>
      </c>
      <c r="C1531">
        <v>3.9380000000000002</v>
      </c>
      <c r="D1531">
        <v>3.8580000000000001</v>
      </c>
      <c r="E1531">
        <v>3.7919999999999998</v>
      </c>
      <c r="F1531">
        <v>4.056</v>
      </c>
      <c r="G1531">
        <v>3.92</v>
      </c>
      <c r="H1531">
        <v>3.8490000000000002</v>
      </c>
      <c r="I1531">
        <v>3.8759999999999999</v>
      </c>
      <c r="J1531">
        <v>31.209</v>
      </c>
      <c r="K1531">
        <v>20.7</v>
      </c>
      <c r="L1531">
        <v>-3.4000000000000002E-2</v>
      </c>
    </row>
    <row r="1532" spans="1:12" x14ac:dyDescent="0.25">
      <c r="A1532">
        <v>506466</v>
      </c>
      <c r="B1532">
        <v>3.92</v>
      </c>
      <c r="C1532">
        <v>3.9380000000000002</v>
      </c>
      <c r="D1532">
        <v>3.8580000000000001</v>
      </c>
      <c r="E1532">
        <v>3.7919999999999998</v>
      </c>
      <c r="F1532">
        <v>4.056</v>
      </c>
      <c r="G1532">
        <v>3.92</v>
      </c>
      <c r="H1532">
        <v>3.8490000000000002</v>
      </c>
      <c r="I1532">
        <v>3.8759999999999999</v>
      </c>
      <c r="J1532">
        <v>31.209</v>
      </c>
      <c r="K1532">
        <v>20.7</v>
      </c>
      <c r="L1532">
        <v>-2.9000000000000001E-2</v>
      </c>
    </row>
    <row r="1533" spans="1:12" x14ac:dyDescent="0.25">
      <c r="A1533">
        <v>511473</v>
      </c>
      <c r="B1533">
        <v>3.92</v>
      </c>
      <c r="C1533">
        <v>3.9380000000000002</v>
      </c>
      <c r="D1533">
        <v>3.8580000000000001</v>
      </c>
      <c r="E1533">
        <v>3.7919999999999998</v>
      </c>
      <c r="F1533">
        <v>4.0279999999999996</v>
      </c>
      <c r="G1533">
        <v>3.948</v>
      </c>
      <c r="H1533">
        <v>3.8490000000000002</v>
      </c>
      <c r="I1533">
        <v>3.8759999999999999</v>
      </c>
      <c r="J1533">
        <v>31.209</v>
      </c>
      <c r="K1533">
        <v>20.7</v>
      </c>
      <c r="L1533">
        <v>-0.02</v>
      </c>
    </row>
    <row r="1534" spans="1:12" x14ac:dyDescent="0.25">
      <c r="A1534">
        <v>516477</v>
      </c>
      <c r="B1534">
        <v>3.92</v>
      </c>
      <c r="C1534">
        <v>3.9380000000000002</v>
      </c>
      <c r="D1534">
        <v>3.8580000000000001</v>
      </c>
      <c r="E1534">
        <v>3.7919999999999998</v>
      </c>
      <c r="F1534">
        <v>4.056</v>
      </c>
      <c r="G1534">
        <v>3.92</v>
      </c>
      <c r="H1534">
        <v>3.8490000000000002</v>
      </c>
      <c r="I1534">
        <v>3.8759999999999999</v>
      </c>
      <c r="J1534">
        <v>31.209</v>
      </c>
      <c r="K1534">
        <v>20.7</v>
      </c>
      <c r="L1534">
        <v>-4.4999999999999998E-2</v>
      </c>
    </row>
    <row r="1535" spans="1:12" x14ac:dyDescent="0.25">
      <c r="A1535">
        <v>521479</v>
      </c>
      <c r="B1535">
        <v>3.92</v>
      </c>
      <c r="C1535">
        <v>3.9380000000000002</v>
      </c>
      <c r="D1535">
        <v>3.8580000000000001</v>
      </c>
      <c r="E1535">
        <v>3.7919999999999998</v>
      </c>
      <c r="F1535">
        <v>4.056</v>
      </c>
      <c r="G1535">
        <v>3.92</v>
      </c>
      <c r="H1535">
        <v>3.8490000000000002</v>
      </c>
      <c r="I1535">
        <v>3.8759999999999999</v>
      </c>
      <c r="J1535">
        <v>31.209</v>
      </c>
      <c r="K1535">
        <v>20.7</v>
      </c>
      <c r="L1535">
        <v>-3.5999999999999997E-2</v>
      </c>
    </row>
    <row r="1536" spans="1:12" x14ac:dyDescent="0.25">
      <c r="A1536">
        <v>526490</v>
      </c>
      <c r="B1536">
        <v>3.92</v>
      </c>
      <c r="C1536">
        <v>3.9380000000000002</v>
      </c>
      <c r="D1536">
        <v>3.8580000000000001</v>
      </c>
      <c r="E1536">
        <v>3.7919999999999998</v>
      </c>
      <c r="F1536">
        <v>4.056</v>
      </c>
      <c r="G1536">
        <v>3.92</v>
      </c>
      <c r="H1536">
        <v>3.8490000000000002</v>
      </c>
      <c r="I1536">
        <v>3.8759999999999999</v>
      </c>
      <c r="J1536">
        <v>31.209</v>
      </c>
      <c r="K1536">
        <v>20.7</v>
      </c>
      <c r="L1536">
        <v>-2.9000000000000001E-2</v>
      </c>
    </row>
    <row r="1537" spans="1:12" x14ac:dyDescent="0.25">
      <c r="A1537">
        <v>531497</v>
      </c>
      <c r="B1537">
        <v>3.92</v>
      </c>
      <c r="C1537">
        <v>3.9470000000000001</v>
      </c>
      <c r="D1537">
        <v>3.8490000000000002</v>
      </c>
      <c r="E1537">
        <v>3.7919999999999998</v>
      </c>
      <c r="F1537">
        <v>4.056</v>
      </c>
      <c r="G1537">
        <v>3.92</v>
      </c>
      <c r="H1537">
        <v>3.8490000000000002</v>
      </c>
      <c r="I1537">
        <v>3.8759999999999999</v>
      </c>
      <c r="J1537">
        <v>31.209</v>
      </c>
      <c r="K1537">
        <v>20.7</v>
      </c>
      <c r="L1537">
        <v>-2.8000000000000001E-2</v>
      </c>
    </row>
    <row r="1538" spans="1:12" x14ac:dyDescent="0.25">
      <c r="A1538">
        <v>536497</v>
      </c>
      <c r="B1538">
        <v>3.92</v>
      </c>
      <c r="C1538">
        <v>3.9380000000000002</v>
      </c>
      <c r="D1538">
        <v>3.8580000000000001</v>
      </c>
      <c r="E1538">
        <v>3.7919999999999998</v>
      </c>
      <c r="F1538">
        <v>4.056</v>
      </c>
      <c r="G1538">
        <v>3.92</v>
      </c>
      <c r="H1538">
        <v>3.8490000000000002</v>
      </c>
      <c r="I1538">
        <v>3.8759999999999999</v>
      </c>
      <c r="J1538">
        <v>31.209</v>
      </c>
      <c r="K1538">
        <v>20.7</v>
      </c>
      <c r="L1538">
        <v>-2.7E-2</v>
      </c>
    </row>
    <row r="1539" spans="1:12" x14ac:dyDescent="0.25">
      <c r="A1539">
        <v>541499</v>
      </c>
      <c r="B1539">
        <v>3.92</v>
      </c>
      <c r="C1539">
        <v>3.9380000000000002</v>
      </c>
      <c r="D1539">
        <v>3.8580000000000001</v>
      </c>
      <c r="E1539">
        <v>3.7919999999999998</v>
      </c>
      <c r="F1539">
        <v>4.056</v>
      </c>
      <c r="G1539">
        <v>3.92</v>
      </c>
      <c r="H1539">
        <v>3.8490000000000002</v>
      </c>
      <c r="I1539">
        <v>3.8759999999999999</v>
      </c>
      <c r="J1539">
        <v>31.209</v>
      </c>
      <c r="K1539">
        <v>20.7</v>
      </c>
      <c r="L1539">
        <v>-3.5000000000000003E-2</v>
      </c>
    </row>
    <row r="1540" spans="1:12" x14ac:dyDescent="0.25">
      <c r="A1540">
        <v>546504</v>
      </c>
      <c r="B1540">
        <v>3.92</v>
      </c>
      <c r="C1540">
        <v>3.9380000000000002</v>
      </c>
      <c r="D1540">
        <v>3.8580000000000001</v>
      </c>
      <c r="E1540">
        <v>3.7919999999999998</v>
      </c>
      <c r="F1540">
        <v>4.056</v>
      </c>
      <c r="G1540">
        <v>3.92</v>
      </c>
      <c r="H1540">
        <v>3.8490000000000002</v>
      </c>
      <c r="I1540">
        <v>3.8759999999999999</v>
      </c>
      <c r="J1540">
        <v>31.209</v>
      </c>
      <c r="K1540">
        <v>20.8</v>
      </c>
      <c r="L1540">
        <v>-3.7999999999999999E-2</v>
      </c>
    </row>
    <row r="1541" spans="1:12" x14ac:dyDescent="0.25">
      <c r="A1541">
        <v>551546</v>
      </c>
      <c r="B1541">
        <v>3.92</v>
      </c>
      <c r="C1541">
        <v>3.9380000000000002</v>
      </c>
      <c r="D1541">
        <v>3.8580000000000001</v>
      </c>
      <c r="E1541">
        <v>3.7919999999999998</v>
      </c>
      <c r="F1541">
        <v>4.056</v>
      </c>
      <c r="G1541">
        <v>3.92</v>
      </c>
      <c r="H1541">
        <v>3.8490000000000002</v>
      </c>
      <c r="I1541">
        <v>3.8759999999999999</v>
      </c>
      <c r="J1541">
        <v>31.209</v>
      </c>
      <c r="K1541">
        <v>20.7</v>
      </c>
      <c r="L1541">
        <v>-3.1E-2</v>
      </c>
    </row>
    <row r="1542" spans="1:12" x14ac:dyDescent="0.25">
      <c r="A1542">
        <v>556557</v>
      </c>
      <c r="B1542">
        <v>3.92</v>
      </c>
      <c r="C1542">
        <v>3.9380000000000002</v>
      </c>
      <c r="D1542">
        <v>3.8580000000000001</v>
      </c>
      <c r="E1542">
        <v>3.7919999999999998</v>
      </c>
      <c r="F1542">
        <v>4.056</v>
      </c>
      <c r="G1542">
        <v>3.92</v>
      </c>
      <c r="H1542">
        <v>3.8490000000000002</v>
      </c>
      <c r="I1542">
        <v>3.8759999999999999</v>
      </c>
      <c r="J1542">
        <v>31.209</v>
      </c>
      <c r="K1542">
        <v>20.7</v>
      </c>
      <c r="L1542">
        <v>-2.9000000000000001E-2</v>
      </c>
    </row>
    <row r="1543" spans="1:12" x14ac:dyDescent="0.25">
      <c r="A1543">
        <v>561557</v>
      </c>
      <c r="B1543">
        <v>3.92</v>
      </c>
      <c r="C1543">
        <v>3.9380000000000002</v>
      </c>
      <c r="D1543">
        <v>3.8580000000000001</v>
      </c>
      <c r="E1543">
        <v>3.7919999999999998</v>
      </c>
      <c r="F1543">
        <v>4.056</v>
      </c>
      <c r="G1543">
        <v>3.92</v>
      </c>
      <c r="H1543">
        <v>3.8490000000000002</v>
      </c>
      <c r="I1543">
        <v>3.8759999999999999</v>
      </c>
      <c r="J1543">
        <v>31.209</v>
      </c>
      <c r="K1543">
        <v>20.7</v>
      </c>
      <c r="L1543">
        <v>-2.5000000000000001E-2</v>
      </c>
    </row>
    <row r="1544" spans="1:12" x14ac:dyDescent="0.25">
      <c r="A1544">
        <v>566563</v>
      </c>
      <c r="B1544">
        <v>3.92</v>
      </c>
      <c r="C1544">
        <v>3.9380000000000002</v>
      </c>
      <c r="D1544">
        <v>3.8580000000000001</v>
      </c>
      <c r="E1544">
        <v>3.7919999999999998</v>
      </c>
      <c r="F1544">
        <v>4.056</v>
      </c>
      <c r="G1544">
        <v>3.92</v>
      </c>
      <c r="H1544">
        <v>3.8490000000000002</v>
      </c>
      <c r="I1544">
        <v>3.8759999999999999</v>
      </c>
      <c r="J1544">
        <v>31.209</v>
      </c>
      <c r="K1544">
        <v>20.8</v>
      </c>
      <c r="L1544">
        <v>-1.7999999999999999E-2</v>
      </c>
    </row>
    <row r="1545" spans="1:12" x14ac:dyDescent="0.25">
      <c r="A1545">
        <v>571570</v>
      </c>
      <c r="B1545">
        <v>3.92</v>
      </c>
      <c r="C1545">
        <v>3.9380000000000002</v>
      </c>
      <c r="D1545">
        <v>3.8580000000000001</v>
      </c>
      <c r="E1545">
        <v>3.7919999999999998</v>
      </c>
      <c r="F1545">
        <v>4.056</v>
      </c>
      <c r="G1545">
        <v>3.92</v>
      </c>
      <c r="H1545">
        <v>3.8490000000000002</v>
      </c>
      <c r="I1545">
        <v>3.8370000000000002</v>
      </c>
      <c r="J1545">
        <v>31.17</v>
      </c>
      <c r="K1545">
        <v>20.7</v>
      </c>
      <c r="L1545">
        <v>-1.6E-2</v>
      </c>
    </row>
    <row r="1546" spans="1:12" x14ac:dyDescent="0.25">
      <c r="A1546">
        <v>576570</v>
      </c>
      <c r="B1546">
        <v>3.92</v>
      </c>
      <c r="C1546">
        <v>3.9380000000000002</v>
      </c>
      <c r="D1546">
        <v>3.8580000000000001</v>
      </c>
      <c r="E1546">
        <v>3.7919999999999998</v>
      </c>
      <c r="F1546">
        <v>4.056</v>
      </c>
      <c r="G1546">
        <v>3.92</v>
      </c>
      <c r="H1546">
        <v>3.8490000000000002</v>
      </c>
      <c r="I1546">
        <v>3.8370000000000002</v>
      </c>
      <c r="J1546">
        <v>31.17</v>
      </c>
      <c r="K1546">
        <v>20.7</v>
      </c>
      <c r="L1546">
        <v>-2.1000000000000001E-2</v>
      </c>
    </row>
    <row r="1547" spans="1:12" x14ac:dyDescent="0.25">
      <c r="A1547">
        <v>581607</v>
      </c>
      <c r="B1547">
        <v>3.92</v>
      </c>
      <c r="C1547">
        <v>3.9380000000000002</v>
      </c>
      <c r="D1547">
        <v>3.8580000000000001</v>
      </c>
      <c r="E1547">
        <v>3.7919999999999998</v>
      </c>
      <c r="F1547">
        <v>4.056</v>
      </c>
      <c r="G1547">
        <v>3.92</v>
      </c>
      <c r="H1547">
        <v>3.8490000000000002</v>
      </c>
      <c r="I1547">
        <v>3.8759999999999999</v>
      </c>
      <c r="J1547">
        <v>31.209</v>
      </c>
      <c r="K1547">
        <v>20.7</v>
      </c>
      <c r="L1547">
        <v>-2.7E-2</v>
      </c>
    </row>
    <row r="1548" spans="1:12" x14ac:dyDescent="0.25">
      <c r="A1548">
        <v>586612</v>
      </c>
      <c r="B1548">
        <v>3.92</v>
      </c>
      <c r="C1548">
        <v>3.9380000000000002</v>
      </c>
      <c r="D1548">
        <v>3.8580000000000001</v>
      </c>
      <c r="E1548">
        <v>3.7919999999999998</v>
      </c>
      <c r="F1548">
        <v>4.056</v>
      </c>
      <c r="G1548">
        <v>3.92</v>
      </c>
      <c r="H1548">
        <v>3.8490000000000002</v>
      </c>
      <c r="I1548">
        <v>3.8759999999999999</v>
      </c>
      <c r="J1548">
        <v>31.209</v>
      </c>
      <c r="K1548">
        <v>20.7</v>
      </c>
      <c r="L1548">
        <v>-1.7000000000000001E-2</v>
      </c>
    </row>
    <row r="1549" spans="1:12" x14ac:dyDescent="0.25">
      <c r="A1549">
        <v>591619</v>
      </c>
      <c r="B1549">
        <v>3.92</v>
      </c>
      <c r="C1549">
        <v>3.9380000000000002</v>
      </c>
      <c r="D1549">
        <v>3.8580000000000001</v>
      </c>
      <c r="E1549">
        <v>3.7919999999999998</v>
      </c>
      <c r="F1549">
        <v>4.056</v>
      </c>
      <c r="G1549">
        <v>3.92</v>
      </c>
      <c r="H1549">
        <v>3.8490000000000002</v>
      </c>
      <c r="I1549">
        <v>3.8759999999999999</v>
      </c>
      <c r="J1549">
        <v>31.209</v>
      </c>
      <c r="K1549">
        <v>20.7</v>
      </c>
      <c r="L1549">
        <v>-3.3000000000000002E-2</v>
      </c>
    </row>
    <row r="1550" spans="1:12" x14ac:dyDescent="0.25">
      <c r="A1550">
        <v>596625</v>
      </c>
      <c r="B1550">
        <v>3.92</v>
      </c>
      <c r="C1550">
        <v>3.9380000000000002</v>
      </c>
      <c r="D1550">
        <v>3.8580000000000001</v>
      </c>
      <c r="E1550">
        <v>3.7919999999999998</v>
      </c>
      <c r="F1550">
        <v>4.056</v>
      </c>
      <c r="G1550">
        <v>3.92</v>
      </c>
      <c r="H1550">
        <v>3.8490000000000002</v>
      </c>
      <c r="I1550">
        <v>3.8759999999999999</v>
      </c>
      <c r="J1550">
        <v>31.209</v>
      </c>
      <c r="K1550">
        <v>20.7</v>
      </c>
      <c r="L1550">
        <v>-0.03</v>
      </c>
    </row>
    <row r="1551" spans="1:12" x14ac:dyDescent="0.25">
      <c r="A1551">
        <v>601632</v>
      </c>
      <c r="B1551">
        <v>3.92</v>
      </c>
      <c r="C1551">
        <v>3.9380000000000002</v>
      </c>
      <c r="D1551">
        <v>3.8580000000000001</v>
      </c>
      <c r="E1551">
        <v>3.7919999999999998</v>
      </c>
      <c r="F1551">
        <v>4.056</v>
      </c>
      <c r="G1551">
        <v>3.92</v>
      </c>
      <c r="H1551">
        <v>3.8490000000000002</v>
      </c>
      <c r="I1551">
        <v>3.8759999999999999</v>
      </c>
      <c r="J1551">
        <v>31.209</v>
      </c>
      <c r="K1551">
        <v>20.7</v>
      </c>
      <c r="L1551">
        <v>-3.4000000000000002E-2</v>
      </c>
    </row>
    <row r="1552" spans="1:12" x14ac:dyDescent="0.25">
      <c r="A1552">
        <v>606641</v>
      </c>
      <c r="B1552">
        <v>3.92</v>
      </c>
      <c r="C1552">
        <v>3.9380000000000002</v>
      </c>
      <c r="D1552">
        <v>3.8580000000000001</v>
      </c>
      <c r="E1552">
        <v>3.7919999999999998</v>
      </c>
      <c r="F1552">
        <v>4.056</v>
      </c>
      <c r="G1552">
        <v>3.92</v>
      </c>
      <c r="H1552">
        <v>3.8490000000000002</v>
      </c>
      <c r="I1552">
        <v>3.8370000000000002</v>
      </c>
      <c r="J1552">
        <v>31.17</v>
      </c>
      <c r="K1552">
        <v>20.7</v>
      </c>
      <c r="L1552">
        <v>-0.01</v>
      </c>
    </row>
    <row r="1553" spans="1:12" x14ac:dyDescent="0.25">
      <c r="A1553">
        <v>611678</v>
      </c>
      <c r="B1553">
        <v>3.92</v>
      </c>
      <c r="C1553">
        <v>3.9380000000000002</v>
      </c>
      <c r="D1553">
        <v>3.8580000000000001</v>
      </c>
      <c r="E1553">
        <v>3.7919999999999998</v>
      </c>
      <c r="F1553">
        <v>4.056</v>
      </c>
      <c r="G1553">
        <v>3.92</v>
      </c>
      <c r="H1553">
        <v>3.8490000000000002</v>
      </c>
      <c r="I1553">
        <v>3.8759999999999999</v>
      </c>
      <c r="J1553">
        <v>31.209</v>
      </c>
      <c r="K1553">
        <v>20.8</v>
      </c>
      <c r="L1553">
        <v>-2.3E-2</v>
      </c>
    </row>
    <row r="1554" spans="1:12" x14ac:dyDescent="0.25">
      <c r="A1554">
        <v>616686</v>
      </c>
      <c r="B1554">
        <v>3.92</v>
      </c>
      <c r="C1554">
        <v>3.9380000000000002</v>
      </c>
      <c r="D1554">
        <v>3.8580000000000001</v>
      </c>
      <c r="E1554">
        <v>3.7919999999999998</v>
      </c>
      <c r="F1554">
        <v>4.056</v>
      </c>
      <c r="G1554">
        <v>3.92</v>
      </c>
      <c r="H1554">
        <v>3.8490000000000002</v>
      </c>
      <c r="I1554">
        <v>3.8759999999999999</v>
      </c>
      <c r="J1554">
        <v>31.209</v>
      </c>
      <c r="K1554">
        <v>20.7</v>
      </c>
      <c r="L1554">
        <v>-3.4000000000000002E-2</v>
      </c>
    </row>
    <row r="1555" spans="1:12" x14ac:dyDescent="0.25">
      <c r="A1555">
        <v>621692</v>
      </c>
      <c r="B1555">
        <v>3.92</v>
      </c>
      <c r="C1555">
        <v>3.9380000000000002</v>
      </c>
      <c r="D1555">
        <v>3.8580000000000001</v>
      </c>
      <c r="E1555">
        <v>3.7919999999999998</v>
      </c>
      <c r="F1555">
        <v>4.056</v>
      </c>
      <c r="G1555">
        <v>3.92</v>
      </c>
      <c r="H1555">
        <v>3.8490000000000002</v>
      </c>
      <c r="I1555">
        <v>3.8759999999999999</v>
      </c>
      <c r="J1555">
        <v>31.209</v>
      </c>
      <c r="K1555">
        <v>20.7</v>
      </c>
      <c r="L1555">
        <v>-0.02</v>
      </c>
    </row>
    <row r="1556" spans="1:12" x14ac:dyDescent="0.25">
      <c r="A1556">
        <v>626698</v>
      </c>
      <c r="B1556">
        <v>3.92</v>
      </c>
      <c r="C1556">
        <v>3.9380000000000002</v>
      </c>
      <c r="D1556">
        <v>3.8580000000000001</v>
      </c>
      <c r="E1556">
        <v>3.7919999999999998</v>
      </c>
      <c r="F1556">
        <v>4.056</v>
      </c>
      <c r="G1556">
        <v>3.92</v>
      </c>
      <c r="H1556">
        <v>3.8490000000000002</v>
      </c>
      <c r="I1556">
        <v>3.8759999999999999</v>
      </c>
      <c r="J1556">
        <v>31.209</v>
      </c>
      <c r="K1556">
        <v>20.7</v>
      </c>
      <c r="L1556">
        <v>-3.4000000000000002E-2</v>
      </c>
    </row>
    <row r="1557" spans="1:12" x14ac:dyDescent="0.25">
      <c r="A1557">
        <v>631704</v>
      </c>
      <c r="B1557">
        <v>3.92</v>
      </c>
      <c r="C1557">
        <v>3.9380000000000002</v>
      </c>
      <c r="D1557">
        <v>3.8580000000000001</v>
      </c>
      <c r="E1557">
        <v>3.7919999999999998</v>
      </c>
      <c r="F1557">
        <v>4.056</v>
      </c>
      <c r="G1557">
        <v>3.92</v>
      </c>
      <c r="H1557">
        <v>3.8490000000000002</v>
      </c>
      <c r="I1557">
        <v>3.8759999999999999</v>
      </c>
      <c r="J1557">
        <v>31.209</v>
      </c>
      <c r="K1557">
        <v>20.7</v>
      </c>
      <c r="L1557">
        <v>-8.9999999999999993E-3</v>
      </c>
    </row>
    <row r="1558" spans="1:12" x14ac:dyDescent="0.25">
      <c r="A1558">
        <v>636704</v>
      </c>
      <c r="B1558">
        <v>3.92</v>
      </c>
      <c r="C1558">
        <v>3.9380000000000002</v>
      </c>
      <c r="D1558">
        <v>3.8580000000000001</v>
      </c>
      <c r="E1558">
        <v>3.7919999999999998</v>
      </c>
      <c r="F1558">
        <v>4.056</v>
      </c>
      <c r="G1558">
        <v>3.92</v>
      </c>
      <c r="H1558">
        <v>3.8490000000000002</v>
      </c>
      <c r="I1558">
        <v>3.8759999999999999</v>
      </c>
      <c r="J1558">
        <v>31.209</v>
      </c>
      <c r="K1558">
        <v>20.7</v>
      </c>
      <c r="L1558">
        <v>-2.4E-2</v>
      </c>
    </row>
    <row r="1559" spans="1:12" x14ac:dyDescent="0.25">
      <c r="A1559">
        <v>641751</v>
      </c>
      <c r="B1559">
        <v>3.92</v>
      </c>
      <c r="C1559">
        <v>3.9380000000000002</v>
      </c>
      <c r="D1559">
        <v>3.8580000000000001</v>
      </c>
      <c r="E1559">
        <v>3.7919999999999998</v>
      </c>
      <c r="F1559">
        <v>4.056</v>
      </c>
      <c r="G1559">
        <v>3.92</v>
      </c>
      <c r="H1559">
        <v>3.8490000000000002</v>
      </c>
      <c r="I1559">
        <v>3.8759999999999999</v>
      </c>
      <c r="J1559">
        <v>31.209</v>
      </c>
      <c r="K1559">
        <v>20.7</v>
      </c>
      <c r="L1559">
        <v>-2.1000000000000001E-2</v>
      </c>
    </row>
    <row r="1560" spans="1:12" x14ac:dyDescent="0.25">
      <c r="A1560">
        <v>646757</v>
      </c>
      <c r="B1560">
        <v>3.92</v>
      </c>
      <c r="C1560">
        <v>3.9380000000000002</v>
      </c>
      <c r="D1560">
        <v>3.8580000000000001</v>
      </c>
      <c r="E1560">
        <v>3.7919999999999998</v>
      </c>
      <c r="F1560">
        <v>4.056</v>
      </c>
      <c r="G1560">
        <v>3.92</v>
      </c>
      <c r="H1560">
        <v>3.8490000000000002</v>
      </c>
      <c r="I1560">
        <v>3.8759999999999999</v>
      </c>
      <c r="J1560">
        <v>31.209</v>
      </c>
      <c r="K1560">
        <v>20.7</v>
      </c>
      <c r="L1560">
        <v>-8.0000000000000002E-3</v>
      </c>
    </row>
    <row r="1561" spans="1:12" x14ac:dyDescent="0.25">
      <c r="A1561">
        <v>651764</v>
      </c>
      <c r="B1561">
        <v>3.92</v>
      </c>
      <c r="C1561">
        <v>3.9380000000000002</v>
      </c>
      <c r="D1561">
        <v>3.8580000000000001</v>
      </c>
      <c r="E1561">
        <v>3.7919999999999998</v>
      </c>
      <c r="F1561">
        <v>4.056</v>
      </c>
      <c r="G1561">
        <v>3.92</v>
      </c>
      <c r="H1561">
        <v>3.8490000000000002</v>
      </c>
      <c r="I1561">
        <v>3.8370000000000002</v>
      </c>
      <c r="J1561">
        <v>31.17</v>
      </c>
      <c r="K1561">
        <v>20.7</v>
      </c>
      <c r="L1561">
        <v>-3.1E-2</v>
      </c>
    </row>
    <row r="1562" spans="1:12" x14ac:dyDescent="0.25">
      <c r="A1562">
        <v>656770</v>
      </c>
      <c r="B1562">
        <v>3.92</v>
      </c>
      <c r="C1562">
        <v>3.9380000000000002</v>
      </c>
      <c r="D1562">
        <v>3.8580000000000001</v>
      </c>
      <c r="E1562">
        <v>3.7919999999999998</v>
      </c>
      <c r="F1562">
        <v>4.0279999999999996</v>
      </c>
      <c r="G1562">
        <v>3.948</v>
      </c>
      <c r="H1562">
        <v>3.8490000000000002</v>
      </c>
      <c r="I1562">
        <v>3.8759999999999999</v>
      </c>
      <c r="J1562">
        <v>31.209</v>
      </c>
      <c r="K1562">
        <v>20.7</v>
      </c>
      <c r="L1562">
        <v>-0.03</v>
      </c>
    </row>
    <row r="1563" spans="1:12" x14ac:dyDescent="0.25">
      <c r="A1563">
        <v>661777</v>
      </c>
      <c r="B1563">
        <v>3.92</v>
      </c>
      <c r="C1563">
        <v>3.9380000000000002</v>
      </c>
      <c r="D1563">
        <v>3.8580000000000001</v>
      </c>
      <c r="E1563">
        <v>3.7919999999999998</v>
      </c>
      <c r="F1563">
        <v>4.056</v>
      </c>
      <c r="G1563">
        <v>3.92</v>
      </c>
      <c r="H1563">
        <v>3.8490000000000002</v>
      </c>
      <c r="I1563">
        <v>3.8759999999999999</v>
      </c>
      <c r="J1563">
        <v>31.209</v>
      </c>
      <c r="K1563">
        <v>20.7</v>
      </c>
      <c r="L1563">
        <v>-3.3000000000000002E-2</v>
      </c>
    </row>
    <row r="1564" spans="1:12" x14ac:dyDescent="0.25">
      <c r="A1564">
        <v>666777</v>
      </c>
      <c r="B1564">
        <v>3.92</v>
      </c>
      <c r="C1564">
        <v>3.9380000000000002</v>
      </c>
      <c r="D1564">
        <v>3.8580000000000001</v>
      </c>
      <c r="E1564">
        <v>3.7919999999999998</v>
      </c>
      <c r="F1564">
        <v>4.056</v>
      </c>
      <c r="G1564">
        <v>3.92</v>
      </c>
      <c r="H1564">
        <v>3.8490000000000002</v>
      </c>
      <c r="I1564">
        <v>3.8759999999999999</v>
      </c>
      <c r="J1564">
        <v>31.209</v>
      </c>
      <c r="K1564">
        <v>20.7</v>
      </c>
      <c r="L1564">
        <v>-4.8000000000000001E-2</v>
      </c>
    </row>
    <row r="1565" spans="1:12" x14ac:dyDescent="0.25">
      <c r="A1565">
        <v>671824</v>
      </c>
      <c r="B1565">
        <v>3.92</v>
      </c>
      <c r="C1565">
        <v>3.9380000000000002</v>
      </c>
      <c r="D1565">
        <v>3.8580000000000001</v>
      </c>
      <c r="E1565">
        <v>3.7919999999999998</v>
      </c>
      <c r="F1565">
        <v>4.056</v>
      </c>
      <c r="G1565">
        <v>3.92</v>
      </c>
      <c r="H1565">
        <v>3.8490000000000002</v>
      </c>
      <c r="I1565">
        <v>3.8759999999999999</v>
      </c>
      <c r="J1565">
        <v>31.209</v>
      </c>
      <c r="K1565">
        <v>20.8</v>
      </c>
      <c r="L1565">
        <v>-2.8000000000000001E-2</v>
      </c>
    </row>
    <row r="1566" spans="1:12" x14ac:dyDescent="0.25">
      <c r="A1566">
        <v>676828</v>
      </c>
      <c r="B1566">
        <v>3.92</v>
      </c>
      <c r="C1566">
        <v>3.9380000000000002</v>
      </c>
      <c r="D1566">
        <v>3.8580000000000001</v>
      </c>
      <c r="E1566">
        <v>3.7919999999999998</v>
      </c>
      <c r="F1566">
        <v>4.056</v>
      </c>
      <c r="G1566">
        <v>3.92</v>
      </c>
      <c r="H1566">
        <v>3.8490000000000002</v>
      </c>
      <c r="I1566">
        <v>3.8759999999999999</v>
      </c>
      <c r="J1566">
        <v>31.209</v>
      </c>
      <c r="K1566">
        <v>20.7</v>
      </c>
      <c r="L1566">
        <v>-3.4000000000000002E-2</v>
      </c>
    </row>
    <row r="1567" spans="1:12" x14ac:dyDescent="0.25">
      <c r="A1567">
        <v>681835</v>
      </c>
      <c r="B1567">
        <v>3.92</v>
      </c>
      <c r="C1567">
        <v>3.9380000000000002</v>
      </c>
      <c r="D1567">
        <v>3.8580000000000001</v>
      </c>
      <c r="E1567">
        <v>3.7919999999999998</v>
      </c>
      <c r="F1567">
        <v>4.056</v>
      </c>
      <c r="G1567">
        <v>3.92</v>
      </c>
      <c r="H1567">
        <v>3.8490000000000002</v>
      </c>
      <c r="I1567">
        <v>3.8759999999999999</v>
      </c>
      <c r="J1567">
        <v>31.209</v>
      </c>
      <c r="K1567">
        <v>20.7</v>
      </c>
      <c r="L1567">
        <v>-2.5000000000000001E-2</v>
      </c>
    </row>
    <row r="1568" spans="1:12" x14ac:dyDescent="0.25">
      <c r="A1568">
        <v>686841</v>
      </c>
      <c r="B1568">
        <v>3.92</v>
      </c>
      <c r="C1568">
        <v>3.9380000000000002</v>
      </c>
      <c r="D1568">
        <v>3.8580000000000001</v>
      </c>
      <c r="E1568">
        <v>3.7919999999999998</v>
      </c>
      <c r="F1568">
        <v>4.056</v>
      </c>
      <c r="G1568">
        <v>3.92</v>
      </c>
      <c r="H1568">
        <v>3.8490000000000002</v>
      </c>
      <c r="I1568">
        <v>3.8759999999999999</v>
      </c>
      <c r="J1568">
        <v>31.209</v>
      </c>
      <c r="K1568">
        <v>20.7</v>
      </c>
      <c r="L1568">
        <v>-3.5000000000000003E-2</v>
      </c>
    </row>
    <row r="1569" spans="1:12" x14ac:dyDescent="0.25">
      <c r="A1569">
        <v>691848</v>
      </c>
      <c r="B1569">
        <v>3.92</v>
      </c>
      <c r="C1569">
        <v>3.9380000000000002</v>
      </c>
      <c r="D1569">
        <v>3.8580000000000001</v>
      </c>
      <c r="E1569">
        <v>3.7919999999999998</v>
      </c>
      <c r="F1569">
        <v>4.056</v>
      </c>
      <c r="G1569">
        <v>3.92</v>
      </c>
      <c r="H1569">
        <v>3.8490000000000002</v>
      </c>
      <c r="I1569">
        <v>3.8759999999999999</v>
      </c>
      <c r="J1569">
        <v>31.209</v>
      </c>
      <c r="K1569">
        <v>20.8</v>
      </c>
      <c r="L1569">
        <v>-8.9999999999999993E-3</v>
      </c>
    </row>
    <row r="1570" spans="1:12" x14ac:dyDescent="0.25">
      <c r="A1570">
        <v>696848</v>
      </c>
      <c r="B1570">
        <v>3.92</v>
      </c>
      <c r="C1570">
        <v>3.9380000000000002</v>
      </c>
      <c r="D1570">
        <v>3.8580000000000001</v>
      </c>
      <c r="E1570">
        <v>3.7919999999999998</v>
      </c>
      <c r="F1570">
        <v>4.056</v>
      </c>
      <c r="G1570">
        <v>3.92</v>
      </c>
      <c r="H1570">
        <v>3.8490000000000002</v>
      </c>
      <c r="I1570">
        <v>3.8759999999999999</v>
      </c>
      <c r="J1570">
        <v>31.209</v>
      </c>
      <c r="K1570">
        <v>20.7</v>
      </c>
      <c r="L1570">
        <v>-3.5999999999999997E-2</v>
      </c>
    </row>
    <row r="1571" spans="1:12" x14ac:dyDescent="0.25">
      <c r="A1571">
        <v>701894</v>
      </c>
      <c r="B1571">
        <v>3.92</v>
      </c>
      <c r="C1571">
        <v>3.9380000000000002</v>
      </c>
      <c r="D1571">
        <v>3.8580000000000001</v>
      </c>
      <c r="E1571">
        <v>3.7919999999999998</v>
      </c>
      <c r="F1571">
        <v>4.056</v>
      </c>
      <c r="G1571">
        <v>3.92</v>
      </c>
      <c r="H1571">
        <v>3.8490000000000002</v>
      </c>
      <c r="I1571">
        <v>3.8759999999999999</v>
      </c>
      <c r="J1571">
        <v>31.209</v>
      </c>
      <c r="K1571">
        <v>20.7</v>
      </c>
      <c r="L1571">
        <v>-4.8000000000000001E-2</v>
      </c>
    </row>
    <row r="1572" spans="1:12" x14ac:dyDescent="0.25">
      <c r="A1572">
        <v>706901</v>
      </c>
      <c r="B1572">
        <v>3.92</v>
      </c>
      <c r="C1572">
        <v>3.9380000000000002</v>
      </c>
      <c r="D1572">
        <v>3.8580000000000001</v>
      </c>
      <c r="E1572">
        <v>3.7919999999999998</v>
      </c>
      <c r="F1572">
        <v>4.056</v>
      </c>
      <c r="G1572">
        <v>3.92</v>
      </c>
      <c r="H1572">
        <v>3.8490000000000002</v>
      </c>
      <c r="I1572">
        <v>3.8759999999999999</v>
      </c>
      <c r="J1572">
        <v>31.209</v>
      </c>
      <c r="K1572">
        <v>20.7</v>
      </c>
      <c r="L1572">
        <v>-4.1000000000000002E-2</v>
      </c>
    </row>
    <row r="1573" spans="1:12" x14ac:dyDescent="0.25">
      <c r="A1573">
        <v>711908</v>
      </c>
      <c r="B1573">
        <v>3.92</v>
      </c>
      <c r="C1573">
        <v>3.9380000000000002</v>
      </c>
      <c r="D1573">
        <v>3.8580000000000001</v>
      </c>
      <c r="E1573">
        <v>3.7919999999999998</v>
      </c>
      <c r="F1573">
        <v>4.056</v>
      </c>
      <c r="G1573">
        <v>3.92</v>
      </c>
      <c r="H1573">
        <v>3.8490000000000002</v>
      </c>
      <c r="I1573">
        <v>3.8759999999999999</v>
      </c>
      <c r="J1573">
        <v>31.209</v>
      </c>
      <c r="K1573">
        <v>20.7</v>
      </c>
      <c r="L1573">
        <v>-3.1E-2</v>
      </c>
    </row>
    <row r="1574" spans="1:12" x14ac:dyDescent="0.25">
      <c r="A1574">
        <v>716914</v>
      </c>
      <c r="B1574">
        <v>3.92</v>
      </c>
      <c r="C1574">
        <v>3.9380000000000002</v>
      </c>
      <c r="D1574">
        <v>3.8580000000000001</v>
      </c>
      <c r="E1574">
        <v>3.7919999999999998</v>
      </c>
      <c r="F1574">
        <v>4.056</v>
      </c>
      <c r="G1574">
        <v>3.92</v>
      </c>
      <c r="H1574">
        <v>3.8490000000000002</v>
      </c>
      <c r="I1574">
        <v>3.8759999999999999</v>
      </c>
      <c r="J1574">
        <v>31.209</v>
      </c>
      <c r="K1574">
        <v>20.7</v>
      </c>
      <c r="L1574">
        <v>-4.2000000000000003E-2</v>
      </c>
    </row>
    <row r="1575" spans="1:12" x14ac:dyDescent="0.25">
      <c r="A1575">
        <v>721921</v>
      </c>
      <c r="B1575">
        <v>3.9249999999999998</v>
      </c>
      <c r="C1575">
        <v>3.9420000000000002</v>
      </c>
      <c r="D1575">
        <v>3.8490000000000002</v>
      </c>
      <c r="E1575">
        <v>3.7919999999999998</v>
      </c>
      <c r="F1575">
        <v>4.056</v>
      </c>
      <c r="G1575">
        <v>3.92</v>
      </c>
      <c r="H1575">
        <v>3.8490000000000002</v>
      </c>
      <c r="I1575">
        <v>3.8759999999999999</v>
      </c>
      <c r="J1575">
        <v>31.209</v>
      </c>
      <c r="K1575">
        <v>20.7</v>
      </c>
      <c r="L1575">
        <v>-4.2999999999999997E-2</v>
      </c>
    </row>
    <row r="1576" spans="1:12" x14ac:dyDescent="0.25">
      <c r="A1576">
        <v>726921</v>
      </c>
      <c r="B1576">
        <v>3.92</v>
      </c>
      <c r="C1576">
        <v>3.9380000000000002</v>
      </c>
      <c r="D1576">
        <v>3.8580000000000001</v>
      </c>
      <c r="E1576">
        <v>3.7919999999999998</v>
      </c>
      <c r="F1576">
        <v>4.056</v>
      </c>
      <c r="G1576">
        <v>3.92</v>
      </c>
      <c r="H1576">
        <v>3.8490000000000002</v>
      </c>
      <c r="I1576">
        <v>3.8759999999999999</v>
      </c>
      <c r="J1576">
        <v>31.209</v>
      </c>
      <c r="K1576">
        <v>20.7</v>
      </c>
      <c r="L1576">
        <v>-3.9E-2</v>
      </c>
    </row>
    <row r="1577" spans="1:12" x14ac:dyDescent="0.25">
      <c r="A1577">
        <v>731967</v>
      </c>
      <c r="B1577">
        <v>3.92</v>
      </c>
      <c r="C1577">
        <v>3.9380000000000002</v>
      </c>
      <c r="D1577">
        <v>3.8580000000000001</v>
      </c>
      <c r="E1577">
        <v>3.7919999999999998</v>
      </c>
      <c r="F1577">
        <v>4.056</v>
      </c>
      <c r="G1577">
        <v>3.92</v>
      </c>
      <c r="H1577">
        <v>3.8490000000000002</v>
      </c>
      <c r="I1577">
        <v>3.8759999999999999</v>
      </c>
      <c r="J1577">
        <v>31.209</v>
      </c>
      <c r="K1577">
        <v>20.7</v>
      </c>
      <c r="L1577">
        <v>-3.7999999999999999E-2</v>
      </c>
    </row>
    <row r="1578" spans="1:12" x14ac:dyDescent="0.25">
      <c r="A1578">
        <v>736971</v>
      </c>
      <c r="B1578">
        <v>3.92</v>
      </c>
      <c r="C1578">
        <v>3.9380000000000002</v>
      </c>
      <c r="D1578">
        <v>3.8580000000000001</v>
      </c>
      <c r="E1578">
        <v>3.7919999999999998</v>
      </c>
      <c r="F1578">
        <v>4.056</v>
      </c>
      <c r="G1578">
        <v>3.92</v>
      </c>
      <c r="H1578">
        <v>3.8490000000000002</v>
      </c>
      <c r="I1578">
        <v>3.8759999999999999</v>
      </c>
      <c r="J1578">
        <v>31.209</v>
      </c>
      <c r="K1578">
        <v>20.7</v>
      </c>
      <c r="L1578">
        <v>-0.05</v>
      </c>
    </row>
    <row r="1579" spans="1:12" x14ac:dyDescent="0.25">
      <c r="A1579">
        <v>741978</v>
      </c>
      <c r="B1579">
        <v>3.92</v>
      </c>
      <c r="C1579">
        <v>3.9380000000000002</v>
      </c>
      <c r="D1579">
        <v>3.8580000000000001</v>
      </c>
      <c r="E1579">
        <v>3.7919999999999998</v>
      </c>
      <c r="F1579">
        <v>4.056</v>
      </c>
      <c r="G1579">
        <v>3.92</v>
      </c>
      <c r="H1579">
        <v>3.8490000000000002</v>
      </c>
      <c r="I1579">
        <v>3.8759999999999999</v>
      </c>
      <c r="J1579">
        <v>31.209</v>
      </c>
      <c r="K1579">
        <v>20.7</v>
      </c>
      <c r="L1579">
        <v>-2.3E-2</v>
      </c>
    </row>
    <row r="1580" spans="1:12" x14ac:dyDescent="0.25">
      <c r="A1580">
        <v>746984</v>
      </c>
      <c r="B1580">
        <v>3.92</v>
      </c>
      <c r="C1580">
        <v>3.9380000000000002</v>
      </c>
      <c r="D1580">
        <v>3.8580000000000001</v>
      </c>
      <c r="E1580">
        <v>3.7919999999999998</v>
      </c>
      <c r="F1580">
        <v>4.056</v>
      </c>
      <c r="G1580">
        <v>3.92</v>
      </c>
      <c r="H1580">
        <v>3.8490000000000002</v>
      </c>
      <c r="I1580">
        <v>3.8759999999999999</v>
      </c>
      <c r="J1580">
        <v>31.209</v>
      </c>
      <c r="K1580">
        <v>20.7</v>
      </c>
      <c r="L1580">
        <v>-3.1E-2</v>
      </c>
    </row>
    <row r="1581" spans="1:12" x14ac:dyDescent="0.25">
      <c r="A1581">
        <v>751991</v>
      </c>
      <c r="B1581">
        <v>3.92</v>
      </c>
      <c r="C1581">
        <v>3.9380000000000002</v>
      </c>
      <c r="D1581">
        <v>3.8580000000000001</v>
      </c>
      <c r="E1581">
        <v>3.7919999999999998</v>
      </c>
      <c r="F1581">
        <v>4.0460000000000003</v>
      </c>
      <c r="G1581">
        <v>3.919</v>
      </c>
      <c r="H1581">
        <v>3.8450000000000002</v>
      </c>
      <c r="I1581">
        <v>3.87</v>
      </c>
      <c r="J1581">
        <v>31.187999999999999</v>
      </c>
      <c r="K1581">
        <v>20.8</v>
      </c>
      <c r="L1581">
        <v>-2.8000000000000001E-2</v>
      </c>
    </row>
    <row r="1582" spans="1:12" x14ac:dyDescent="0.25">
      <c r="A1582">
        <v>756991</v>
      </c>
      <c r="B1582">
        <v>3.92</v>
      </c>
      <c r="C1582">
        <v>3.9380000000000002</v>
      </c>
      <c r="D1582">
        <v>3.8580000000000001</v>
      </c>
      <c r="E1582">
        <v>3.7919999999999998</v>
      </c>
      <c r="F1582">
        <v>4.0460000000000003</v>
      </c>
      <c r="G1582">
        <v>3.948</v>
      </c>
      <c r="H1582">
        <v>3.8490000000000002</v>
      </c>
      <c r="I1582">
        <v>3.8370000000000002</v>
      </c>
      <c r="J1582">
        <v>31.187999999999999</v>
      </c>
      <c r="K1582">
        <v>20.8</v>
      </c>
      <c r="L1582">
        <v>-4.1000000000000002E-2</v>
      </c>
    </row>
    <row r="1583" spans="1:12" x14ac:dyDescent="0.25">
      <c r="A1583">
        <v>762038</v>
      </c>
      <c r="B1583">
        <v>3.92</v>
      </c>
      <c r="C1583">
        <v>3.9380000000000002</v>
      </c>
      <c r="D1583">
        <v>3.8580000000000001</v>
      </c>
      <c r="E1583">
        <v>3.7919999999999998</v>
      </c>
      <c r="F1583">
        <v>4.0460000000000003</v>
      </c>
      <c r="G1583">
        <v>3.948</v>
      </c>
      <c r="H1583">
        <v>3.8490000000000002</v>
      </c>
      <c r="I1583">
        <v>3.8759999999999999</v>
      </c>
      <c r="J1583">
        <v>31.227</v>
      </c>
      <c r="K1583">
        <v>20.8</v>
      </c>
      <c r="L1583">
        <v>-3.7999999999999999E-2</v>
      </c>
    </row>
    <row r="1584" spans="1:12" x14ac:dyDescent="0.25">
      <c r="A1584">
        <v>767042</v>
      </c>
      <c r="B1584">
        <v>3.92</v>
      </c>
      <c r="C1584">
        <v>3.9380000000000002</v>
      </c>
      <c r="D1584">
        <v>3.8580000000000001</v>
      </c>
      <c r="E1584">
        <v>3.7919999999999998</v>
      </c>
      <c r="F1584">
        <v>4.056</v>
      </c>
      <c r="G1584">
        <v>3.92</v>
      </c>
      <c r="H1584">
        <v>3.8490000000000002</v>
      </c>
      <c r="I1584">
        <v>3.8759999999999999</v>
      </c>
      <c r="J1584">
        <v>31.209</v>
      </c>
      <c r="K1584">
        <v>20.8</v>
      </c>
      <c r="L1584">
        <v>-4.2999999999999997E-2</v>
      </c>
    </row>
    <row r="1585" spans="1:12" x14ac:dyDescent="0.25">
      <c r="A1585">
        <v>772049</v>
      </c>
      <c r="B1585">
        <v>3.92</v>
      </c>
      <c r="C1585">
        <v>3.9380000000000002</v>
      </c>
      <c r="D1585">
        <v>3.8580000000000001</v>
      </c>
      <c r="E1585">
        <v>3.7919999999999998</v>
      </c>
      <c r="F1585">
        <v>4.0460000000000003</v>
      </c>
      <c r="G1585">
        <v>3.948</v>
      </c>
      <c r="H1585">
        <v>3.8490000000000002</v>
      </c>
      <c r="I1585">
        <v>3.8370000000000002</v>
      </c>
      <c r="J1585">
        <v>31.187999999999999</v>
      </c>
      <c r="K1585">
        <v>20.8</v>
      </c>
      <c r="L1585">
        <v>-0.03</v>
      </c>
    </row>
    <row r="1586" spans="1:12" x14ac:dyDescent="0.25">
      <c r="A1586">
        <v>777055</v>
      </c>
      <c r="B1586">
        <v>3.92</v>
      </c>
      <c r="C1586">
        <v>3.9380000000000002</v>
      </c>
      <c r="D1586">
        <v>3.8580000000000001</v>
      </c>
      <c r="E1586">
        <v>3.7919999999999998</v>
      </c>
      <c r="F1586">
        <v>4.0460000000000003</v>
      </c>
      <c r="G1586">
        <v>3.948</v>
      </c>
      <c r="H1586">
        <v>3.8490000000000002</v>
      </c>
      <c r="I1586">
        <v>3.8370000000000002</v>
      </c>
      <c r="J1586">
        <v>31.187999999999999</v>
      </c>
      <c r="K1586">
        <v>20.8</v>
      </c>
      <c r="L1586">
        <v>-0.05</v>
      </c>
    </row>
    <row r="1587" spans="1:12" x14ac:dyDescent="0.25">
      <c r="A1587">
        <v>782059</v>
      </c>
      <c r="B1587">
        <v>3.92</v>
      </c>
      <c r="C1587">
        <v>3.9380000000000002</v>
      </c>
      <c r="D1587">
        <v>3.8580000000000001</v>
      </c>
      <c r="E1587">
        <v>3.7919999999999998</v>
      </c>
      <c r="F1587">
        <v>4.0460000000000003</v>
      </c>
      <c r="G1587">
        <v>3.948</v>
      </c>
      <c r="H1587">
        <v>3.8490000000000002</v>
      </c>
      <c r="I1587">
        <v>3.8370000000000002</v>
      </c>
      <c r="J1587">
        <v>31.187999999999999</v>
      </c>
      <c r="K1587">
        <v>20.8</v>
      </c>
      <c r="L1587">
        <v>-3.7999999999999999E-2</v>
      </c>
    </row>
    <row r="1588" spans="1:12" x14ac:dyDescent="0.25">
      <c r="A1588">
        <v>787059</v>
      </c>
      <c r="B1588">
        <v>3.92</v>
      </c>
      <c r="C1588">
        <v>3.9380000000000002</v>
      </c>
      <c r="D1588">
        <v>3.8580000000000001</v>
      </c>
      <c r="E1588">
        <v>3.7919999999999998</v>
      </c>
      <c r="F1588">
        <v>4.056</v>
      </c>
      <c r="G1588">
        <v>3.92</v>
      </c>
      <c r="H1588">
        <v>3.8490000000000002</v>
      </c>
      <c r="I1588">
        <v>3.8370000000000002</v>
      </c>
      <c r="J1588">
        <v>31.17</v>
      </c>
      <c r="K1588">
        <v>20.8</v>
      </c>
      <c r="L1588">
        <v>-2.5000000000000001E-2</v>
      </c>
    </row>
    <row r="1589" spans="1:12" x14ac:dyDescent="0.25">
      <c r="A1589">
        <v>792116</v>
      </c>
      <c r="B1589">
        <v>3.92</v>
      </c>
      <c r="C1589">
        <v>3.9380000000000002</v>
      </c>
      <c r="D1589">
        <v>3.8580000000000001</v>
      </c>
      <c r="E1589">
        <v>3.7919999999999998</v>
      </c>
      <c r="F1589">
        <v>4.056</v>
      </c>
      <c r="G1589">
        <v>3.92</v>
      </c>
      <c r="H1589">
        <v>3.8490000000000002</v>
      </c>
      <c r="I1589">
        <v>3.8759999999999999</v>
      </c>
      <c r="J1589">
        <v>31.209</v>
      </c>
      <c r="K1589">
        <v>20.8</v>
      </c>
      <c r="L1589">
        <v>-4.3999999999999997E-2</v>
      </c>
    </row>
    <row r="1590" spans="1:12" x14ac:dyDescent="0.25">
      <c r="A1590">
        <v>797127</v>
      </c>
      <c r="B1590">
        <v>3.92</v>
      </c>
      <c r="C1590">
        <v>3.9380000000000002</v>
      </c>
      <c r="D1590">
        <v>3.8580000000000001</v>
      </c>
      <c r="E1590">
        <v>3.7919999999999998</v>
      </c>
      <c r="F1590">
        <v>4.0460000000000003</v>
      </c>
      <c r="G1590">
        <v>3.948</v>
      </c>
      <c r="H1590">
        <v>3.8490000000000002</v>
      </c>
      <c r="I1590">
        <v>3.8759999999999999</v>
      </c>
      <c r="J1590">
        <v>31.227</v>
      </c>
      <c r="K1590">
        <v>20.8</v>
      </c>
      <c r="L1590">
        <v>-4.2000000000000003E-2</v>
      </c>
    </row>
    <row r="1591" spans="1:12" x14ac:dyDescent="0.25">
      <c r="A1591">
        <v>802189</v>
      </c>
      <c r="B1591">
        <v>3.92</v>
      </c>
      <c r="C1591">
        <v>3.9380000000000002</v>
      </c>
      <c r="D1591">
        <v>3.8580000000000001</v>
      </c>
      <c r="E1591">
        <v>3.7919999999999998</v>
      </c>
      <c r="F1591">
        <v>4.056</v>
      </c>
      <c r="G1591">
        <v>3.92</v>
      </c>
      <c r="H1591">
        <v>3.8490000000000002</v>
      </c>
      <c r="I1591">
        <v>3.8759999999999999</v>
      </c>
      <c r="J1591">
        <v>31.209</v>
      </c>
      <c r="K1591">
        <v>20.8</v>
      </c>
      <c r="L1591">
        <v>-3.7999999999999999E-2</v>
      </c>
    </row>
    <row r="1592" spans="1:12" x14ac:dyDescent="0.25">
      <c r="A1592">
        <v>807200</v>
      </c>
      <c r="B1592">
        <v>3.92</v>
      </c>
      <c r="C1592">
        <v>3.9380000000000002</v>
      </c>
      <c r="D1592">
        <v>3.8580000000000001</v>
      </c>
      <c r="E1592">
        <v>3.7919999999999998</v>
      </c>
      <c r="F1592">
        <v>4.0460000000000003</v>
      </c>
      <c r="G1592">
        <v>3.948</v>
      </c>
      <c r="H1592">
        <v>3.8490000000000002</v>
      </c>
      <c r="I1592">
        <v>3.8759999999999999</v>
      </c>
      <c r="J1592">
        <v>31.227</v>
      </c>
      <c r="K1592">
        <v>20.8</v>
      </c>
      <c r="L1592">
        <v>-3.5999999999999997E-2</v>
      </c>
    </row>
    <row r="1593" spans="1:12" x14ac:dyDescent="0.25">
      <c r="A1593">
        <v>812207</v>
      </c>
      <c r="B1593">
        <v>3.92</v>
      </c>
      <c r="C1593">
        <v>3.9380000000000002</v>
      </c>
      <c r="D1593">
        <v>3.8580000000000001</v>
      </c>
      <c r="E1593">
        <v>3.7919999999999998</v>
      </c>
      <c r="F1593">
        <v>4.056</v>
      </c>
      <c r="G1593">
        <v>3.92</v>
      </c>
      <c r="H1593">
        <v>3.8490000000000002</v>
      </c>
      <c r="I1593">
        <v>3.8759999999999999</v>
      </c>
      <c r="J1593">
        <v>31.209</v>
      </c>
      <c r="K1593">
        <v>20.8</v>
      </c>
      <c r="L1593">
        <v>-4.5999999999999999E-2</v>
      </c>
    </row>
    <row r="1594" spans="1:12" x14ac:dyDescent="0.25">
      <c r="A1594">
        <v>817208</v>
      </c>
      <c r="B1594">
        <v>3.92</v>
      </c>
      <c r="C1594">
        <v>3.9380000000000002</v>
      </c>
      <c r="D1594">
        <v>3.8580000000000001</v>
      </c>
      <c r="E1594">
        <v>3.7919999999999998</v>
      </c>
      <c r="F1594">
        <v>4.056</v>
      </c>
      <c r="G1594">
        <v>3.92</v>
      </c>
      <c r="H1594">
        <v>3.8490000000000002</v>
      </c>
      <c r="I1594">
        <v>3.8759999999999999</v>
      </c>
      <c r="J1594">
        <v>31.209</v>
      </c>
      <c r="K1594">
        <v>20.8</v>
      </c>
      <c r="L1594">
        <v>-3.2000000000000001E-2</v>
      </c>
    </row>
    <row r="1595" spans="1:12" x14ac:dyDescent="0.25">
      <c r="A1595">
        <v>822212</v>
      </c>
      <c r="B1595">
        <v>3.92</v>
      </c>
      <c r="C1595">
        <v>3.9380000000000002</v>
      </c>
      <c r="D1595">
        <v>3.8580000000000001</v>
      </c>
      <c r="E1595">
        <v>3.7919999999999998</v>
      </c>
      <c r="F1595">
        <v>4.056</v>
      </c>
      <c r="G1595">
        <v>3.92</v>
      </c>
      <c r="H1595">
        <v>3.8490000000000002</v>
      </c>
      <c r="I1595">
        <v>3.8759999999999999</v>
      </c>
      <c r="J1595">
        <v>31.209</v>
      </c>
      <c r="K1595">
        <v>20.7</v>
      </c>
      <c r="L1595">
        <v>-0.02</v>
      </c>
    </row>
    <row r="1596" spans="1:12" x14ac:dyDescent="0.25">
      <c r="A1596">
        <v>827217</v>
      </c>
      <c r="B1596">
        <v>3.92</v>
      </c>
      <c r="C1596">
        <v>3.9380000000000002</v>
      </c>
      <c r="D1596">
        <v>3.8580000000000001</v>
      </c>
      <c r="E1596">
        <v>3.7919999999999998</v>
      </c>
      <c r="F1596">
        <v>4.056</v>
      </c>
      <c r="G1596">
        <v>3.92</v>
      </c>
      <c r="H1596">
        <v>3.8490000000000002</v>
      </c>
      <c r="I1596">
        <v>3.8370000000000002</v>
      </c>
      <c r="J1596">
        <v>31.17</v>
      </c>
      <c r="K1596">
        <v>20.8</v>
      </c>
      <c r="L1596">
        <v>-5.0999999999999997E-2</v>
      </c>
    </row>
    <row r="1597" spans="1:12" x14ac:dyDescent="0.25">
      <c r="A1597">
        <v>832259</v>
      </c>
      <c r="B1597">
        <v>3.92</v>
      </c>
      <c r="C1597">
        <v>3.9380000000000002</v>
      </c>
      <c r="D1597">
        <v>3.8580000000000001</v>
      </c>
      <c r="E1597">
        <v>3.7919999999999998</v>
      </c>
      <c r="F1597">
        <v>4.0460000000000003</v>
      </c>
      <c r="G1597">
        <v>3.948</v>
      </c>
      <c r="H1597">
        <v>3.8490000000000002</v>
      </c>
      <c r="I1597">
        <v>3.8370000000000002</v>
      </c>
      <c r="J1597">
        <v>31.187999999999999</v>
      </c>
      <c r="K1597">
        <v>20.8</v>
      </c>
      <c r="L1597">
        <v>-4.5999999999999999E-2</v>
      </c>
    </row>
    <row r="1598" spans="1:12" x14ac:dyDescent="0.25">
      <c r="A1598">
        <v>837270</v>
      </c>
      <c r="B1598">
        <v>3.92</v>
      </c>
      <c r="C1598">
        <v>3.9380000000000002</v>
      </c>
      <c r="D1598">
        <v>3.8580000000000001</v>
      </c>
      <c r="E1598">
        <v>3.7919999999999998</v>
      </c>
      <c r="F1598">
        <v>4.0460000000000003</v>
      </c>
      <c r="G1598">
        <v>3.948</v>
      </c>
      <c r="H1598">
        <v>3.8490000000000002</v>
      </c>
      <c r="I1598">
        <v>3.8370000000000002</v>
      </c>
      <c r="J1598">
        <v>31.187999999999999</v>
      </c>
      <c r="K1598">
        <v>20.8</v>
      </c>
      <c r="L1598">
        <v>-2.9000000000000001E-2</v>
      </c>
    </row>
    <row r="1599" spans="1:12" x14ac:dyDescent="0.25">
      <c r="A1599">
        <v>842272</v>
      </c>
      <c r="B1599">
        <v>3.92</v>
      </c>
      <c r="C1599">
        <v>3.9380000000000002</v>
      </c>
      <c r="D1599">
        <v>3.8580000000000001</v>
      </c>
      <c r="E1599">
        <v>3.7919999999999998</v>
      </c>
      <c r="F1599">
        <v>4.056</v>
      </c>
      <c r="G1599">
        <v>3.92</v>
      </c>
      <c r="H1599">
        <v>3.8490000000000002</v>
      </c>
      <c r="I1599">
        <v>3.8759999999999999</v>
      </c>
      <c r="J1599">
        <v>31.209</v>
      </c>
      <c r="K1599">
        <v>20.7</v>
      </c>
      <c r="L1599">
        <v>-2.7E-2</v>
      </c>
    </row>
    <row r="1600" spans="1:12" x14ac:dyDescent="0.25">
      <c r="A1600">
        <v>847278</v>
      </c>
      <c r="B1600">
        <v>3.92</v>
      </c>
      <c r="C1600">
        <v>3.9380000000000002</v>
      </c>
      <c r="D1600">
        <v>3.8580000000000001</v>
      </c>
      <c r="E1600">
        <v>3.7919999999999998</v>
      </c>
      <c r="F1600">
        <v>4.056</v>
      </c>
      <c r="G1600">
        <v>3.92</v>
      </c>
      <c r="H1600">
        <v>3.8490000000000002</v>
      </c>
      <c r="I1600">
        <v>3.8759999999999999</v>
      </c>
      <c r="J1600">
        <v>31.209</v>
      </c>
      <c r="K1600">
        <v>20.8</v>
      </c>
      <c r="L1600">
        <v>-1.7999999999999999E-2</v>
      </c>
    </row>
    <row r="1601" spans="1:12" x14ac:dyDescent="0.25">
      <c r="A1601">
        <v>852285</v>
      </c>
      <c r="B1601">
        <v>3.92</v>
      </c>
      <c r="C1601">
        <v>3.9380000000000002</v>
      </c>
      <c r="D1601">
        <v>3.8580000000000001</v>
      </c>
      <c r="E1601">
        <v>3.7919999999999998</v>
      </c>
      <c r="F1601">
        <v>4.056</v>
      </c>
      <c r="G1601">
        <v>3.92</v>
      </c>
      <c r="H1601">
        <v>3.8490000000000002</v>
      </c>
      <c r="I1601">
        <v>3.8759999999999999</v>
      </c>
      <c r="J1601">
        <v>31.209</v>
      </c>
      <c r="K1601">
        <v>20.8</v>
      </c>
      <c r="L1601">
        <v>-1.9E-2</v>
      </c>
    </row>
    <row r="1602" spans="1:12" x14ac:dyDescent="0.25">
      <c r="A1602">
        <v>857289</v>
      </c>
      <c r="B1602">
        <v>3.92</v>
      </c>
      <c r="C1602">
        <v>3.9380000000000002</v>
      </c>
      <c r="D1602">
        <v>3.8580000000000001</v>
      </c>
      <c r="E1602">
        <v>3.7919999999999998</v>
      </c>
      <c r="F1602">
        <v>4.056</v>
      </c>
      <c r="G1602">
        <v>3.92</v>
      </c>
      <c r="H1602">
        <v>3.8490000000000002</v>
      </c>
      <c r="I1602">
        <v>3.8759999999999999</v>
      </c>
      <c r="J1602">
        <v>31.209</v>
      </c>
      <c r="K1602">
        <v>20.7</v>
      </c>
      <c r="L1602">
        <v>-2.8000000000000001E-2</v>
      </c>
    </row>
    <row r="1603" spans="1:12" x14ac:dyDescent="0.25">
      <c r="A1603">
        <v>862290</v>
      </c>
      <c r="B1603">
        <v>3.92</v>
      </c>
      <c r="C1603">
        <v>3.9380000000000002</v>
      </c>
      <c r="D1603">
        <v>3.8580000000000001</v>
      </c>
      <c r="E1603">
        <v>3.7919999999999998</v>
      </c>
      <c r="F1603">
        <v>4.056</v>
      </c>
      <c r="G1603">
        <v>3.92</v>
      </c>
      <c r="H1603">
        <v>3.8490000000000002</v>
      </c>
      <c r="I1603">
        <v>3.8759999999999999</v>
      </c>
      <c r="J1603">
        <v>31.209</v>
      </c>
      <c r="K1603">
        <v>20.7</v>
      </c>
      <c r="L1603">
        <v>-4.1000000000000002E-2</v>
      </c>
    </row>
    <row r="1604" spans="1:12" x14ac:dyDescent="0.25">
      <c r="A1604">
        <v>867296</v>
      </c>
      <c r="B1604">
        <v>3.92</v>
      </c>
      <c r="C1604">
        <v>3.9380000000000002</v>
      </c>
      <c r="D1604">
        <v>3.8580000000000001</v>
      </c>
      <c r="E1604">
        <v>3.7919999999999998</v>
      </c>
      <c r="F1604">
        <v>4.056</v>
      </c>
      <c r="G1604">
        <v>3.92</v>
      </c>
      <c r="H1604">
        <v>3.8490000000000002</v>
      </c>
      <c r="I1604">
        <v>3.8759999999999999</v>
      </c>
      <c r="J1604">
        <v>31.209</v>
      </c>
      <c r="K1604">
        <v>20.8</v>
      </c>
      <c r="L1604">
        <v>-3.5000000000000003E-2</v>
      </c>
    </row>
    <row r="1605" spans="1:12" x14ac:dyDescent="0.25">
      <c r="A1605">
        <v>872299</v>
      </c>
      <c r="B1605">
        <v>0</v>
      </c>
      <c r="C1605">
        <v>3.9380000000000002</v>
      </c>
      <c r="D1605">
        <v>3.8580000000000001</v>
      </c>
      <c r="E1605">
        <v>3.7919999999999998</v>
      </c>
      <c r="F1605">
        <v>4.0279999999999996</v>
      </c>
      <c r="G1605">
        <v>3.919</v>
      </c>
      <c r="H1605">
        <v>3.8450000000000002</v>
      </c>
      <c r="I1605">
        <v>3.87</v>
      </c>
      <c r="J1605">
        <v>27.25</v>
      </c>
      <c r="K1605">
        <v>20.8</v>
      </c>
      <c r="L1605">
        <v>-0.04</v>
      </c>
    </row>
    <row r="1606" spans="1:12" x14ac:dyDescent="0.25">
      <c r="A1606">
        <v>877299</v>
      </c>
      <c r="B1606">
        <v>3.915</v>
      </c>
      <c r="C1606">
        <v>3.9430000000000001</v>
      </c>
      <c r="D1606">
        <v>3.8580000000000001</v>
      </c>
      <c r="E1606">
        <v>3.7919999999999998</v>
      </c>
      <c r="F1606">
        <v>4.056</v>
      </c>
      <c r="G1606">
        <v>3.92</v>
      </c>
      <c r="H1606">
        <v>3.8490000000000002</v>
      </c>
      <c r="I1606">
        <v>3.8370000000000002</v>
      </c>
      <c r="J1606">
        <v>31.17</v>
      </c>
      <c r="K1606">
        <v>20.7</v>
      </c>
      <c r="L1606">
        <v>-2.5999999999999999E-2</v>
      </c>
    </row>
    <row r="1607" spans="1:12" x14ac:dyDescent="0.25">
      <c r="A1607">
        <v>882331</v>
      </c>
      <c r="B1607">
        <v>3.92</v>
      </c>
      <c r="C1607">
        <v>3.9380000000000002</v>
      </c>
      <c r="D1607">
        <v>3.843</v>
      </c>
      <c r="E1607">
        <v>3.806</v>
      </c>
      <c r="F1607">
        <v>4.0279999999999996</v>
      </c>
      <c r="G1607">
        <v>3.948</v>
      </c>
      <c r="H1607">
        <v>3.8490000000000002</v>
      </c>
      <c r="I1607">
        <v>3.8370000000000002</v>
      </c>
      <c r="J1607">
        <v>31.169</v>
      </c>
      <c r="K1607">
        <v>20.7</v>
      </c>
      <c r="L1607">
        <v>-3.6999999999999998E-2</v>
      </c>
    </row>
    <row r="1608" spans="1:12" x14ac:dyDescent="0.25">
      <c r="A1608">
        <v>887342</v>
      </c>
      <c r="B1608">
        <v>3.92</v>
      </c>
      <c r="C1608">
        <v>3.9380000000000002</v>
      </c>
      <c r="D1608">
        <v>3.8580000000000001</v>
      </c>
      <c r="E1608">
        <v>3.7919999999999998</v>
      </c>
      <c r="F1608">
        <v>4.056</v>
      </c>
      <c r="G1608">
        <v>3.8919999999999999</v>
      </c>
      <c r="H1608">
        <v>3.8450000000000002</v>
      </c>
      <c r="I1608">
        <v>3.9089999999999998</v>
      </c>
      <c r="J1608">
        <v>31.21</v>
      </c>
      <c r="K1608">
        <v>20.7</v>
      </c>
      <c r="L1608">
        <v>-3.1E-2</v>
      </c>
    </row>
    <row r="1609" spans="1:12" x14ac:dyDescent="0.25">
      <c r="A1609">
        <v>892348</v>
      </c>
      <c r="B1609">
        <v>3.92</v>
      </c>
      <c r="C1609">
        <v>3.9380000000000002</v>
      </c>
      <c r="D1609">
        <v>3.8580000000000001</v>
      </c>
      <c r="E1609">
        <v>3.7919999999999998</v>
      </c>
      <c r="F1609">
        <v>4.056</v>
      </c>
      <c r="G1609">
        <v>3.92</v>
      </c>
      <c r="H1609">
        <v>3.8490000000000002</v>
      </c>
      <c r="I1609">
        <v>3.8759999999999999</v>
      </c>
      <c r="J1609">
        <v>31.209</v>
      </c>
      <c r="K1609">
        <v>20.7</v>
      </c>
      <c r="L1609">
        <v>-3.2000000000000001E-2</v>
      </c>
    </row>
    <row r="1610" spans="1:12" x14ac:dyDescent="0.25">
      <c r="A1610">
        <v>897349</v>
      </c>
      <c r="B1610">
        <v>3.92</v>
      </c>
      <c r="C1610">
        <v>3.9289999999999998</v>
      </c>
      <c r="D1610">
        <v>3.8660000000000001</v>
      </c>
      <c r="E1610">
        <v>3.7919999999999998</v>
      </c>
      <c r="F1610">
        <v>4.0460000000000003</v>
      </c>
      <c r="G1610">
        <v>3.948</v>
      </c>
      <c r="H1610">
        <v>3.8490000000000002</v>
      </c>
      <c r="I1610">
        <v>3.8759999999999999</v>
      </c>
      <c r="J1610">
        <v>31.225999999999999</v>
      </c>
      <c r="K1610">
        <v>20.7</v>
      </c>
      <c r="L1610">
        <v>-0.04</v>
      </c>
    </row>
    <row r="1611" spans="1:12" x14ac:dyDescent="0.25">
      <c r="A1611">
        <v>902351</v>
      </c>
      <c r="B1611">
        <v>3.92</v>
      </c>
      <c r="C1611">
        <v>3.9380000000000002</v>
      </c>
      <c r="D1611">
        <v>3.843</v>
      </c>
      <c r="E1611">
        <v>3.806</v>
      </c>
      <c r="F1611">
        <v>4.0460000000000003</v>
      </c>
      <c r="G1611">
        <v>3.919</v>
      </c>
      <c r="H1611">
        <v>3.8780000000000001</v>
      </c>
      <c r="I1611">
        <v>3.8370000000000002</v>
      </c>
      <c r="J1611">
        <v>31.187000000000001</v>
      </c>
      <c r="K1611">
        <v>20.8</v>
      </c>
      <c r="L1611">
        <v>-2.4E-2</v>
      </c>
    </row>
    <row r="1612" spans="1:12" x14ac:dyDescent="0.25">
      <c r="A1612">
        <v>907356</v>
      </c>
      <c r="B1612">
        <v>3.92</v>
      </c>
      <c r="C1612">
        <v>3.9380000000000002</v>
      </c>
      <c r="D1612">
        <v>3.8580000000000001</v>
      </c>
      <c r="E1612">
        <v>3.7919999999999998</v>
      </c>
      <c r="F1612">
        <v>4.056</v>
      </c>
      <c r="G1612">
        <v>3.92</v>
      </c>
      <c r="H1612">
        <v>3.8490000000000002</v>
      </c>
      <c r="I1612">
        <v>3.8370000000000002</v>
      </c>
      <c r="J1612">
        <v>31.17</v>
      </c>
      <c r="K1612">
        <v>20.8</v>
      </c>
      <c r="L1612">
        <v>-2.7E-2</v>
      </c>
    </row>
    <row r="1613" spans="1:12" x14ac:dyDescent="0.25">
      <c r="A1613">
        <v>912398</v>
      </c>
      <c r="B1613">
        <v>3.92</v>
      </c>
      <c r="C1613">
        <v>3.9380000000000002</v>
      </c>
      <c r="D1613">
        <v>3.8580000000000001</v>
      </c>
      <c r="E1613">
        <v>3.7919999999999998</v>
      </c>
      <c r="F1613">
        <v>4.056</v>
      </c>
      <c r="G1613">
        <v>3.92</v>
      </c>
      <c r="H1613">
        <v>3.8490000000000002</v>
      </c>
      <c r="I1613">
        <v>3.8370000000000002</v>
      </c>
      <c r="J1613">
        <v>31.17</v>
      </c>
      <c r="K1613">
        <v>20.7</v>
      </c>
      <c r="L1613">
        <v>-2.5000000000000001E-2</v>
      </c>
    </row>
    <row r="1614" spans="1:12" x14ac:dyDescent="0.25">
      <c r="A1614">
        <v>917409</v>
      </c>
      <c r="B1614">
        <v>3.92</v>
      </c>
      <c r="C1614">
        <v>3.9380000000000002</v>
      </c>
      <c r="D1614">
        <v>3.8580000000000001</v>
      </c>
      <c r="E1614">
        <v>3.7919999999999998</v>
      </c>
      <c r="F1614">
        <v>4.056</v>
      </c>
      <c r="G1614">
        <v>3.92</v>
      </c>
      <c r="H1614">
        <v>3.8490000000000002</v>
      </c>
      <c r="I1614">
        <v>3.8370000000000002</v>
      </c>
      <c r="J1614">
        <v>31.17</v>
      </c>
      <c r="K1614">
        <v>20.7</v>
      </c>
      <c r="L1614">
        <v>-3.4000000000000002E-2</v>
      </c>
    </row>
    <row r="1615" spans="1:12" x14ac:dyDescent="0.25">
      <c r="A1615">
        <v>922415</v>
      </c>
      <c r="B1615">
        <v>3.92</v>
      </c>
      <c r="C1615">
        <v>3.9380000000000002</v>
      </c>
      <c r="D1615">
        <v>3.8580000000000001</v>
      </c>
      <c r="E1615">
        <v>3.7919999999999998</v>
      </c>
      <c r="F1615">
        <v>4.0730000000000004</v>
      </c>
      <c r="G1615">
        <v>3.92</v>
      </c>
      <c r="H1615">
        <v>3.8490000000000002</v>
      </c>
      <c r="I1615">
        <v>3.8370000000000002</v>
      </c>
      <c r="J1615">
        <v>31.187000000000001</v>
      </c>
      <c r="K1615">
        <v>20.7</v>
      </c>
      <c r="L1615">
        <v>-0.02</v>
      </c>
    </row>
    <row r="1616" spans="1:12" x14ac:dyDescent="0.25">
      <c r="A1616">
        <v>927416</v>
      </c>
      <c r="B1616">
        <v>3.92</v>
      </c>
      <c r="C1616">
        <v>3.9380000000000002</v>
      </c>
      <c r="D1616">
        <v>3.8580000000000001</v>
      </c>
      <c r="E1616">
        <v>3.7919999999999998</v>
      </c>
      <c r="F1616">
        <v>4.056</v>
      </c>
      <c r="G1616">
        <v>3.8919999999999999</v>
      </c>
      <c r="H1616">
        <v>3.8450000000000002</v>
      </c>
      <c r="I1616">
        <v>3.87</v>
      </c>
      <c r="J1616">
        <v>31.170999999999999</v>
      </c>
      <c r="K1616">
        <v>20.8</v>
      </c>
      <c r="L1616">
        <v>-2.9000000000000001E-2</v>
      </c>
    </row>
    <row r="1617" spans="1:12" x14ac:dyDescent="0.25">
      <c r="A1617">
        <v>932419</v>
      </c>
      <c r="B1617">
        <v>3.92</v>
      </c>
      <c r="C1617">
        <v>3.9380000000000002</v>
      </c>
      <c r="D1617">
        <v>3.8580000000000001</v>
      </c>
      <c r="E1617">
        <v>3.7919999999999998</v>
      </c>
      <c r="F1617">
        <v>4.056</v>
      </c>
      <c r="G1617">
        <v>3.92</v>
      </c>
      <c r="H1617">
        <v>3.8490000000000002</v>
      </c>
      <c r="I1617">
        <v>3.8370000000000002</v>
      </c>
      <c r="J1617">
        <v>31.17</v>
      </c>
      <c r="K1617">
        <v>20.8</v>
      </c>
      <c r="L1617">
        <v>-0.02</v>
      </c>
    </row>
    <row r="1618" spans="1:12" x14ac:dyDescent="0.25">
      <c r="A1618">
        <v>937424</v>
      </c>
      <c r="B1618">
        <v>3.915</v>
      </c>
      <c r="C1618">
        <v>3.9430000000000001</v>
      </c>
      <c r="D1618">
        <v>3.8580000000000001</v>
      </c>
      <c r="E1618">
        <v>3.7919999999999998</v>
      </c>
      <c r="F1618">
        <v>4.0730000000000004</v>
      </c>
      <c r="G1618">
        <v>3.8919999999999999</v>
      </c>
      <c r="H1618">
        <v>3.8780000000000001</v>
      </c>
      <c r="I1618">
        <v>3.8370000000000002</v>
      </c>
      <c r="J1618">
        <v>31.187999999999999</v>
      </c>
      <c r="K1618">
        <v>20.7</v>
      </c>
      <c r="L1618">
        <v>-3.1E-2</v>
      </c>
    </row>
    <row r="1619" spans="1:12" x14ac:dyDescent="0.25">
      <c r="A1619">
        <v>942466</v>
      </c>
      <c r="B1619">
        <v>3.92</v>
      </c>
      <c r="C1619">
        <v>3.9380000000000002</v>
      </c>
      <c r="D1619">
        <v>3.8580000000000001</v>
      </c>
      <c r="E1619">
        <v>3.7919999999999998</v>
      </c>
      <c r="F1619">
        <v>4.056</v>
      </c>
      <c r="G1619">
        <v>3.92</v>
      </c>
      <c r="H1619">
        <v>3.8490000000000002</v>
      </c>
      <c r="I1619">
        <v>3.8759999999999999</v>
      </c>
      <c r="J1619">
        <v>31.209</v>
      </c>
      <c r="K1619">
        <v>20.7</v>
      </c>
      <c r="L1619">
        <v>-3.5000000000000003E-2</v>
      </c>
    </row>
    <row r="1620" spans="1:12" x14ac:dyDescent="0.25">
      <c r="A1620">
        <v>947477</v>
      </c>
      <c r="B1620">
        <v>3.92</v>
      </c>
      <c r="C1620">
        <v>3.9380000000000002</v>
      </c>
      <c r="D1620">
        <v>3.8580000000000001</v>
      </c>
      <c r="E1620">
        <v>3.7919999999999998</v>
      </c>
      <c r="F1620">
        <v>4.056</v>
      </c>
      <c r="G1620">
        <v>3.8919999999999999</v>
      </c>
      <c r="H1620">
        <v>3.8450000000000002</v>
      </c>
      <c r="I1620">
        <v>3.87</v>
      </c>
      <c r="J1620">
        <v>31.170999999999999</v>
      </c>
      <c r="K1620">
        <v>20.8</v>
      </c>
      <c r="L1620">
        <v>-3.2000000000000001E-2</v>
      </c>
    </row>
    <row r="1621" spans="1:12" x14ac:dyDescent="0.25">
      <c r="A1621">
        <v>952483</v>
      </c>
      <c r="B1621">
        <v>3.92</v>
      </c>
      <c r="C1621">
        <v>3.9380000000000002</v>
      </c>
      <c r="D1621">
        <v>3.8580000000000001</v>
      </c>
      <c r="E1621">
        <v>3.7919999999999998</v>
      </c>
      <c r="F1621">
        <v>4.0460000000000003</v>
      </c>
      <c r="G1621">
        <v>3.948</v>
      </c>
      <c r="H1621">
        <v>3.8490000000000002</v>
      </c>
      <c r="I1621">
        <v>3.8759999999999999</v>
      </c>
      <c r="J1621">
        <v>31.227</v>
      </c>
      <c r="K1621">
        <v>20.7</v>
      </c>
      <c r="L1621">
        <v>-0.03</v>
      </c>
    </row>
    <row r="1622" spans="1:12" x14ac:dyDescent="0.25">
      <c r="A1622">
        <v>957483</v>
      </c>
      <c r="B1622">
        <v>3.92</v>
      </c>
      <c r="C1622">
        <v>3.9380000000000002</v>
      </c>
      <c r="D1622">
        <v>3.8580000000000001</v>
      </c>
      <c r="E1622">
        <v>3.7919999999999998</v>
      </c>
      <c r="F1622">
        <v>4.056</v>
      </c>
      <c r="G1622">
        <v>3.92</v>
      </c>
      <c r="H1622">
        <v>3.8170000000000002</v>
      </c>
      <c r="I1622">
        <v>3.9089999999999998</v>
      </c>
      <c r="J1622">
        <v>31.21</v>
      </c>
      <c r="K1622">
        <v>20.8</v>
      </c>
      <c r="L1622">
        <v>-0.03</v>
      </c>
    </row>
    <row r="1623" spans="1:12" x14ac:dyDescent="0.25">
      <c r="A1623">
        <v>962490</v>
      </c>
      <c r="B1623">
        <v>3.92</v>
      </c>
      <c r="C1623">
        <v>3.9380000000000002</v>
      </c>
      <c r="D1623">
        <v>3.8580000000000001</v>
      </c>
      <c r="E1623">
        <v>3.7919999999999998</v>
      </c>
      <c r="F1623">
        <v>4.0730000000000004</v>
      </c>
      <c r="G1623">
        <v>3.92</v>
      </c>
      <c r="H1623">
        <v>3.8490000000000002</v>
      </c>
      <c r="I1623">
        <v>3.8370000000000002</v>
      </c>
      <c r="J1623">
        <v>31.187000000000001</v>
      </c>
      <c r="K1623">
        <v>20.7</v>
      </c>
      <c r="L1623">
        <v>-3.5000000000000003E-2</v>
      </c>
    </row>
    <row r="1624" spans="1:12" x14ac:dyDescent="0.25">
      <c r="A1624">
        <v>967495</v>
      </c>
      <c r="B1624">
        <v>3.92</v>
      </c>
      <c r="C1624">
        <v>3.9289999999999998</v>
      </c>
      <c r="D1624">
        <v>3.8660000000000001</v>
      </c>
      <c r="E1624">
        <v>3.7919999999999998</v>
      </c>
      <c r="F1624">
        <v>4.0730000000000004</v>
      </c>
      <c r="G1624">
        <v>3.92</v>
      </c>
      <c r="H1624">
        <v>3.8170000000000002</v>
      </c>
      <c r="I1624">
        <v>3.9089999999999998</v>
      </c>
      <c r="J1624">
        <v>31.225999999999999</v>
      </c>
      <c r="K1624">
        <v>20.7</v>
      </c>
      <c r="L1624">
        <v>-3.4000000000000002E-2</v>
      </c>
    </row>
    <row r="1625" spans="1:12" x14ac:dyDescent="0.25">
      <c r="A1625">
        <v>972527</v>
      </c>
      <c r="B1625">
        <v>3.92</v>
      </c>
      <c r="C1625">
        <v>3.9380000000000002</v>
      </c>
      <c r="D1625">
        <v>3.8580000000000001</v>
      </c>
      <c r="E1625">
        <v>3.7919999999999998</v>
      </c>
      <c r="F1625">
        <v>4.056</v>
      </c>
      <c r="G1625">
        <v>3.8919999999999999</v>
      </c>
      <c r="H1625">
        <v>3.8780000000000001</v>
      </c>
      <c r="I1625">
        <v>3.8759999999999999</v>
      </c>
      <c r="J1625">
        <v>31.21</v>
      </c>
      <c r="K1625">
        <v>20.7</v>
      </c>
      <c r="L1625">
        <v>-3.3000000000000002E-2</v>
      </c>
    </row>
    <row r="1626" spans="1:12" x14ac:dyDescent="0.25">
      <c r="A1626">
        <v>977538</v>
      </c>
      <c r="B1626">
        <v>3.92</v>
      </c>
      <c r="C1626">
        <v>3.9380000000000002</v>
      </c>
      <c r="D1626">
        <v>3.8580000000000001</v>
      </c>
      <c r="E1626">
        <v>3.7919999999999998</v>
      </c>
      <c r="F1626">
        <v>4.0279999999999996</v>
      </c>
      <c r="G1626">
        <v>3.948</v>
      </c>
      <c r="H1626">
        <v>3.8490000000000002</v>
      </c>
      <c r="I1626">
        <v>3.8759999999999999</v>
      </c>
      <c r="J1626">
        <v>31.209</v>
      </c>
      <c r="K1626">
        <v>20.7</v>
      </c>
      <c r="L1626">
        <v>-0.04</v>
      </c>
    </row>
    <row r="1627" spans="1:12" x14ac:dyDescent="0.25">
      <c r="A1627">
        <v>982545</v>
      </c>
      <c r="B1627">
        <v>3.92</v>
      </c>
      <c r="C1627">
        <v>3.9380000000000002</v>
      </c>
      <c r="D1627">
        <v>3.8580000000000001</v>
      </c>
      <c r="E1627">
        <v>3.7919999999999998</v>
      </c>
      <c r="F1627">
        <v>4.056</v>
      </c>
      <c r="G1627">
        <v>3.92</v>
      </c>
      <c r="H1627">
        <v>3.8490000000000002</v>
      </c>
      <c r="I1627">
        <v>3.8759999999999999</v>
      </c>
      <c r="J1627">
        <v>31.209</v>
      </c>
      <c r="K1627">
        <v>20.7</v>
      </c>
      <c r="L1627">
        <v>-3.6999999999999998E-2</v>
      </c>
    </row>
    <row r="1628" spans="1:12" x14ac:dyDescent="0.25">
      <c r="A1628">
        <v>987545</v>
      </c>
      <c r="B1628">
        <v>3.92</v>
      </c>
      <c r="C1628">
        <v>3.9380000000000002</v>
      </c>
      <c r="D1628">
        <v>3.8580000000000001</v>
      </c>
      <c r="E1628">
        <v>3.7919999999999998</v>
      </c>
      <c r="F1628">
        <v>4.0279999999999996</v>
      </c>
      <c r="G1628">
        <v>3.948</v>
      </c>
      <c r="H1628">
        <v>3.8170000000000002</v>
      </c>
      <c r="I1628">
        <v>3.9089999999999998</v>
      </c>
      <c r="J1628">
        <v>31.21</v>
      </c>
      <c r="K1628">
        <v>20.8</v>
      </c>
      <c r="L1628">
        <v>-0.38700000000000001</v>
      </c>
    </row>
    <row r="1629" spans="1:12" x14ac:dyDescent="0.25">
      <c r="A1629">
        <v>992547</v>
      </c>
      <c r="B1629">
        <v>3.8809999999999998</v>
      </c>
      <c r="C1629">
        <v>3.88</v>
      </c>
      <c r="D1629">
        <v>3.8239999999999998</v>
      </c>
      <c r="E1629">
        <v>3.7440000000000002</v>
      </c>
      <c r="F1629">
        <v>4.032</v>
      </c>
      <c r="G1629">
        <v>3.8530000000000002</v>
      </c>
      <c r="H1629">
        <v>3.8</v>
      </c>
      <c r="I1629">
        <v>3.7610000000000001</v>
      </c>
      <c r="J1629">
        <v>30.774999999999999</v>
      </c>
      <c r="K1629">
        <v>20.8</v>
      </c>
      <c r="L1629">
        <v>-0.88900000000000001</v>
      </c>
    </row>
    <row r="1630" spans="1:12" x14ac:dyDescent="0.25">
      <c r="A1630">
        <v>997552</v>
      </c>
      <c r="B1630">
        <v>3.8759999999999999</v>
      </c>
      <c r="C1630">
        <v>3.8759999999999999</v>
      </c>
      <c r="D1630">
        <v>3.8180000000000001</v>
      </c>
      <c r="E1630">
        <v>3.7410000000000001</v>
      </c>
      <c r="F1630">
        <v>4.0039999999999996</v>
      </c>
      <c r="G1630">
        <v>3.8519999999999999</v>
      </c>
      <c r="H1630">
        <v>3.7959999999999998</v>
      </c>
      <c r="I1630">
        <v>3.794</v>
      </c>
      <c r="J1630">
        <v>30.757000000000001</v>
      </c>
      <c r="K1630">
        <v>20.8</v>
      </c>
      <c r="L1630">
        <v>-0.93500000000000005</v>
      </c>
    </row>
    <row r="1631" spans="1:12" x14ac:dyDescent="0.25">
      <c r="A1631">
        <v>1002594</v>
      </c>
      <c r="B1631">
        <v>3.871</v>
      </c>
      <c r="C1631">
        <v>3.8809999999999998</v>
      </c>
      <c r="D1631">
        <v>3.8180000000000001</v>
      </c>
      <c r="E1631">
        <v>3.7410000000000001</v>
      </c>
      <c r="F1631">
        <v>3.9950000000000001</v>
      </c>
      <c r="G1631">
        <v>3.851</v>
      </c>
      <c r="H1631">
        <v>3.8239999999999998</v>
      </c>
      <c r="I1631">
        <v>3.7549999999999999</v>
      </c>
      <c r="J1631">
        <v>30.736000000000001</v>
      </c>
      <c r="K1631">
        <v>20.7</v>
      </c>
      <c r="L1631">
        <v>-0.92900000000000005</v>
      </c>
    </row>
    <row r="1632" spans="1:12" x14ac:dyDescent="0.25">
      <c r="A1632">
        <v>1007604</v>
      </c>
      <c r="B1632">
        <v>3.871</v>
      </c>
      <c r="C1632">
        <v>3.8809999999999998</v>
      </c>
      <c r="D1632">
        <v>3.8039999999999998</v>
      </c>
      <c r="E1632">
        <v>3.7370000000000001</v>
      </c>
      <c r="F1632">
        <v>4.04</v>
      </c>
      <c r="G1632">
        <v>3.8239999999999998</v>
      </c>
      <c r="H1632">
        <v>3.7919999999999998</v>
      </c>
      <c r="I1632">
        <v>3.7869999999999999</v>
      </c>
      <c r="J1632">
        <v>30.736000000000001</v>
      </c>
      <c r="K1632">
        <v>20.8</v>
      </c>
      <c r="L1632">
        <v>-0.93400000000000005</v>
      </c>
    </row>
    <row r="1633" spans="1:12" x14ac:dyDescent="0.25">
      <c r="A1633">
        <v>1012611</v>
      </c>
      <c r="B1633">
        <v>3.8660000000000001</v>
      </c>
      <c r="C1633">
        <v>3.8769999999999998</v>
      </c>
      <c r="D1633">
        <v>3.8119999999999998</v>
      </c>
      <c r="E1633">
        <v>3.7370000000000001</v>
      </c>
      <c r="F1633">
        <v>4.0129999999999999</v>
      </c>
      <c r="G1633">
        <v>3.823</v>
      </c>
      <c r="H1633">
        <v>3.82</v>
      </c>
      <c r="I1633">
        <v>3.7490000000000001</v>
      </c>
      <c r="J1633">
        <v>30.696999999999999</v>
      </c>
      <c r="K1633">
        <v>20.8</v>
      </c>
      <c r="L1633">
        <v>-0.92200000000000004</v>
      </c>
    </row>
    <row r="1634" spans="1:12" x14ac:dyDescent="0.25">
      <c r="A1634">
        <v>1017611</v>
      </c>
      <c r="B1634">
        <v>3.8660000000000001</v>
      </c>
      <c r="C1634">
        <v>3.8769999999999998</v>
      </c>
      <c r="D1634">
        <v>3.8119999999999998</v>
      </c>
      <c r="E1634">
        <v>3.7370000000000001</v>
      </c>
      <c r="F1634">
        <v>4.0129999999999999</v>
      </c>
      <c r="G1634">
        <v>3.823</v>
      </c>
      <c r="H1634">
        <v>3.82</v>
      </c>
      <c r="I1634">
        <v>3.7490000000000001</v>
      </c>
      <c r="J1634">
        <v>30.696999999999999</v>
      </c>
      <c r="K1634">
        <v>20.8</v>
      </c>
      <c r="L1634">
        <v>-0.92600000000000005</v>
      </c>
    </row>
    <row r="1635" spans="1:12" x14ac:dyDescent="0.25">
      <c r="A1635">
        <v>1022619</v>
      </c>
      <c r="B1635">
        <v>3.8610000000000002</v>
      </c>
      <c r="C1635">
        <v>3.8820000000000001</v>
      </c>
      <c r="D1635">
        <v>3.798</v>
      </c>
      <c r="E1635">
        <v>3.734</v>
      </c>
      <c r="F1635">
        <v>4.0030000000000001</v>
      </c>
      <c r="G1635">
        <v>3.85</v>
      </c>
      <c r="H1635">
        <v>3.7879999999999998</v>
      </c>
      <c r="I1635">
        <v>3.7810000000000001</v>
      </c>
      <c r="J1635">
        <v>30.696999999999999</v>
      </c>
      <c r="K1635">
        <v>20.8</v>
      </c>
      <c r="L1635">
        <v>-0.92300000000000004</v>
      </c>
    </row>
    <row r="1636" spans="1:12" x14ac:dyDescent="0.25">
      <c r="A1636">
        <v>1027619</v>
      </c>
      <c r="B1636">
        <v>3.8610000000000002</v>
      </c>
      <c r="C1636">
        <v>3.8639999999999999</v>
      </c>
      <c r="D1636">
        <v>3.8159999999999998</v>
      </c>
      <c r="E1636">
        <v>3.734</v>
      </c>
      <c r="F1636">
        <v>4.0030000000000001</v>
      </c>
      <c r="G1636">
        <v>3.85</v>
      </c>
      <c r="H1636">
        <v>3.7549999999999999</v>
      </c>
      <c r="I1636">
        <v>3.7749999999999999</v>
      </c>
      <c r="J1636">
        <v>30.658000000000001</v>
      </c>
      <c r="K1636">
        <v>20.8</v>
      </c>
      <c r="L1636">
        <v>-0.91500000000000004</v>
      </c>
    </row>
    <row r="1637" spans="1:12" x14ac:dyDescent="0.25">
      <c r="A1637">
        <v>1032661</v>
      </c>
      <c r="B1637">
        <v>3.9</v>
      </c>
      <c r="C1637">
        <v>3.923</v>
      </c>
      <c r="D1637">
        <v>3.835</v>
      </c>
      <c r="E1637">
        <v>3.7959999999999998</v>
      </c>
      <c r="F1637">
        <v>4.0170000000000003</v>
      </c>
      <c r="G1637">
        <v>3.9159999999999999</v>
      </c>
      <c r="H1637">
        <v>3.8650000000000002</v>
      </c>
      <c r="I1637">
        <v>3.8180000000000001</v>
      </c>
      <c r="J1637">
        <v>31.07</v>
      </c>
      <c r="K1637">
        <v>20.8</v>
      </c>
      <c r="L1637">
        <v>-4.3999999999999997E-2</v>
      </c>
    </row>
    <row r="1638" spans="1:12" x14ac:dyDescent="0.25">
      <c r="A1638">
        <v>1037672</v>
      </c>
      <c r="B1638">
        <v>3.9</v>
      </c>
      <c r="C1638">
        <v>3.931</v>
      </c>
      <c r="D1638">
        <v>3.84</v>
      </c>
      <c r="E1638">
        <v>3.782</v>
      </c>
      <c r="F1638">
        <v>4.0449999999999999</v>
      </c>
      <c r="G1638">
        <v>3.9169999999999998</v>
      </c>
      <c r="H1638">
        <v>3.8370000000000002</v>
      </c>
      <c r="I1638">
        <v>3.8570000000000002</v>
      </c>
      <c r="J1638">
        <v>31.109000000000002</v>
      </c>
      <c r="K1638">
        <v>20.8</v>
      </c>
      <c r="L1638">
        <v>-3.5999999999999997E-2</v>
      </c>
    </row>
    <row r="1639" spans="1:12" x14ac:dyDescent="0.25">
      <c r="A1639">
        <v>1042679</v>
      </c>
      <c r="B1639">
        <v>3.91</v>
      </c>
      <c r="C1639">
        <v>3.9220000000000002</v>
      </c>
      <c r="D1639">
        <v>3.855</v>
      </c>
      <c r="E1639">
        <v>3.7850000000000001</v>
      </c>
      <c r="F1639">
        <v>4.0270000000000001</v>
      </c>
      <c r="G1639">
        <v>3.9169999999999998</v>
      </c>
      <c r="H1639">
        <v>3.8370000000000002</v>
      </c>
      <c r="I1639">
        <v>3.8570000000000002</v>
      </c>
      <c r="J1639">
        <v>31.11</v>
      </c>
      <c r="K1639">
        <v>20.8</v>
      </c>
      <c r="L1639">
        <v>1.4E-2</v>
      </c>
    </row>
    <row r="1640" spans="1:12" x14ac:dyDescent="0.25">
      <c r="A1640">
        <v>1047679</v>
      </c>
      <c r="B1640">
        <v>3.91</v>
      </c>
      <c r="C1640">
        <v>3.9220000000000002</v>
      </c>
      <c r="D1640">
        <v>3.855</v>
      </c>
      <c r="E1640">
        <v>3.7669999999999999</v>
      </c>
      <c r="F1640">
        <v>4.0270000000000001</v>
      </c>
      <c r="G1640">
        <v>3.9169999999999998</v>
      </c>
      <c r="H1640">
        <v>3.8370000000000002</v>
      </c>
      <c r="I1640">
        <v>3.8570000000000002</v>
      </c>
      <c r="J1640">
        <v>31.091999999999999</v>
      </c>
      <c r="K1640">
        <v>20.8</v>
      </c>
      <c r="L1640">
        <v>-4.8000000000000001E-2</v>
      </c>
    </row>
    <row r="1641" spans="1:12" x14ac:dyDescent="0.25">
      <c r="A1641">
        <v>1052681</v>
      </c>
      <c r="B1641">
        <v>3.91</v>
      </c>
      <c r="C1641">
        <v>3.93</v>
      </c>
      <c r="D1641">
        <v>3.8319999999999999</v>
      </c>
      <c r="E1641">
        <v>3.782</v>
      </c>
      <c r="F1641">
        <v>4.0270000000000001</v>
      </c>
      <c r="G1641">
        <v>3.9460000000000002</v>
      </c>
      <c r="H1641">
        <v>3.8090000000000002</v>
      </c>
      <c r="I1641">
        <v>3.8570000000000002</v>
      </c>
      <c r="J1641">
        <v>31.093</v>
      </c>
      <c r="K1641">
        <v>20.8</v>
      </c>
      <c r="L1641">
        <v>-4.8000000000000001E-2</v>
      </c>
    </row>
    <row r="1642" spans="1:12" x14ac:dyDescent="0.25">
      <c r="A1642">
        <v>1057686</v>
      </c>
      <c r="B1642">
        <v>3.9049999999999998</v>
      </c>
      <c r="C1642">
        <v>3.9260000000000002</v>
      </c>
      <c r="D1642">
        <v>3.855</v>
      </c>
      <c r="E1642">
        <v>3.7850000000000001</v>
      </c>
      <c r="F1642">
        <v>4.0359999999999996</v>
      </c>
      <c r="G1642">
        <v>3.9180000000000001</v>
      </c>
      <c r="H1642">
        <v>3.8410000000000002</v>
      </c>
      <c r="I1642">
        <v>3.8250000000000002</v>
      </c>
      <c r="J1642">
        <v>31.091000000000001</v>
      </c>
      <c r="K1642">
        <v>20.8</v>
      </c>
      <c r="L1642">
        <v>-4.3999999999999997E-2</v>
      </c>
    </row>
    <row r="1643" spans="1:12" x14ac:dyDescent="0.25">
      <c r="A1643">
        <v>1062728</v>
      </c>
      <c r="B1643">
        <v>3.91</v>
      </c>
      <c r="C1643">
        <v>3.93</v>
      </c>
      <c r="D1643">
        <v>3.8460000000000001</v>
      </c>
      <c r="E1643">
        <v>3.7850000000000001</v>
      </c>
      <c r="F1643">
        <v>4.0359999999999996</v>
      </c>
      <c r="G1643">
        <v>3.89</v>
      </c>
      <c r="H1643">
        <v>3.87</v>
      </c>
      <c r="I1643">
        <v>3.8250000000000002</v>
      </c>
      <c r="J1643">
        <v>31.091999999999999</v>
      </c>
      <c r="K1643">
        <v>20.8</v>
      </c>
      <c r="L1643">
        <v>-2.9000000000000001E-2</v>
      </c>
    </row>
    <row r="1644" spans="1:12" x14ac:dyDescent="0.25">
      <c r="A1644">
        <v>1067739</v>
      </c>
      <c r="B1644">
        <v>3.91</v>
      </c>
      <c r="C1644">
        <v>3.93</v>
      </c>
      <c r="D1644">
        <v>3.8460000000000001</v>
      </c>
      <c r="E1644">
        <v>3.7850000000000001</v>
      </c>
      <c r="F1644">
        <v>4.0540000000000003</v>
      </c>
      <c r="G1644">
        <v>3.9470000000000001</v>
      </c>
      <c r="H1644">
        <v>3.8130000000000002</v>
      </c>
      <c r="I1644">
        <v>3.8639999999999999</v>
      </c>
      <c r="J1644">
        <v>31.149000000000001</v>
      </c>
      <c r="K1644">
        <v>20.8</v>
      </c>
      <c r="L1644">
        <v>-2.4E-2</v>
      </c>
    </row>
    <row r="1645" spans="1:12" x14ac:dyDescent="0.25">
      <c r="A1645">
        <v>1072746</v>
      </c>
      <c r="B1645">
        <v>3.91</v>
      </c>
      <c r="C1645">
        <v>3.93</v>
      </c>
      <c r="D1645">
        <v>3.8460000000000001</v>
      </c>
      <c r="E1645">
        <v>3.7850000000000001</v>
      </c>
      <c r="F1645">
        <v>4.0359999999999996</v>
      </c>
      <c r="G1645">
        <v>3.9180000000000001</v>
      </c>
      <c r="H1645">
        <v>3.8410000000000002</v>
      </c>
      <c r="I1645">
        <v>3.8250000000000002</v>
      </c>
      <c r="J1645">
        <v>31.091000000000001</v>
      </c>
      <c r="K1645">
        <v>20.8</v>
      </c>
      <c r="L1645">
        <v>-3.2000000000000001E-2</v>
      </c>
    </row>
    <row r="1646" spans="1:12" x14ac:dyDescent="0.25">
      <c r="A1646">
        <v>1077746</v>
      </c>
      <c r="B1646">
        <v>3.91</v>
      </c>
      <c r="C1646">
        <v>3.93</v>
      </c>
      <c r="D1646">
        <v>3.8460000000000001</v>
      </c>
      <c r="E1646">
        <v>3.7850000000000001</v>
      </c>
      <c r="F1646">
        <v>4.0359999999999996</v>
      </c>
      <c r="G1646">
        <v>3.9180000000000001</v>
      </c>
      <c r="H1646">
        <v>3.8410000000000002</v>
      </c>
      <c r="I1646">
        <v>3.8250000000000002</v>
      </c>
      <c r="J1646">
        <v>31.091000000000001</v>
      </c>
      <c r="K1646">
        <v>20.8</v>
      </c>
      <c r="L1646">
        <v>-4.2999999999999997E-2</v>
      </c>
    </row>
    <row r="1647" spans="1:12" x14ac:dyDescent="0.25">
      <c r="A1647">
        <v>1082749</v>
      </c>
      <c r="B1647">
        <v>3.91</v>
      </c>
      <c r="C1647">
        <v>3.93</v>
      </c>
      <c r="D1647">
        <v>3.8460000000000001</v>
      </c>
      <c r="E1647">
        <v>3.7850000000000001</v>
      </c>
      <c r="F1647">
        <v>4.0270000000000001</v>
      </c>
      <c r="G1647">
        <v>3.9460000000000002</v>
      </c>
      <c r="H1647">
        <v>3.8090000000000002</v>
      </c>
      <c r="I1647">
        <v>3.8959999999999999</v>
      </c>
      <c r="J1647">
        <v>31.149000000000001</v>
      </c>
      <c r="K1647">
        <v>20.8</v>
      </c>
      <c r="L1647">
        <v>0</v>
      </c>
    </row>
    <row r="1648" spans="1:12" x14ac:dyDescent="0.25">
      <c r="A1648">
        <v>1087753</v>
      </c>
      <c r="B1648">
        <v>3.8759999999999999</v>
      </c>
      <c r="C1648">
        <v>3.8849999999999998</v>
      </c>
      <c r="D1648">
        <v>3.8239999999999998</v>
      </c>
      <c r="E1648">
        <v>3.7440000000000002</v>
      </c>
      <c r="F1648">
        <v>4.0039999999999996</v>
      </c>
      <c r="G1648">
        <v>3.8809999999999998</v>
      </c>
      <c r="H1648">
        <v>3.8</v>
      </c>
      <c r="I1648">
        <v>3.7610000000000001</v>
      </c>
      <c r="J1648">
        <v>30.774999999999999</v>
      </c>
      <c r="K1648">
        <v>20.8</v>
      </c>
      <c r="L1648">
        <v>-0.88800000000000001</v>
      </c>
    </row>
    <row r="1649" spans="1:12" x14ac:dyDescent="0.25">
      <c r="A1649">
        <v>1092795</v>
      </c>
      <c r="B1649">
        <v>3.8660000000000001</v>
      </c>
      <c r="C1649">
        <v>3.8769999999999998</v>
      </c>
      <c r="D1649">
        <v>3.8119999999999998</v>
      </c>
      <c r="E1649">
        <v>3.7370000000000001</v>
      </c>
      <c r="F1649">
        <v>4.0030000000000001</v>
      </c>
      <c r="G1649">
        <v>3.8220000000000001</v>
      </c>
      <c r="H1649">
        <v>3.8159999999999998</v>
      </c>
      <c r="I1649">
        <v>3.742</v>
      </c>
      <c r="J1649">
        <v>30.675000000000001</v>
      </c>
      <c r="K1649">
        <v>20.8</v>
      </c>
      <c r="L1649">
        <v>-0.93300000000000005</v>
      </c>
    </row>
    <row r="1650" spans="1:12" x14ac:dyDescent="0.25">
      <c r="A1650">
        <v>1097806</v>
      </c>
      <c r="B1650">
        <v>3.8610000000000002</v>
      </c>
      <c r="C1650">
        <v>3.8730000000000002</v>
      </c>
      <c r="D1650">
        <v>3.8069999999999999</v>
      </c>
      <c r="E1650">
        <v>3.734</v>
      </c>
      <c r="F1650">
        <v>4.0030000000000001</v>
      </c>
      <c r="G1650">
        <v>3.8220000000000001</v>
      </c>
      <c r="H1650">
        <v>3.7839999999999998</v>
      </c>
      <c r="I1650">
        <v>3.7749999999999999</v>
      </c>
      <c r="J1650">
        <v>30.658999999999999</v>
      </c>
      <c r="K1650">
        <v>20.8</v>
      </c>
      <c r="L1650">
        <v>-0.93700000000000006</v>
      </c>
    </row>
    <row r="1651" spans="1:12" x14ac:dyDescent="0.25">
      <c r="A1651">
        <v>1102809</v>
      </c>
      <c r="B1651">
        <v>3.8610000000000002</v>
      </c>
      <c r="C1651">
        <v>3.8730000000000002</v>
      </c>
      <c r="D1651">
        <v>3.7919999999999998</v>
      </c>
      <c r="E1651">
        <v>3.7490000000000001</v>
      </c>
      <c r="F1651">
        <v>3.992</v>
      </c>
      <c r="G1651">
        <v>3.847</v>
      </c>
      <c r="H1651">
        <v>3.7759999999999998</v>
      </c>
      <c r="I1651">
        <v>3.762</v>
      </c>
      <c r="J1651">
        <v>30.652000000000001</v>
      </c>
      <c r="K1651">
        <v>20.8</v>
      </c>
      <c r="L1651">
        <v>-0.93600000000000005</v>
      </c>
    </row>
    <row r="1652" spans="1:12" x14ac:dyDescent="0.25">
      <c r="A1652">
        <v>1107815</v>
      </c>
      <c r="B1652">
        <v>3.8610000000000002</v>
      </c>
      <c r="C1652">
        <v>3.8639999999999999</v>
      </c>
      <c r="D1652">
        <v>3.8010000000000002</v>
      </c>
      <c r="E1652">
        <v>3.7490000000000001</v>
      </c>
      <c r="F1652">
        <v>4.0019999999999998</v>
      </c>
      <c r="G1652">
        <v>3.8479999999999999</v>
      </c>
      <c r="H1652">
        <v>3.7469999999999999</v>
      </c>
      <c r="I1652">
        <v>3.8010000000000002</v>
      </c>
      <c r="J1652">
        <v>30.672999999999998</v>
      </c>
      <c r="K1652">
        <v>20.8</v>
      </c>
      <c r="L1652">
        <v>-0.95799999999999996</v>
      </c>
    </row>
    <row r="1653" spans="1:12" x14ac:dyDescent="0.25">
      <c r="A1653">
        <v>1112822</v>
      </c>
      <c r="B1653">
        <v>3.8559999999999999</v>
      </c>
      <c r="C1653">
        <v>3.8690000000000002</v>
      </c>
      <c r="D1653">
        <v>3.8010000000000002</v>
      </c>
      <c r="E1653">
        <v>3.7309999999999999</v>
      </c>
      <c r="F1653">
        <v>4.0019999999999998</v>
      </c>
      <c r="G1653">
        <v>3.82</v>
      </c>
      <c r="H1653">
        <v>3.8079999999999998</v>
      </c>
      <c r="I1653">
        <v>3.7290000000000001</v>
      </c>
      <c r="J1653">
        <v>30.616</v>
      </c>
      <c r="K1653">
        <v>20.8</v>
      </c>
      <c r="L1653">
        <v>-0.93799999999999994</v>
      </c>
    </row>
    <row r="1654" spans="1:12" x14ac:dyDescent="0.25">
      <c r="A1654">
        <v>1117822</v>
      </c>
      <c r="B1654">
        <v>3.8559999999999999</v>
      </c>
      <c r="C1654">
        <v>3.8690000000000002</v>
      </c>
      <c r="D1654">
        <v>3.8010000000000002</v>
      </c>
      <c r="E1654">
        <v>3.7309999999999999</v>
      </c>
      <c r="F1654">
        <v>4.0019999999999998</v>
      </c>
      <c r="G1654">
        <v>3.82</v>
      </c>
      <c r="H1654">
        <v>3.7759999999999998</v>
      </c>
      <c r="I1654">
        <v>3.762</v>
      </c>
      <c r="J1654">
        <v>30.617000000000001</v>
      </c>
      <c r="K1654">
        <v>20.8</v>
      </c>
      <c r="L1654">
        <v>-0.93600000000000005</v>
      </c>
    </row>
    <row r="1655" spans="1:12" x14ac:dyDescent="0.25">
      <c r="A1655">
        <v>1122823</v>
      </c>
      <c r="B1655">
        <v>3.8559999999999999</v>
      </c>
      <c r="C1655">
        <v>3.8610000000000002</v>
      </c>
      <c r="D1655">
        <v>3.7949999999999999</v>
      </c>
      <c r="E1655">
        <v>3.7450000000000001</v>
      </c>
      <c r="F1655">
        <v>3.992</v>
      </c>
      <c r="G1655">
        <v>3.819</v>
      </c>
      <c r="H1655">
        <v>3.8039999999999998</v>
      </c>
      <c r="I1655">
        <v>3.762</v>
      </c>
      <c r="J1655">
        <v>30.634</v>
      </c>
      <c r="K1655">
        <v>20.9</v>
      </c>
      <c r="L1655">
        <v>-0.93300000000000005</v>
      </c>
    </row>
    <row r="1656" spans="1:12" x14ac:dyDescent="0.25">
      <c r="A1656">
        <v>1127830</v>
      </c>
      <c r="B1656">
        <v>3.8559999999999999</v>
      </c>
      <c r="C1656">
        <v>3.8610000000000002</v>
      </c>
      <c r="D1656">
        <v>3.81</v>
      </c>
      <c r="E1656">
        <v>3.7309999999999999</v>
      </c>
      <c r="F1656">
        <v>3.9830000000000001</v>
      </c>
      <c r="G1656">
        <v>3.8460000000000001</v>
      </c>
      <c r="H1656">
        <v>3.7709999999999999</v>
      </c>
      <c r="I1656">
        <v>3.7559999999999998</v>
      </c>
      <c r="J1656">
        <v>30.614000000000001</v>
      </c>
      <c r="K1656">
        <v>20.8</v>
      </c>
      <c r="L1656">
        <v>-0.94299999999999995</v>
      </c>
    </row>
    <row r="1657" spans="1:12" x14ac:dyDescent="0.25">
      <c r="A1657">
        <v>1132832</v>
      </c>
      <c r="B1657">
        <v>3.8559999999999999</v>
      </c>
      <c r="C1657">
        <v>3.8610000000000002</v>
      </c>
      <c r="D1657">
        <v>3.7949999999999999</v>
      </c>
      <c r="E1657">
        <v>3.7269999999999999</v>
      </c>
      <c r="F1657">
        <v>3.9830000000000001</v>
      </c>
      <c r="G1657">
        <v>3.8180000000000001</v>
      </c>
      <c r="H1657">
        <v>3.8</v>
      </c>
      <c r="I1657">
        <v>3.7559999999999998</v>
      </c>
      <c r="J1657">
        <v>30.596</v>
      </c>
      <c r="K1657">
        <v>20.8</v>
      </c>
      <c r="L1657">
        <v>-0.94099999999999995</v>
      </c>
    </row>
    <row r="1658" spans="1:12" x14ac:dyDescent="0.25">
      <c r="A1658">
        <v>1137832</v>
      </c>
      <c r="B1658">
        <v>3.851</v>
      </c>
      <c r="C1658">
        <v>3.8650000000000002</v>
      </c>
      <c r="D1658">
        <v>3.7949999999999999</v>
      </c>
      <c r="E1658">
        <v>3.7269999999999999</v>
      </c>
      <c r="F1658">
        <v>4.0010000000000003</v>
      </c>
      <c r="G1658">
        <v>3.8180000000000001</v>
      </c>
      <c r="H1658">
        <v>3.7669999999999999</v>
      </c>
      <c r="I1658">
        <v>3.7490000000000001</v>
      </c>
      <c r="J1658">
        <v>30.573</v>
      </c>
      <c r="K1658">
        <v>20.9</v>
      </c>
      <c r="L1658">
        <v>-0.93899999999999995</v>
      </c>
    </row>
    <row r="1659" spans="1:12" x14ac:dyDescent="0.25">
      <c r="A1659">
        <v>1142864</v>
      </c>
      <c r="B1659">
        <v>3.847</v>
      </c>
      <c r="C1659">
        <v>3.8620000000000001</v>
      </c>
      <c r="D1659">
        <v>3.79</v>
      </c>
      <c r="E1659">
        <v>3.742</v>
      </c>
      <c r="F1659">
        <v>3.9910000000000001</v>
      </c>
      <c r="G1659">
        <v>3.8170000000000002</v>
      </c>
      <c r="H1659">
        <v>3.7959999999999998</v>
      </c>
      <c r="I1659">
        <v>3.71</v>
      </c>
      <c r="J1659">
        <v>30.555</v>
      </c>
      <c r="K1659">
        <v>20.8</v>
      </c>
      <c r="L1659">
        <v>-0.94899999999999995</v>
      </c>
    </row>
    <row r="1660" spans="1:12" x14ac:dyDescent="0.25">
      <c r="A1660">
        <v>1147875</v>
      </c>
      <c r="B1660">
        <v>3.851</v>
      </c>
      <c r="C1660">
        <v>3.8570000000000002</v>
      </c>
      <c r="D1660">
        <v>3.8039999999999998</v>
      </c>
      <c r="E1660">
        <v>3.7269999999999999</v>
      </c>
      <c r="F1660">
        <v>3.9820000000000002</v>
      </c>
      <c r="G1660">
        <v>3.8159999999999998</v>
      </c>
      <c r="H1660">
        <v>3.7919999999999998</v>
      </c>
      <c r="I1660">
        <v>3.7429999999999999</v>
      </c>
      <c r="J1660">
        <v>30.571999999999999</v>
      </c>
      <c r="K1660">
        <v>20.9</v>
      </c>
      <c r="L1660">
        <v>-0.93700000000000006</v>
      </c>
    </row>
    <row r="1661" spans="1:12" x14ac:dyDescent="0.25">
      <c r="A1661">
        <v>1152882</v>
      </c>
      <c r="B1661">
        <v>3.851</v>
      </c>
      <c r="C1661">
        <v>3.8570000000000002</v>
      </c>
      <c r="D1661">
        <v>3.79</v>
      </c>
      <c r="E1661">
        <v>3.7240000000000002</v>
      </c>
      <c r="F1661">
        <v>4</v>
      </c>
      <c r="G1661">
        <v>3.8159999999999998</v>
      </c>
      <c r="H1661">
        <v>3.7589999999999999</v>
      </c>
      <c r="I1661">
        <v>3.7749999999999999</v>
      </c>
      <c r="J1661">
        <v>30.571999999999999</v>
      </c>
      <c r="K1661">
        <v>20.9</v>
      </c>
      <c r="L1661">
        <v>-0.95499999999999996</v>
      </c>
    </row>
    <row r="1662" spans="1:12" x14ac:dyDescent="0.25">
      <c r="A1662">
        <v>1157882</v>
      </c>
      <c r="B1662">
        <v>3.847</v>
      </c>
      <c r="C1662">
        <v>3.8620000000000001</v>
      </c>
      <c r="D1662">
        <v>3.79</v>
      </c>
      <c r="E1662">
        <v>3.7240000000000002</v>
      </c>
      <c r="F1662">
        <v>3.99</v>
      </c>
      <c r="G1662">
        <v>3.8149999999999999</v>
      </c>
      <c r="H1662">
        <v>3.7549999999999999</v>
      </c>
      <c r="I1662">
        <v>3.7690000000000001</v>
      </c>
      <c r="J1662">
        <v>30.552</v>
      </c>
      <c r="K1662">
        <v>20.8</v>
      </c>
      <c r="L1662">
        <v>-0.93899999999999995</v>
      </c>
    </row>
    <row r="1663" spans="1:12" x14ac:dyDescent="0.25">
      <c r="A1663">
        <v>1164529</v>
      </c>
      <c r="B1663">
        <v>3.847</v>
      </c>
      <c r="C1663">
        <v>3.8620000000000001</v>
      </c>
      <c r="D1663">
        <v>3.79</v>
      </c>
      <c r="E1663">
        <v>3.7240000000000002</v>
      </c>
      <c r="F1663">
        <v>3.99</v>
      </c>
      <c r="G1663">
        <v>3.8149999999999999</v>
      </c>
      <c r="H1663">
        <v>3.7549999999999999</v>
      </c>
      <c r="I1663">
        <v>3.7690000000000001</v>
      </c>
      <c r="J1663">
        <v>30.552</v>
      </c>
      <c r="K1663">
        <v>20.8</v>
      </c>
      <c r="L1663">
        <v>-0.93799999999999994</v>
      </c>
    </row>
    <row r="1664" spans="1:12" x14ac:dyDescent="0.25">
      <c r="A1664">
        <v>1170620</v>
      </c>
      <c r="B1664">
        <v>3.847</v>
      </c>
      <c r="C1664">
        <v>3.8620000000000001</v>
      </c>
      <c r="D1664">
        <v>3.79</v>
      </c>
      <c r="E1664">
        <v>3.7240000000000002</v>
      </c>
      <c r="F1664">
        <v>3.99</v>
      </c>
      <c r="G1664">
        <v>3.8149999999999999</v>
      </c>
      <c r="H1664">
        <v>3.7549999999999999</v>
      </c>
      <c r="I1664">
        <v>3.7690000000000001</v>
      </c>
      <c r="J1664">
        <v>30.552</v>
      </c>
      <c r="K1664">
        <v>20.8</v>
      </c>
      <c r="L1664">
        <v>-0.93200000000000005</v>
      </c>
    </row>
    <row r="1665" spans="1:12" x14ac:dyDescent="0.25">
      <c r="A1665">
        <v>1176710</v>
      </c>
      <c r="B1665">
        <v>3.847</v>
      </c>
      <c r="C1665">
        <v>3.8620000000000001</v>
      </c>
      <c r="D1665">
        <v>3.79</v>
      </c>
      <c r="E1665">
        <v>3.7240000000000002</v>
      </c>
      <c r="F1665">
        <v>3.99</v>
      </c>
      <c r="G1665">
        <v>3.8149999999999999</v>
      </c>
      <c r="H1665">
        <v>3.7549999999999999</v>
      </c>
      <c r="I1665">
        <v>3.7690000000000001</v>
      </c>
      <c r="J1665">
        <v>30.552</v>
      </c>
      <c r="K1665">
        <v>20.8</v>
      </c>
      <c r="L1665">
        <v>-0.92700000000000005</v>
      </c>
    </row>
    <row r="1666" spans="1:12" x14ac:dyDescent="0.25">
      <c r="A1666">
        <v>1182800</v>
      </c>
      <c r="B1666">
        <v>3.847</v>
      </c>
      <c r="C1666">
        <v>3.8620000000000001</v>
      </c>
      <c r="D1666">
        <v>3.79</v>
      </c>
      <c r="E1666">
        <v>3.7240000000000002</v>
      </c>
      <c r="F1666">
        <v>3.99</v>
      </c>
      <c r="G1666">
        <v>3.8149999999999999</v>
      </c>
      <c r="H1666">
        <v>3.7549999999999999</v>
      </c>
      <c r="I1666">
        <v>3.7690000000000001</v>
      </c>
      <c r="J1666">
        <v>30.552</v>
      </c>
      <c r="K1666">
        <v>20.8</v>
      </c>
      <c r="L1666">
        <v>-0.94099999999999995</v>
      </c>
    </row>
    <row r="1667" spans="1:12" x14ac:dyDescent="0.25">
      <c r="A1667">
        <v>1188894</v>
      </c>
      <c r="B1667">
        <v>3.847</v>
      </c>
      <c r="C1667">
        <v>3.8620000000000001</v>
      </c>
      <c r="D1667">
        <v>3.79</v>
      </c>
      <c r="E1667">
        <v>3.7240000000000002</v>
      </c>
      <c r="F1667">
        <v>3.99</v>
      </c>
      <c r="G1667">
        <v>3.8149999999999999</v>
      </c>
      <c r="H1667">
        <v>3.7549999999999999</v>
      </c>
      <c r="I1667">
        <v>3.7690000000000001</v>
      </c>
      <c r="J1667">
        <v>30.552</v>
      </c>
      <c r="K1667">
        <v>20.8</v>
      </c>
      <c r="L1667">
        <v>-0.93200000000000005</v>
      </c>
    </row>
    <row r="1668" spans="1:12" x14ac:dyDescent="0.25">
      <c r="A1668">
        <v>1194983</v>
      </c>
      <c r="B1668">
        <v>3.847</v>
      </c>
      <c r="C1668">
        <v>3.8620000000000001</v>
      </c>
      <c r="D1668">
        <v>3.79</v>
      </c>
      <c r="E1668">
        <v>3.7240000000000002</v>
      </c>
      <c r="F1668">
        <v>3.99</v>
      </c>
      <c r="G1668">
        <v>3.8149999999999999</v>
      </c>
      <c r="H1668">
        <v>3.7549999999999999</v>
      </c>
      <c r="I1668">
        <v>3.7690000000000001</v>
      </c>
      <c r="J1668">
        <v>30.552</v>
      </c>
      <c r="K1668">
        <v>20.8</v>
      </c>
      <c r="L1668">
        <v>-0.94899999999999995</v>
      </c>
    </row>
    <row r="1669" spans="1:12" x14ac:dyDescent="0.25">
      <c r="A1669">
        <v>1201074</v>
      </c>
      <c r="B1669">
        <v>3.847</v>
      </c>
      <c r="C1669">
        <v>3.8620000000000001</v>
      </c>
      <c r="D1669">
        <v>3.79</v>
      </c>
      <c r="E1669">
        <v>3.7240000000000002</v>
      </c>
      <c r="F1669">
        <v>3.99</v>
      </c>
      <c r="G1669">
        <v>3.8149999999999999</v>
      </c>
      <c r="H1669">
        <v>3.7549999999999999</v>
      </c>
      <c r="I1669">
        <v>3.7690000000000001</v>
      </c>
      <c r="J1669">
        <v>30.552</v>
      </c>
      <c r="K1669">
        <v>20.8</v>
      </c>
      <c r="L1669">
        <v>-0.94699999999999995</v>
      </c>
    </row>
    <row r="1670" spans="1:12" x14ac:dyDescent="0.25">
      <c r="A1670">
        <v>1207163</v>
      </c>
      <c r="B1670">
        <v>3.847</v>
      </c>
      <c r="C1670">
        <v>3.8620000000000001</v>
      </c>
      <c r="D1670">
        <v>3.79</v>
      </c>
      <c r="E1670">
        <v>3.7240000000000002</v>
      </c>
      <c r="F1670">
        <v>3.99</v>
      </c>
      <c r="G1670">
        <v>3.8149999999999999</v>
      </c>
      <c r="H1670">
        <v>3.7549999999999999</v>
      </c>
      <c r="I1670">
        <v>3.7690000000000001</v>
      </c>
      <c r="J1670">
        <v>30.552</v>
      </c>
      <c r="K1670">
        <v>20.8</v>
      </c>
      <c r="L1670">
        <v>-0.05</v>
      </c>
    </row>
    <row r="1671" spans="1:12" x14ac:dyDescent="0.25">
      <c r="A1671">
        <v>1213254</v>
      </c>
      <c r="B1671">
        <v>3.847</v>
      </c>
      <c r="C1671">
        <v>3.8620000000000001</v>
      </c>
      <c r="D1671">
        <v>3.79</v>
      </c>
      <c r="E1671">
        <v>3.7240000000000002</v>
      </c>
      <c r="F1671">
        <v>3.99</v>
      </c>
      <c r="G1671">
        <v>3.8149999999999999</v>
      </c>
      <c r="H1671">
        <v>3.7549999999999999</v>
      </c>
      <c r="I1671">
        <v>3.7690000000000001</v>
      </c>
      <c r="J1671">
        <v>30.552</v>
      </c>
      <c r="K1671">
        <v>20.8</v>
      </c>
      <c r="L1671">
        <v>-0.93400000000000005</v>
      </c>
    </row>
    <row r="1672" spans="1:12" x14ac:dyDescent="0.25">
      <c r="A1672">
        <v>1219343</v>
      </c>
      <c r="B1672">
        <v>3.847</v>
      </c>
      <c r="C1672">
        <v>3.8620000000000001</v>
      </c>
      <c r="D1672">
        <v>3.79</v>
      </c>
      <c r="E1672">
        <v>3.7240000000000002</v>
      </c>
      <c r="F1672">
        <v>3.99</v>
      </c>
      <c r="G1672">
        <v>3.8149999999999999</v>
      </c>
      <c r="H1672">
        <v>3.7549999999999999</v>
      </c>
      <c r="I1672">
        <v>3.7690000000000001</v>
      </c>
      <c r="J1672">
        <v>30.552</v>
      </c>
      <c r="K1672">
        <v>20.8</v>
      </c>
      <c r="L1672">
        <v>-0.92400000000000004</v>
      </c>
    </row>
    <row r="1673" spans="1:12" x14ac:dyDescent="0.25">
      <c r="A1673">
        <v>1225431</v>
      </c>
      <c r="B1673">
        <v>3.847</v>
      </c>
      <c r="C1673">
        <v>3.8620000000000001</v>
      </c>
      <c r="D1673">
        <v>3.79</v>
      </c>
      <c r="E1673">
        <v>3.7240000000000002</v>
      </c>
      <c r="F1673">
        <v>3.99</v>
      </c>
      <c r="G1673">
        <v>3.8149999999999999</v>
      </c>
      <c r="H1673">
        <v>3.7549999999999999</v>
      </c>
      <c r="I1673">
        <v>3.7690000000000001</v>
      </c>
      <c r="J1673">
        <v>30.552</v>
      </c>
      <c r="K1673">
        <v>20.8</v>
      </c>
      <c r="L1673">
        <v>-0.93400000000000005</v>
      </c>
    </row>
    <row r="1674" spans="1:12" x14ac:dyDescent="0.25">
      <c r="A1674">
        <v>1231519</v>
      </c>
      <c r="B1674">
        <v>3.847</v>
      </c>
      <c r="C1674">
        <v>3.8620000000000001</v>
      </c>
      <c r="D1674">
        <v>3.79</v>
      </c>
      <c r="E1674">
        <v>3.7240000000000002</v>
      </c>
      <c r="F1674">
        <v>3.99</v>
      </c>
      <c r="G1674">
        <v>3.8149999999999999</v>
      </c>
      <c r="H1674">
        <v>3.7549999999999999</v>
      </c>
      <c r="I1674">
        <v>3.7690000000000001</v>
      </c>
      <c r="J1674">
        <v>30.552</v>
      </c>
      <c r="K1674">
        <v>20.8</v>
      </c>
      <c r="L1674">
        <v>-0.93200000000000005</v>
      </c>
    </row>
    <row r="1675" spans="1:12" x14ac:dyDescent="0.25">
      <c r="A1675">
        <v>1237610</v>
      </c>
      <c r="B1675">
        <v>3.847</v>
      </c>
      <c r="C1675">
        <v>3.8620000000000001</v>
      </c>
      <c r="D1675">
        <v>3.79</v>
      </c>
      <c r="E1675">
        <v>3.7240000000000002</v>
      </c>
      <c r="F1675">
        <v>3.99</v>
      </c>
      <c r="G1675">
        <v>3.8149999999999999</v>
      </c>
      <c r="H1675">
        <v>3.7549999999999999</v>
      </c>
      <c r="I1675">
        <v>3.7690000000000001</v>
      </c>
      <c r="J1675">
        <v>30.552</v>
      </c>
      <c r="K1675">
        <v>20.8</v>
      </c>
      <c r="L1675">
        <v>-0.92700000000000005</v>
      </c>
    </row>
    <row r="1676" spans="1:12" x14ac:dyDescent="0.25">
      <c r="A1676">
        <v>1243701</v>
      </c>
      <c r="B1676">
        <v>3.847</v>
      </c>
      <c r="C1676">
        <v>3.8620000000000001</v>
      </c>
      <c r="D1676">
        <v>3.79</v>
      </c>
      <c r="E1676">
        <v>3.7240000000000002</v>
      </c>
      <c r="F1676">
        <v>3.99</v>
      </c>
      <c r="G1676">
        <v>3.8149999999999999</v>
      </c>
      <c r="H1676">
        <v>3.7549999999999999</v>
      </c>
      <c r="I1676">
        <v>3.7690000000000001</v>
      </c>
      <c r="J1676">
        <v>30.552</v>
      </c>
      <c r="K1676">
        <v>20.8</v>
      </c>
      <c r="L1676">
        <v>-0.94499999999999995</v>
      </c>
    </row>
    <row r="1677" spans="1:12" x14ac:dyDescent="0.25">
      <c r="A1677">
        <v>1249789</v>
      </c>
      <c r="B1677">
        <v>3.847</v>
      </c>
      <c r="C1677">
        <v>3.8620000000000001</v>
      </c>
      <c r="D1677">
        <v>3.79</v>
      </c>
      <c r="E1677">
        <v>3.7240000000000002</v>
      </c>
      <c r="F1677">
        <v>3.99</v>
      </c>
      <c r="G1677">
        <v>3.8149999999999999</v>
      </c>
      <c r="H1677">
        <v>3.7549999999999999</v>
      </c>
      <c r="I1677">
        <v>3.7690000000000001</v>
      </c>
      <c r="J1677">
        <v>30.552</v>
      </c>
      <c r="K1677">
        <v>20.8</v>
      </c>
      <c r="L1677">
        <v>-0.94499999999999995</v>
      </c>
    </row>
    <row r="1678" spans="1:12" x14ac:dyDescent="0.25">
      <c r="A1678">
        <v>1255880</v>
      </c>
      <c r="B1678">
        <v>3.847</v>
      </c>
      <c r="C1678">
        <v>3.8620000000000001</v>
      </c>
      <c r="D1678">
        <v>3.79</v>
      </c>
      <c r="E1678">
        <v>3.7240000000000002</v>
      </c>
      <c r="F1678">
        <v>3.99</v>
      </c>
      <c r="G1678">
        <v>3.8149999999999999</v>
      </c>
      <c r="H1678">
        <v>3.7549999999999999</v>
      </c>
      <c r="I1678">
        <v>3.7690000000000001</v>
      </c>
      <c r="J1678">
        <v>30.552</v>
      </c>
      <c r="K1678">
        <v>20.8</v>
      </c>
      <c r="L1678">
        <v>-0.93100000000000005</v>
      </c>
    </row>
    <row r="1679" spans="1:12" x14ac:dyDescent="0.25">
      <c r="A1679">
        <v>1261969</v>
      </c>
      <c r="B1679">
        <v>3.847</v>
      </c>
      <c r="C1679">
        <v>3.8620000000000001</v>
      </c>
      <c r="D1679">
        <v>3.79</v>
      </c>
      <c r="E1679">
        <v>3.7240000000000002</v>
      </c>
      <c r="F1679">
        <v>3.99</v>
      </c>
      <c r="G1679">
        <v>3.8149999999999999</v>
      </c>
      <c r="H1679">
        <v>3.7549999999999999</v>
      </c>
      <c r="I1679">
        <v>3.7690000000000001</v>
      </c>
      <c r="J1679">
        <v>30.552</v>
      </c>
      <c r="K1679">
        <v>20.8</v>
      </c>
      <c r="L1679">
        <v>-4.2000000000000003E-2</v>
      </c>
    </row>
    <row r="1680" spans="1:12" x14ac:dyDescent="0.25">
      <c r="A1680">
        <v>1268058</v>
      </c>
      <c r="B1680">
        <v>3.847</v>
      </c>
      <c r="C1680">
        <v>3.8620000000000001</v>
      </c>
      <c r="D1680">
        <v>3.79</v>
      </c>
      <c r="E1680">
        <v>3.7240000000000002</v>
      </c>
      <c r="F1680">
        <v>3.99</v>
      </c>
      <c r="G1680">
        <v>3.8149999999999999</v>
      </c>
      <c r="H1680">
        <v>3.7549999999999999</v>
      </c>
      <c r="I1680">
        <v>3.7690000000000001</v>
      </c>
      <c r="J1680">
        <v>30.552</v>
      </c>
      <c r="K1680">
        <v>20.8</v>
      </c>
      <c r="L1680">
        <v>-4.9000000000000002E-2</v>
      </c>
    </row>
    <row r="1681" spans="1:12" x14ac:dyDescent="0.25">
      <c r="A1681">
        <v>1274146</v>
      </c>
      <c r="B1681">
        <v>3.847</v>
      </c>
      <c r="C1681">
        <v>3.8620000000000001</v>
      </c>
      <c r="D1681">
        <v>3.79</v>
      </c>
      <c r="E1681">
        <v>3.7240000000000002</v>
      </c>
      <c r="F1681">
        <v>3.99</v>
      </c>
      <c r="G1681">
        <v>3.8149999999999999</v>
      </c>
      <c r="H1681">
        <v>3.7549999999999999</v>
      </c>
      <c r="I1681">
        <v>3.7690000000000001</v>
      </c>
      <c r="J1681">
        <v>30.552</v>
      </c>
      <c r="K1681">
        <v>20.8</v>
      </c>
      <c r="L1681">
        <v>-6.0999999999999999E-2</v>
      </c>
    </row>
    <row r="1682" spans="1:12" x14ac:dyDescent="0.25">
      <c r="A1682">
        <v>1280237</v>
      </c>
      <c r="B1682">
        <v>3.847</v>
      </c>
      <c r="C1682">
        <v>3.8620000000000001</v>
      </c>
      <c r="D1682">
        <v>3.79</v>
      </c>
      <c r="E1682">
        <v>3.7240000000000002</v>
      </c>
      <c r="F1682">
        <v>3.99</v>
      </c>
      <c r="G1682">
        <v>3.8149999999999999</v>
      </c>
      <c r="H1682">
        <v>3.7549999999999999</v>
      </c>
      <c r="I1682">
        <v>3.7690000000000001</v>
      </c>
      <c r="J1682">
        <v>30.552</v>
      </c>
      <c r="K1682">
        <v>20.8</v>
      </c>
      <c r="L1682">
        <v>-4.7E-2</v>
      </c>
    </row>
    <row r="1683" spans="1:12" x14ac:dyDescent="0.25">
      <c r="A1683">
        <v>1286326</v>
      </c>
      <c r="B1683">
        <v>3.847</v>
      </c>
      <c r="C1683">
        <v>3.8620000000000001</v>
      </c>
      <c r="D1683">
        <v>3.79</v>
      </c>
      <c r="E1683">
        <v>3.7240000000000002</v>
      </c>
      <c r="F1683">
        <v>3.99</v>
      </c>
      <c r="G1683">
        <v>3.8149999999999999</v>
      </c>
      <c r="H1683">
        <v>3.7549999999999999</v>
      </c>
      <c r="I1683">
        <v>3.7690000000000001</v>
      </c>
      <c r="J1683">
        <v>30.552</v>
      </c>
      <c r="K1683">
        <v>20.8</v>
      </c>
      <c r="L1683">
        <v>-4.1000000000000002E-2</v>
      </c>
    </row>
    <row r="1684" spans="1:12" x14ac:dyDescent="0.25">
      <c r="A1684">
        <v>8935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-2.1999999999999999E-2</v>
      </c>
    </row>
    <row r="1685" spans="1:12" x14ac:dyDescent="0.25">
      <c r="A1685">
        <v>13948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-8.0000000000000002E-3</v>
      </c>
    </row>
    <row r="1686" spans="1:12" x14ac:dyDescent="0.25">
      <c r="A1686">
        <v>20035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8.0000000000000002E-3</v>
      </c>
    </row>
    <row r="1687" spans="1:12" x14ac:dyDescent="0.25">
      <c r="A1687">
        <v>26120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-7.0000000000000001E-3</v>
      </c>
    </row>
    <row r="1688" spans="1:12" x14ac:dyDescent="0.25">
      <c r="A1688">
        <v>32205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-1.2E-2</v>
      </c>
    </row>
    <row r="1689" spans="1:12" x14ac:dyDescent="0.25">
      <c r="A1689">
        <v>38297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-7.0000000000000001E-3</v>
      </c>
    </row>
    <row r="1690" spans="1:12" x14ac:dyDescent="0.25">
      <c r="A1690">
        <v>44385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2E-3</v>
      </c>
    </row>
    <row r="1691" spans="1:12" x14ac:dyDescent="0.25">
      <c r="A1691">
        <v>50475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-5.0000000000000001E-3</v>
      </c>
    </row>
    <row r="1692" spans="1:12" x14ac:dyDescent="0.25">
      <c r="A1692">
        <v>55484</v>
      </c>
      <c r="B1692">
        <v>3.895</v>
      </c>
      <c r="C1692">
        <v>3.919</v>
      </c>
      <c r="D1692">
        <v>3.8439999999999999</v>
      </c>
      <c r="E1692">
        <v>3.7610000000000001</v>
      </c>
      <c r="F1692">
        <v>4.0529999999999999</v>
      </c>
      <c r="G1692">
        <v>3.9159999999999999</v>
      </c>
      <c r="H1692">
        <v>3.8330000000000002</v>
      </c>
      <c r="I1692">
        <v>3.851</v>
      </c>
      <c r="J1692">
        <v>31.071999999999999</v>
      </c>
      <c r="K1692">
        <v>20.9</v>
      </c>
      <c r="L1692">
        <v>-2.1999999999999999E-2</v>
      </c>
    </row>
    <row r="1693" spans="1:12" x14ac:dyDescent="0.25">
      <c r="A1693">
        <v>60488</v>
      </c>
      <c r="B1693">
        <v>3.9</v>
      </c>
      <c r="C1693">
        <v>3.9140000000000001</v>
      </c>
      <c r="D1693">
        <v>3.8439999999999999</v>
      </c>
      <c r="E1693">
        <v>3.7789999999999999</v>
      </c>
      <c r="F1693">
        <v>4.0350000000000001</v>
      </c>
      <c r="G1693">
        <v>3.8879999999999999</v>
      </c>
      <c r="H1693">
        <v>3.8290000000000002</v>
      </c>
      <c r="I1693">
        <v>3.8450000000000002</v>
      </c>
      <c r="J1693">
        <v>31.033999999999999</v>
      </c>
      <c r="K1693">
        <v>21</v>
      </c>
      <c r="L1693">
        <v>-2.5999999999999999E-2</v>
      </c>
    </row>
    <row r="1694" spans="1:12" x14ac:dyDescent="0.25">
      <c r="A1694">
        <v>65491</v>
      </c>
      <c r="B1694">
        <v>3.9</v>
      </c>
      <c r="C1694">
        <v>3.923</v>
      </c>
      <c r="D1694">
        <v>3.835</v>
      </c>
      <c r="E1694">
        <v>3.7789999999999999</v>
      </c>
      <c r="F1694">
        <v>4.0350000000000001</v>
      </c>
      <c r="G1694">
        <v>3.8879999999999999</v>
      </c>
      <c r="H1694">
        <v>3.8290000000000002</v>
      </c>
      <c r="I1694">
        <v>3.883</v>
      </c>
      <c r="J1694">
        <v>31.071999999999999</v>
      </c>
      <c r="K1694">
        <v>20.9</v>
      </c>
      <c r="L1694">
        <v>-1.2E-2</v>
      </c>
    </row>
    <row r="1695" spans="1:12" x14ac:dyDescent="0.25">
      <c r="A1695">
        <v>70491</v>
      </c>
      <c r="B1695">
        <v>3.9</v>
      </c>
      <c r="C1695">
        <v>3.9140000000000001</v>
      </c>
      <c r="D1695">
        <v>3.8439999999999999</v>
      </c>
      <c r="E1695">
        <v>3.7789999999999999</v>
      </c>
      <c r="F1695">
        <v>4.008</v>
      </c>
      <c r="G1695">
        <v>3.944</v>
      </c>
      <c r="H1695">
        <v>3.8330000000000002</v>
      </c>
      <c r="I1695">
        <v>3.8119999999999998</v>
      </c>
      <c r="J1695">
        <v>31.033999999999999</v>
      </c>
      <c r="K1695">
        <v>20.9</v>
      </c>
      <c r="L1695">
        <v>-2.7E-2</v>
      </c>
    </row>
    <row r="1696" spans="1:12" x14ac:dyDescent="0.25">
      <c r="A1696">
        <v>75493</v>
      </c>
      <c r="B1696">
        <v>3.9</v>
      </c>
      <c r="C1696">
        <v>3.9140000000000001</v>
      </c>
      <c r="D1696">
        <v>3.8439999999999999</v>
      </c>
      <c r="E1696">
        <v>3.7610000000000001</v>
      </c>
      <c r="F1696">
        <v>4.0350000000000001</v>
      </c>
      <c r="G1696">
        <v>3.8879999999999999</v>
      </c>
      <c r="H1696">
        <v>3.8290000000000002</v>
      </c>
      <c r="I1696">
        <v>3.883</v>
      </c>
      <c r="J1696">
        <v>31.053999999999998</v>
      </c>
      <c r="K1696">
        <v>20.9</v>
      </c>
      <c r="L1696">
        <v>-1.6E-2</v>
      </c>
    </row>
    <row r="1697" spans="1:12" x14ac:dyDescent="0.25">
      <c r="A1697">
        <v>80504</v>
      </c>
      <c r="B1697">
        <v>3.9</v>
      </c>
      <c r="C1697">
        <v>3.9140000000000001</v>
      </c>
      <c r="D1697">
        <v>3.8290000000000002</v>
      </c>
      <c r="E1697">
        <v>3.7749999999999999</v>
      </c>
      <c r="F1697">
        <v>4.0170000000000003</v>
      </c>
      <c r="G1697">
        <v>3.9159999999999999</v>
      </c>
      <c r="H1697">
        <v>3.8</v>
      </c>
      <c r="I1697">
        <v>3.883</v>
      </c>
      <c r="J1697">
        <v>31.033999999999999</v>
      </c>
      <c r="K1697">
        <v>20.9</v>
      </c>
      <c r="L1697">
        <v>-1.0999999999999999E-2</v>
      </c>
    </row>
    <row r="1698" spans="1:12" x14ac:dyDescent="0.25">
      <c r="A1698">
        <v>85511</v>
      </c>
      <c r="B1698">
        <v>3.8759999999999999</v>
      </c>
      <c r="C1698">
        <v>3.8849999999999998</v>
      </c>
      <c r="D1698">
        <v>3.8239999999999998</v>
      </c>
      <c r="E1698">
        <v>3.7440000000000002</v>
      </c>
      <c r="F1698">
        <v>3.996</v>
      </c>
      <c r="G1698">
        <v>3.8820000000000001</v>
      </c>
      <c r="H1698">
        <v>3.8039999999999998</v>
      </c>
      <c r="I1698">
        <v>3.7679999999999998</v>
      </c>
      <c r="J1698">
        <v>30.779</v>
      </c>
      <c r="K1698">
        <v>20.9</v>
      </c>
      <c r="L1698">
        <v>-0.70399999999999996</v>
      </c>
    </row>
    <row r="1699" spans="1:12" x14ac:dyDescent="0.25">
      <c r="A1699">
        <v>90511</v>
      </c>
      <c r="B1699">
        <v>3.8559999999999999</v>
      </c>
      <c r="C1699">
        <v>3.8610000000000002</v>
      </c>
      <c r="D1699">
        <v>3.81</v>
      </c>
      <c r="E1699">
        <v>3.7309999999999999</v>
      </c>
      <c r="F1699">
        <v>3.984</v>
      </c>
      <c r="G1699">
        <v>3.8479999999999999</v>
      </c>
      <c r="H1699">
        <v>3.78</v>
      </c>
      <c r="I1699">
        <v>3.7679999999999998</v>
      </c>
      <c r="J1699">
        <v>30.638000000000002</v>
      </c>
      <c r="K1699">
        <v>21</v>
      </c>
      <c r="L1699">
        <v>-0.97</v>
      </c>
    </row>
    <row r="1700" spans="1:12" x14ac:dyDescent="0.25">
      <c r="A1700">
        <v>95513</v>
      </c>
      <c r="B1700">
        <v>3.851</v>
      </c>
      <c r="C1700">
        <v>3.8650000000000002</v>
      </c>
      <c r="D1700">
        <v>3.7949999999999999</v>
      </c>
      <c r="E1700">
        <v>3.7269999999999999</v>
      </c>
      <c r="F1700">
        <v>4.0199999999999996</v>
      </c>
      <c r="G1700">
        <v>3.7909999999999999</v>
      </c>
      <c r="H1700">
        <v>3.8039999999999998</v>
      </c>
      <c r="I1700">
        <v>3.762</v>
      </c>
      <c r="J1700">
        <v>30.614999999999998</v>
      </c>
      <c r="K1700">
        <v>20.9</v>
      </c>
      <c r="L1700">
        <v>-0.95899999999999996</v>
      </c>
    </row>
    <row r="1701" spans="1:12" x14ac:dyDescent="0.25">
      <c r="A1701">
        <v>100518</v>
      </c>
      <c r="B1701">
        <v>3.847</v>
      </c>
      <c r="C1701">
        <v>3.8620000000000001</v>
      </c>
      <c r="D1701">
        <v>3.8039999999999998</v>
      </c>
      <c r="E1701">
        <v>3.71</v>
      </c>
      <c r="F1701">
        <v>3.992</v>
      </c>
      <c r="G1701">
        <v>3.819</v>
      </c>
      <c r="H1701">
        <v>3.7709999999999999</v>
      </c>
      <c r="I1701">
        <v>3.7559999999999998</v>
      </c>
      <c r="J1701">
        <v>30.561</v>
      </c>
      <c r="K1701">
        <v>20.9</v>
      </c>
      <c r="L1701">
        <v>-0.97</v>
      </c>
    </row>
    <row r="1702" spans="1:12" x14ac:dyDescent="0.25">
      <c r="A1702">
        <v>105520</v>
      </c>
      <c r="B1702">
        <v>3.847</v>
      </c>
      <c r="C1702">
        <v>3.8620000000000001</v>
      </c>
      <c r="D1702">
        <v>3.79</v>
      </c>
      <c r="E1702">
        <v>3.7240000000000002</v>
      </c>
      <c r="F1702">
        <v>3.992</v>
      </c>
      <c r="G1702">
        <v>3.819</v>
      </c>
      <c r="H1702">
        <v>3.7709999999999999</v>
      </c>
      <c r="I1702">
        <v>3.7559999999999998</v>
      </c>
      <c r="J1702">
        <v>30.561</v>
      </c>
      <c r="K1702">
        <v>20.9</v>
      </c>
      <c r="L1702">
        <v>-0.97599999999999998</v>
      </c>
    </row>
    <row r="1703" spans="1:12" x14ac:dyDescent="0.25">
      <c r="A1703">
        <v>110525</v>
      </c>
      <c r="B1703">
        <v>3.847</v>
      </c>
      <c r="C1703">
        <v>3.8620000000000001</v>
      </c>
      <c r="D1703">
        <v>3.79</v>
      </c>
      <c r="E1703">
        <v>3.706</v>
      </c>
      <c r="F1703">
        <v>3.992</v>
      </c>
      <c r="G1703">
        <v>3.819</v>
      </c>
      <c r="H1703">
        <v>3.7389999999999999</v>
      </c>
      <c r="I1703">
        <v>3.7490000000000001</v>
      </c>
      <c r="J1703">
        <v>30.504000000000001</v>
      </c>
      <c r="K1703">
        <v>20.9</v>
      </c>
      <c r="L1703">
        <v>-0.96699999999999997</v>
      </c>
    </row>
    <row r="1704" spans="1:12" x14ac:dyDescent="0.25">
      <c r="A1704">
        <v>115533</v>
      </c>
      <c r="B1704">
        <v>3.847</v>
      </c>
      <c r="C1704">
        <v>3.8530000000000002</v>
      </c>
      <c r="D1704">
        <v>3.798</v>
      </c>
      <c r="E1704">
        <v>3.706</v>
      </c>
      <c r="F1704">
        <v>3.9830000000000001</v>
      </c>
      <c r="G1704">
        <v>3.8180000000000001</v>
      </c>
      <c r="H1704">
        <v>3.7669999999999999</v>
      </c>
      <c r="I1704">
        <v>3.7879999999999998</v>
      </c>
      <c r="J1704">
        <v>30.56</v>
      </c>
      <c r="K1704">
        <v>21</v>
      </c>
      <c r="L1704">
        <v>-0.96899999999999997</v>
      </c>
    </row>
    <row r="1705" spans="1:12" x14ac:dyDescent="0.25">
      <c r="A1705">
        <v>120533</v>
      </c>
      <c r="B1705">
        <v>3.8420000000000001</v>
      </c>
      <c r="C1705">
        <v>3.8580000000000001</v>
      </c>
      <c r="D1705">
        <v>3.7839999999999998</v>
      </c>
      <c r="E1705">
        <v>3.7210000000000001</v>
      </c>
      <c r="F1705">
        <v>3.9830000000000001</v>
      </c>
      <c r="G1705">
        <v>3.8180000000000001</v>
      </c>
      <c r="H1705">
        <v>3.7349999999999999</v>
      </c>
      <c r="I1705">
        <v>3.782</v>
      </c>
      <c r="J1705">
        <v>30.523</v>
      </c>
      <c r="K1705">
        <v>21</v>
      </c>
      <c r="L1705">
        <v>-0.96</v>
      </c>
    </row>
    <row r="1706" spans="1:12" x14ac:dyDescent="0.25">
      <c r="A1706">
        <v>125540</v>
      </c>
      <c r="B1706">
        <v>3.8420000000000001</v>
      </c>
      <c r="C1706">
        <v>3.8580000000000001</v>
      </c>
      <c r="D1706">
        <v>3.7839999999999998</v>
      </c>
      <c r="E1706">
        <v>3.7210000000000001</v>
      </c>
      <c r="F1706">
        <v>3.956</v>
      </c>
      <c r="G1706">
        <v>3.8450000000000002</v>
      </c>
      <c r="H1706">
        <v>3.7349999999999999</v>
      </c>
      <c r="I1706">
        <v>3.782</v>
      </c>
      <c r="J1706">
        <v>30.523</v>
      </c>
      <c r="K1706">
        <v>21</v>
      </c>
      <c r="L1706">
        <v>-0.97</v>
      </c>
    </row>
    <row r="1707" spans="1:12" x14ac:dyDescent="0.25">
      <c r="A1707">
        <v>130541</v>
      </c>
      <c r="B1707">
        <v>3.8420000000000001</v>
      </c>
      <c r="C1707">
        <v>3.8580000000000001</v>
      </c>
      <c r="D1707">
        <v>3.7839999999999998</v>
      </c>
      <c r="E1707">
        <v>3.7210000000000001</v>
      </c>
      <c r="F1707">
        <v>4.0010000000000003</v>
      </c>
      <c r="G1707">
        <v>3.7890000000000001</v>
      </c>
      <c r="H1707">
        <v>3.7959999999999998</v>
      </c>
      <c r="I1707">
        <v>3.7490000000000001</v>
      </c>
      <c r="J1707">
        <v>30.54</v>
      </c>
      <c r="K1707">
        <v>20.9</v>
      </c>
      <c r="L1707">
        <v>-0.97199999999999998</v>
      </c>
    </row>
    <row r="1708" spans="1:12" x14ac:dyDescent="0.25">
      <c r="A1708">
        <v>135544</v>
      </c>
      <c r="B1708">
        <v>3.8420000000000001</v>
      </c>
      <c r="C1708">
        <v>3.8490000000000002</v>
      </c>
      <c r="D1708">
        <v>3.7930000000000001</v>
      </c>
      <c r="E1708">
        <v>3.7029999999999998</v>
      </c>
      <c r="F1708">
        <v>4.0190000000000001</v>
      </c>
      <c r="G1708">
        <v>3.8180000000000001</v>
      </c>
      <c r="H1708">
        <v>3.7349999999999999</v>
      </c>
      <c r="I1708">
        <v>3.7429999999999999</v>
      </c>
      <c r="J1708">
        <v>30.501999999999999</v>
      </c>
      <c r="K1708">
        <v>20.9</v>
      </c>
      <c r="L1708">
        <v>-0.96899999999999997</v>
      </c>
    </row>
    <row r="1709" spans="1:12" x14ac:dyDescent="0.25">
      <c r="A1709">
        <v>140550</v>
      </c>
      <c r="B1709">
        <v>3.8420000000000001</v>
      </c>
      <c r="C1709">
        <v>3.8490000000000002</v>
      </c>
      <c r="D1709">
        <v>3.7930000000000001</v>
      </c>
      <c r="E1709">
        <v>3.7029999999999998</v>
      </c>
      <c r="F1709">
        <v>3.9729999999999999</v>
      </c>
      <c r="G1709">
        <v>3.8170000000000002</v>
      </c>
      <c r="H1709">
        <v>3.7629999999999999</v>
      </c>
      <c r="I1709">
        <v>3.7429999999999999</v>
      </c>
      <c r="J1709">
        <v>30.483000000000001</v>
      </c>
      <c r="K1709">
        <v>20.9</v>
      </c>
      <c r="L1709">
        <v>-0.97299999999999998</v>
      </c>
    </row>
    <row r="1710" spans="1:12" x14ac:dyDescent="0.25">
      <c r="A1710">
        <v>145550</v>
      </c>
      <c r="B1710">
        <v>3.8420000000000001</v>
      </c>
      <c r="C1710">
        <v>3.8490000000000002</v>
      </c>
      <c r="D1710">
        <v>3.778</v>
      </c>
      <c r="E1710">
        <v>3.7170000000000001</v>
      </c>
      <c r="F1710">
        <v>3.9729999999999999</v>
      </c>
      <c r="G1710">
        <v>3.8170000000000002</v>
      </c>
      <c r="H1710">
        <v>3.7629999999999999</v>
      </c>
      <c r="I1710">
        <v>3.7429999999999999</v>
      </c>
      <c r="J1710">
        <v>30.481999999999999</v>
      </c>
      <c r="K1710">
        <v>20.9</v>
      </c>
      <c r="L1710">
        <v>-0.96499999999999997</v>
      </c>
    </row>
    <row r="1711" spans="1:12" x14ac:dyDescent="0.25">
      <c r="A1711">
        <v>150557</v>
      </c>
      <c r="B1711">
        <v>3.8420000000000001</v>
      </c>
      <c r="C1711">
        <v>3.8490000000000002</v>
      </c>
      <c r="D1711">
        <v>3.778</v>
      </c>
      <c r="E1711">
        <v>3.7170000000000001</v>
      </c>
      <c r="F1711">
        <v>3.9729999999999999</v>
      </c>
      <c r="G1711">
        <v>3.8170000000000002</v>
      </c>
      <c r="H1711">
        <v>3.7309999999999999</v>
      </c>
      <c r="I1711">
        <v>3.7749999999999999</v>
      </c>
      <c r="J1711">
        <v>30.481999999999999</v>
      </c>
      <c r="K1711">
        <v>21</v>
      </c>
      <c r="L1711">
        <v>-0.96899999999999997</v>
      </c>
    </row>
    <row r="1712" spans="1:12" x14ac:dyDescent="0.25">
      <c r="A1712">
        <v>155564</v>
      </c>
      <c r="B1712">
        <v>3.8370000000000002</v>
      </c>
      <c r="C1712">
        <v>3.8450000000000002</v>
      </c>
      <c r="D1712">
        <v>3.7869999999999999</v>
      </c>
      <c r="E1712">
        <v>3.7170000000000001</v>
      </c>
      <c r="F1712">
        <v>3.9910000000000001</v>
      </c>
      <c r="G1712">
        <v>3.7879999999999998</v>
      </c>
      <c r="H1712">
        <v>3.7919999999999998</v>
      </c>
      <c r="I1712">
        <v>3.7429999999999999</v>
      </c>
      <c r="J1712">
        <v>30.5</v>
      </c>
      <c r="K1712">
        <v>21</v>
      </c>
      <c r="L1712">
        <v>-0.96499999999999997</v>
      </c>
    </row>
    <row r="1713" spans="1:12" x14ac:dyDescent="0.25">
      <c r="A1713">
        <v>160572</v>
      </c>
      <c r="B1713">
        <v>3.8370000000000002</v>
      </c>
      <c r="C1713">
        <v>3.8450000000000002</v>
      </c>
      <c r="D1713">
        <v>3.7869999999999999</v>
      </c>
      <c r="E1713">
        <v>3.7170000000000001</v>
      </c>
      <c r="F1713">
        <v>3.9910000000000001</v>
      </c>
      <c r="G1713">
        <v>3.7879999999999998</v>
      </c>
      <c r="H1713">
        <v>3.7589999999999999</v>
      </c>
      <c r="I1713">
        <v>3.7749999999999999</v>
      </c>
      <c r="J1713">
        <v>30.498999999999999</v>
      </c>
      <c r="K1713">
        <v>21</v>
      </c>
      <c r="L1713">
        <v>-0.98599999999999999</v>
      </c>
    </row>
    <row r="1714" spans="1:12" x14ac:dyDescent="0.25">
      <c r="A1714">
        <v>165579</v>
      </c>
      <c r="B1714">
        <v>3.8319999999999999</v>
      </c>
      <c r="C1714">
        <v>3.85</v>
      </c>
      <c r="D1714">
        <v>3.7719999999999998</v>
      </c>
      <c r="E1714">
        <v>3.714</v>
      </c>
      <c r="F1714">
        <v>3.964</v>
      </c>
      <c r="G1714">
        <v>3.8439999999999999</v>
      </c>
      <c r="H1714">
        <v>3.7309999999999999</v>
      </c>
      <c r="I1714">
        <v>3.7370000000000001</v>
      </c>
      <c r="J1714">
        <v>30.443999999999999</v>
      </c>
      <c r="K1714">
        <v>21</v>
      </c>
      <c r="L1714">
        <v>-0.97899999999999998</v>
      </c>
    </row>
    <row r="1715" spans="1:12" x14ac:dyDescent="0.25">
      <c r="A1715">
        <v>170579</v>
      </c>
      <c r="B1715">
        <v>3.8370000000000002</v>
      </c>
      <c r="C1715">
        <v>3.8450000000000002</v>
      </c>
      <c r="D1715">
        <v>3.7869999999999999</v>
      </c>
      <c r="E1715">
        <v>3.7</v>
      </c>
      <c r="F1715">
        <v>3.964</v>
      </c>
      <c r="G1715">
        <v>3.8159999999999998</v>
      </c>
      <c r="H1715">
        <v>3.7589999999999999</v>
      </c>
      <c r="I1715">
        <v>3.7370000000000001</v>
      </c>
      <c r="J1715">
        <v>30.445</v>
      </c>
      <c r="K1715">
        <v>20.9</v>
      </c>
      <c r="L1715">
        <v>-0.97499999999999998</v>
      </c>
    </row>
    <row r="1716" spans="1:12" x14ac:dyDescent="0.25">
      <c r="A1716">
        <v>175586</v>
      </c>
      <c r="B1716">
        <v>3.8370000000000002</v>
      </c>
      <c r="C1716">
        <v>3.8450000000000002</v>
      </c>
      <c r="D1716">
        <v>3.7719999999999998</v>
      </c>
      <c r="E1716">
        <v>3.714</v>
      </c>
      <c r="F1716">
        <v>3.9910000000000001</v>
      </c>
      <c r="G1716">
        <v>3.7879999999999998</v>
      </c>
      <c r="H1716">
        <v>3.7589999999999999</v>
      </c>
      <c r="I1716">
        <v>3.7370000000000001</v>
      </c>
      <c r="J1716">
        <v>30.443000000000001</v>
      </c>
      <c r="K1716">
        <v>21</v>
      </c>
      <c r="L1716">
        <v>-0.97899999999999998</v>
      </c>
    </row>
    <row r="1717" spans="1:12" x14ac:dyDescent="0.25">
      <c r="A1717">
        <v>180592</v>
      </c>
      <c r="B1717">
        <v>3.8319999999999999</v>
      </c>
      <c r="C1717">
        <v>3.85</v>
      </c>
      <c r="D1717">
        <v>3.7719999999999998</v>
      </c>
      <c r="E1717">
        <v>3.714</v>
      </c>
      <c r="F1717">
        <v>3.9820000000000002</v>
      </c>
      <c r="G1717">
        <v>3.8159999999999998</v>
      </c>
      <c r="H1717">
        <v>3.7589999999999999</v>
      </c>
      <c r="I1717">
        <v>3.7370000000000001</v>
      </c>
      <c r="J1717">
        <v>30.462</v>
      </c>
      <c r="K1717">
        <v>20.9</v>
      </c>
      <c r="L1717">
        <v>-0.96899999999999997</v>
      </c>
    </row>
    <row r="1718" spans="1:12" x14ac:dyDescent="0.25">
      <c r="A1718">
        <v>185594</v>
      </c>
      <c r="B1718">
        <v>3.8319999999999999</v>
      </c>
      <c r="C1718">
        <v>3.8410000000000002</v>
      </c>
      <c r="D1718">
        <v>3.7810000000000001</v>
      </c>
      <c r="E1718">
        <v>3.714</v>
      </c>
      <c r="F1718">
        <v>3.9540000000000002</v>
      </c>
      <c r="G1718">
        <v>3.843</v>
      </c>
      <c r="H1718">
        <v>3.7589999999999999</v>
      </c>
      <c r="I1718">
        <v>3.7370000000000001</v>
      </c>
      <c r="J1718">
        <v>30.460999999999999</v>
      </c>
      <c r="K1718">
        <v>21</v>
      </c>
      <c r="L1718">
        <v>-0.95399999999999996</v>
      </c>
    </row>
    <row r="1719" spans="1:12" x14ac:dyDescent="0.25">
      <c r="A1719">
        <v>190594</v>
      </c>
      <c r="B1719">
        <v>3.8319999999999999</v>
      </c>
      <c r="C1719">
        <v>3.8410000000000002</v>
      </c>
      <c r="D1719">
        <v>3.7810000000000001</v>
      </c>
      <c r="E1719">
        <v>3.714</v>
      </c>
      <c r="F1719">
        <v>3.9820000000000002</v>
      </c>
      <c r="G1719">
        <v>3.8159999999999998</v>
      </c>
      <c r="H1719">
        <v>3.7269999999999999</v>
      </c>
      <c r="I1719">
        <v>3.7690000000000001</v>
      </c>
      <c r="J1719">
        <v>30.462</v>
      </c>
      <c r="K1719">
        <v>21</v>
      </c>
      <c r="L1719">
        <v>-0.98199999999999998</v>
      </c>
    </row>
    <row r="1720" spans="1:12" x14ac:dyDescent="0.25">
      <c r="A1720">
        <v>195598</v>
      </c>
      <c r="B1720">
        <v>3.8319999999999999</v>
      </c>
      <c r="C1720">
        <v>3.8319999999999999</v>
      </c>
      <c r="D1720">
        <v>3.79</v>
      </c>
      <c r="E1720">
        <v>3.6960000000000002</v>
      </c>
      <c r="F1720">
        <v>3.9820000000000002</v>
      </c>
      <c r="G1720">
        <v>3.7869999999999999</v>
      </c>
      <c r="H1720">
        <v>3.7549999999999999</v>
      </c>
      <c r="I1720">
        <v>3.73</v>
      </c>
      <c r="J1720">
        <v>30.404</v>
      </c>
      <c r="K1720">
        <v>21</v>
      </c>
      <c r="L1720">
        <v>-0.96599999999999997</v>
      </c>
    </row>
    <row r="1721" spans="1:12" x14ac:dyDescent="0.25">
      <c r="A1721">
        <v>200603</v>
      </c>
      <c r="B1721">
        <v>3.8319999999999999</v>
      </c>
      <c r="C1721">
        <v>3.8410000000000002</v>
      </c>
      <c r="D1721">
        <v>3.7810000000000001</v>
      </c>
      <c r="E1721">
        <v>3.6960000000000002</v>
      </c>
      <c r="F1721">
        <v>3.9540000000000002</v>
      </c>
      <c r="G1721">
        <v>3.8149999999999999</v>
      </c>
      <c r="H1721">
        <v>3.7549999999999999</v>
      </c>
      <c r="I1721">
        <v>3.73</v>
      </c>
      <c r="J1721">
        <v>30.404</v>
      </c>
      <c r="K1721">
        <v>21</v>
      </c>
      <c r="L1721">
        <v>-0.98199999999999998</v>
      </c>
    </row>
    <row r="1722" spans="1:12" x14ac:dyDescent="0.25">
      <c r="A1722">
        <v>205604</v>
      </c>
      <c r="B1722">
        <v>3.8660000000000001</v>
      </c>
      <c r="C1722">
        <v>3.8860000000000001</v>
      </c>
      <c r="D1722">
        <v>3.8180000000000001</v>
      </c>
      <c r="E1722">
        <v>3.7410000000000001</v>
      </c>
      <c r="F1722">
        <v>4.0060000000000002</v>
      </c>
      <c r="G1722">
        <v>3.8540000000000001</v>
      </c>
      <c r="H1722">
        <v>3.8039999999999998</v>
      </c>
      <c r="I1722">
        <v>3.806</v>
      </c>
      <c r="J1722">
        <v>30.780999999999999</v>
      </c>
      <c r="K1722">
        <v>21</v>
      </c>
      <c r="L1722">
        <v>-3.2000000000000001E-2</v>
      </c>
    </row>
    <row r="1723" spans="1:12" x14ac:dyDescent="0.25">
      <c r="A1723">
        <v>210610</v>
      </c>
      <c r="B1723">
        <v>3.8319999999999999</v>
      </c>
      <c r="C1723">
        <v>3.8319999999999999</v>
      </c>
      <c r="D1723">
        <v>3.7759999999999998</v>
      </c>
      <c r="E1723">
        <v>3.7109999999999999</v>
      </c>
      <c r="F1723">
        <v>3.972</v>
      </c>
      <c r="G1723">
        <v>3.8149999999999999</v>
      </c>
      <c r="H1723">
        <v>3.722</v>
      </c>
      <c r="I1723">
        <v>3.7629999999999999</v>
      </c>
      <c r="J1723">
        <v>30.422999999999998</v>
      </c>
      <c r="K1723">
        <v>20.9</v>
      </c>
      <c r="L1723">
        <v>-0.996</v>
      </c>
    </row>
    <row r="1724" spans="1:12" x14ac:dyDescent="0.25">
      <c r="A1724">
        <v>215617</v>
      </c>
      <c r="B1724">
        <v>3.8319999999999999</v>
      </c>
      <c r="C1724">
        <v>3.8410000000000002</v>
      </c>
      <c r="D1724">
        <v>3.7810000000000001</v>
      </c>
      <c r="E1724">
        <v>3.6960000000000002</v>
      </c>
      <c r="F1724">
        <v>4</v>
      </c>
      <c r="G1724">
        <v>3.7869999999999999</v>
      </c>
      <c r="H1724">
        <v>3.7549999999999999</v>
      </c>
      <c r="I1724">
        <v>3.73</v>
      </c>
      <c r="J1724">
        <v>30.422000000000001</v>
      </c>
      <c r="K1724">
        <v>21</v>
      </c>
      <c r="L1724">
        <v>-0.97599999999999998</v>
      </c>
    </row>
    <row r="1725" spans="1:12" x14ac:dyDescent="0.25">
      <c r="A1725">
        <v>220618</v>
      </c>
      <c r="B1725">
        <v>3.8319999999999999</v>
      </c>
      <c r="C1725">
        <v>3.8410000000000002</v>
      </c>
      <c r="D1725">
        <v>3.7810000000000001</v>
      </c>
      <c r="E1725">
        <v>3.6960000000000002</v>
      </c>
      <c r="F1725">
        <v>3.9820000000000002</v>
      </c>
      <c r="G1725">
        <v>3.7869999999999999</v>
      </c>
      <c r="H1725">
        <v>3.7549999999999999</v>
      </c>
      <c r="I1725">
        <v>3.73</v>
      </c>
      <c r="J1725">
        <v>30.404</v>
      </c>
      <c r="K1725">
        <v>21</v>
      </c>
      <c r="L1725">
        <v>-0.96299999999999997</v>
      </c>
    </row>
    <row r="1726" spans="1:12" x14ac:dyDescent="0.25">
      <c r="A1726">
        <v>225621</v>
      </c>
      <c r="B1726">
        <v>3.8319999999999999</v>
      </c>
      <c r="C1726">
        <v>3.8410000000000002</v>
      </c>
      <c r="D1726">
        <v>3.7669999999999999</v>
      </c>
      <c r="E1726">
        <v>3.7109999999999999</v>
      </c>
      <c r="F1726">
        <v>3.9540000000000002</v>
      </c>
      <c r="G1726">
        <v>3.8149999999999999</v>
      </c>
      <c r="H1726">
        <v>3.7549999999999999</v>
      </c>
      <c r="I1726">
        <v>3.73</v>
      </c>
      <c r="J1726">
        <v>30.405000000000001</v>
      </c>
      <c r="K1726">
        <v>21</v>
      </c>
      <c r="L1726">
        <v>-0.96799999999999997</v>
      </c>
    </row>
    <row r="1727" spans="1:12" x14ac:dyDescent="0.25">
      <c r="A1727">
        <v>230621</v>
      </c>
      <c r="B1727">
        <v>3.8319999999999999</v>
      </c>
      <c r="C1727">
        <v>3.8319999999999999</v>
      </c>
      <c r="D1727">
        <v>3.7759999999999998</v>
      </c>
      <c r="E1727">
        <v>3.7109999999999999</v>
      </c>
      <c r="F1727">
        <v>3.9540000000000002</v>
      </c>
      <c r="G1727">
        <v>3.8149999999999999</v>
      </c>
      <c r="H1727">
        <v>3.7549999999999999</v>
      </c>
      <c r="I1727">
        <v>3.73</v>
      </c>
      <c r="J1727">
        <v>30.405000000000001</v>
      </c>
      <c r="K1727">
        <v>21</v>
      </c>
      <c r="L1727">
        <v>-0.97</v>
      </c>
    </row>
    <row r="1728" spans="1:12" x14ac:dyDescent="0.25">
      <c r="A1728">
        <v>235629</v>
      </c>
      <c r="B1728">
        <v>3.827</v>
      </c>
      <c r="C1728">
        <v>3.8370000000000002</v>
      </c>
      <c r="D1728">
        <v>3.7759999999999998</v>
      </c>
      <c r="E1728">
        <v>3.7109999999999999</v>
      </c>
      <c r="F1728">
        <v>3.972</v>
      </c>
      <c r="G1728">
        <v>3.8149999999999999</v>
      </c>
      <c r="H1728">
        <v>3.7549999999999999</v>
      </c>
      <c r="I1728">
        <v>3.6909999999999998</v>
      </c>
      <c r="J1728">
        <v>30.384</v>
      </c>
      <c r="K1728">
        <v>21</v>
      </c>
      <c r="L1728">
        <v>-0.97</v>
      </c>
    </row>
    <row r="1729" spans="1:12" x14ac:dyDescent="0.25">
      <c r="A1729">
        <v>240634</v>
      </c>
      <c r="B1729">
        <v>3.827</v>
      </c>
      <c r="C1729">
        <v>3.8370000000000002</v>
      </c>
      <c r="D1729">
        <v>3.7759999999999998</v>
      </c>
      <c r="E1729">
        <v>3.6930000000000001</v>
      </c>
      <c r="F1729">
        <v>3.972</v>
      </c>
      <c r="G1729">
        <v>3.8149999999999999</v>
      </c>
      <c r="H1729">
        <v>3.722</v>
      </c>
      <c r="I1729">
        <v>3.7629999999999999</v>
      </c>
      <c r="J1729">
        <v>30.405000000000001</v>
      </c>
      <c r="K1729">
        <v>20.9</v>
      </c>
      <c r="L1729">
        <v>-0.96899999999999997</v>
      </c>
    </row>
    <row r="1730" spans="1:12" x14ac:dyDescent="0.25">
      <c r="A1730">
        <v>245635</v>
      </c>
      <c r="B1730">
        <v>3.827</v>
      </c>
      <c r="C1730">
        <v>3.8370000000000002</v>
      </c>
      <c r="D1730">
        <v>3.7610000000000001</v>
      </c>
      <c r="E1730">
        <v>3.7069999999999999</v>
      </c>
      <c r="F1730">
        <v>3.972</v>
      </c>
      <c r="G1730">
        <v>3.8149999999999999</v>
      </c>
      <c r="H1730">
        <v>3.722</v>
      </c>
      <c r="I1730">
        <v>3.7240000000000002</v>
      </c>
      <c r="J1730">
        <v>30.364999999999998</v>
      </c>
      <c r="K1730">
        <v>21</v>
      </c>
      <c r="L1730">
        <v>-0.97099999999999997</v>
      </c>
    </row>
    <row r="1731" spans="1:12" x14ac:dyDescent="0.25">
      <c r="A1731">
        <v>250636</v>
      </c>
      <c r="B1731">
        <v>3.827</v>
      </c>
      <c r="C1731">
        <v>3.8279999999999998</v>
      </c>
      <c r="D1731">
        <v>3.7839999999999998</v>
      </c>
      <c r="E1731">
        <v>3.6930000000000001</v>
      </c>
      <c r="F1731">
        <v>3.972</v>
      </c>
      <c r="G1731">
        <v>3.8149999999999999</v>
      </c>
      <c r="H1731">
        <v>3.722</v>
      </c>
      <c r="I1731">
        <v>3.7240000000000002</v>
      </c>
      <c r="J1731">
        <v>30.364999999999998</v>
      </c>
      <c r="K1731">
        <v>21</v>
      </c>
      <c r="L1731">
        <v>-0.97299999999999998</v>
      </c>
    </row>
    <row r="1732" spans="1:12" x14ac:dyDescent="0.25">
      <c r="A1732">
        <v>255639</v>
      </c>
      <c r="B1732">
        <v>3.827</v>
      </c>
      <c r="C1732">
        <v>3.8370000000000002</v>
      </c>
      <c r="D1732">
        <v>3.7759999999999998</v>
      </c>
      <c r="E1732">
        <v>3.6930000000000001</v>
      </c>
      <c r="F1732">
        <v>3.972</v>
      </c>
      <c r="G1732">
        <v>3.786</v>
      </c>
      <c r="H1732">
        <v>3.7509999999999999</v>
      </c>
      <c r="I1732">
        <v>3.7240000000000002</v>
      </c>
      <c r="J1732">
        <v>30.366</v>
      </c>
      <c r="K1732">
        <v>21</v>
      </c>
      <c r="L1732">
        <v>-0.96599999999999997</v>
      </c>
    </row>
    <row r="1733" spans="1:12" x14ac:dyDescent="0.25">
      <c r="A1733">
        <v>260644</v>
      </c>
      <c r="B1733">
        <v>3.827</v>
      </c>
      <c r="C1733">
        <v>3.8279999999999998</v>
      </c>
      <c r="D1733">
        <v>3.7839999999999998</v>
      </c>
      <c r="E1733">
        <v>3.6930000000000001</v>
      </c>
      <c r="F1733">
        <v>3.972</v>
      </c>
      <c r="G1733">
        <v>3.786</v>
      </c>
      <c r="H1733">
        <v>3.7509999999999999</v>
      </c>
      <c r="I1733">
        <v>3.7240000000000002</v>
      </c>
      <c r="J1733">
        <v>30.364999999999998</v>
      </c>
      <c r="K1733">
        <v>21</v>
      </c>
      <c r="L1733">
        <v>-0.96699999999999997</v>
      </c>
    </row>
    <row r="1734" spans="1:12" x14ac:dyDescent="0.25">
      <c r="A1734">
        <v>265645</v>
      </c>
      <c r="B1734">
        <v>3.8220000000000001</v>
      </c>
      <c r="C1734">
        <v>3.8330000000000002</v>
      </c>
      <c r="D1734">
        <v>3.7839999999999998</v>
      </c>
      <c r="E1734">
        <v>3.6930000000000001</v>
      </c>
      <c r="F1734">
        <v>3.99</v>
      </c>
      <c r="G1734">
        <v>3.786</v>
      </c>
      <c r="H1734">
        <v>3.718</v>
      </c>
      <c r="I1734">
        <v>3.7559999999999998</v>
      </c>
      <c r="J1734">
        <v>30.382000000000001</v>
      </c>
      <c r="K1734">
        <v>21</v>
      </c>
      <c r="L1734">
        <v>-0.97199999999999998</v>
      </c>
    </row>
    <row r="1735" spans="1:12" x14ac:dyDescent="0.25">
      <c r="A1735">
        <v>270651</v>
      </c>
      <c r="B1735">
        <v>3.827</v>
      </c>
      <c r="C1735">
        <v>3.8279999999999998</v>
      </c>
      <c r="D1735">
        <v>3.77</v>
      </c>
      <c r="E1735">
        <v>3.7069999999999999</v>
      </c>
      <c r="F1735">
        <v>3.99</v>
      </c>
      <c r="G1735">
        <v>3.786</v>
      </c>
      <c r="H1735">
        <v>3.7509999999999999</v>
      </c>
      <c r="I1735">
        <v>3.7240000000000002</v>
      </c>
      <c r="J1735">
        <v>30.382999999999999</v>
      </c>
      <c r="K1735">
        <v>21</v>
      </c>
      <c r="L1735">
        <v>-0.97099999999999997</v>
      </c>
    </row>
    <row r="1736" spans="1:12" x14ac:dyDescent="0.25">
      <c r="A1736">
        <v>275658</v>
      </c>
      <c r="B1736">
        <v>3.8220000000000001</v>
      </c>
      <c r="C1736">
        <v>3.8330000000000002</v>
      </c>
      <c r="D1736">
        <v>3.77</v>
      </c>
      <c r="E1736">
        <v>3.7069999999999999</v>
      </c>
      <c r="F1736">
        <v>3.972</v>
      </c>
      <c r="G1736">
        <v>3.786</v>
      </c>
      <c r="H1736">
        <v>3.7509999999999999</v>
      </c>
      <c r="I1736">
        <v>3.7240000000000002</v>
      </c>
      <c r="J1736">
        <v>30.364999999999998</v>
      </c>
      <c r="K1736">
        <v>21</v>
      </c>
      <c r="L1736">
        <v>-0.96399999999999997</v>
      </c>
    </row>
    <row r="1737" spans="1:12" x14ac:dyDescent="0.25">
      <c r="A1737">
        <v>280663</v>
      </c>
      <c r="B1737">
        <v>3.8220000000000001</v>
      </c>
      <c r="C1737">
        <v>3.8330000000000002</v>
      </c>
      <c r="D1737">
        <v>3.77</v>
      </c>
      <c r="E1737">
        <v>3.7069999999999999</v>
      </c>
      <c r="F1737">
        <v>3.9449999999999998</v>
      </c>
      <c r="G1737">
        <v>3.8140000000000001</v>
      </c>
      <c r="H1737">
        <v>3.718</v>
      </c>
      <c r="I1737">
        <v>3.7559999999999998</v>
      </c>
      <c r="J1737">
        <v>30.364999999999998</v>
      </c>
      <c r="K1737">
        <v>21</v>
      </c>
      <c r="L1737">
        <v>-0.96299999999999997</v>
      </c>
    </row>
    <row r="1738" spans="1:12" x14ac:dyDescent="0.25">
      <c r="A1738">
        <v>285665</v>
      </c>
      <c r="B1738">
        <v>3.8220000000000001</v>
      </c>
      <c r="C1738">
        <v>3.8330000000000002</v>
      </c>
      <c r="D1738">
        <v>3.77</v>
      </c>
      <c r="E1738">
        <v>3.7069999999999999</v>
      </c>
      <c r="F1738">
        <v>3.9630000000000001</v>
      </c>
      <c r="G1738">
        <v>3.7850000000000001</v>
      </c>
      <c r="H1738">
        <v>3.7469999999999999</v>
      </c>
      <c r="I1738">
        <v>3.7559999999999998</v>
      </c>
      <c r="J1738">
        <v>30.382999999999999</v>
      </c>
      <c r="K1738">
        <v>21</v>
      </c>
      <c r="L1738">
        <v>-0.96</v>
      </c>
    </row>
    <row r="1739" spans="1:12" x14ac:dyDescent="0.25">
      <c r="A1739">
        <v>290670</v>
      </c>
      <c r="B1739">
        <v>3.8220000000000001</v>
      </c>
      <c r="C1739">
        <v>3.8330000000000002</v>
      </c>
      <c r="D1739">
        <v>3.77</v>
      </c>
      <c r="E1739">
        <v>3.69</v>
      </c>
      <c r="F1739">
        <v>3.9630000000000001</v>
      </c>
      <c r="G1739">
        <v>3.8140000000000001</v>
      </c>
      <c r="H1739">
        <v>3.718</v>
      </c>
      <c r="I1739">
        <v>3.7559999999999998</v>
      </c>
      <c r="J1739">
        <v>30.366</v>
      </c>
      <c r="K1739">
        <v>21</v>
      </c>
      <c r="L1739">
        <v>-0.97</v>
      </c>
    </row>
    <row r="1740" spans="1:12" x14ac:dyDescent="0.25">
      <c r="A1740">
        <v>295673</v>
      </c>
      <c r="B1740">
        <v>3.8170000000000002</v>
      </c>
      <c r="C1740">
        <v>3.8380000000000001</v>
      </c>
      <c r="D1740">
        <v>3.77</v>
      </c>
      <c r="E1740">
        <v>3.69</v>
      </c>
      <c r="F1740">
        <v>3.9630000000000001</v>
      </c>
      <c r="G1740">
        <v>3.7850000000000001</v>
      </c>
      <c r="H1740">
        <v>3.7469999999999999</v>
      </c>
      <c r="I1740">
        <v>3.718</v>
      </c>
      <c r="J1740">
        <v>30.327999999999999</v>
      </c>
      <c r="K1740">
        <v>21</v>
      </c>
      <c r="L1740">
        <v>-0.97899999999999998</v>
      </c>
    </row>
    <row r="1741" spans="1:12" x14ac:dyDescent="0.25">
      <c r="A1741">
        <v>300673</v>
      </c>
      <c r="B1741">
        <v>3.8220000000000001</v>
      </c>
      <c r="C1741">
        <v>3.8239999999999998</v>
      </c>
      <c r="D1741">
        <v>3.7789999999999999</v>
      </c>
      <c r="E1741">
        <v>3.69</v>
      </c>
      <c r="F1741">
        <v>3.9350000000000001</v>
      </c>
      <c r="G1741">
        <v>3.8130000000000002</v>
      </c>
      <c r="H1741">
        <v>3.7469999999999999</v>
      </c>
      <c r="I1741">
        <v>3.718</v>
      </c>
      <c r="J1741">
        <v>30.327999999999999</v>
      </c>
      <c r="K1741">
        <v>21</v>
      </c>
      <c r="L1741">
        <v>-0.95899999999999996</v>
      </c>
    </row>
    <row r="1742" spans="1:12" x14ac:dyDescent="0.25">
      <c r="A1742">
        <v>305680</v>
      </c>
      <c r="B1742">
        <v>3.8220000000000001</v>
      </c>
      <c r="C1742">
        <v>3.8239999999999998</v>
      </c>
      <c r="D1742">
        <v>3.7789999999999999</v>
      </c>
      <c r="E1742">
        <v>3.69</v>
      </c>
      <c r="F1742">
        <v>3.9630000000000001</v>
      </c>
      <c r="G1742">
        <v>3.7850000000000001</v>
      </c>
      <c r="H1742">
        <v>3.7469999999999999</v>
      </c>
      <c r="I1742">
        <v>3.718</v>
      </c>
      <c r="J1742">
        <v>30.327999999999999</v>
      </c>
      <c r="K1742">
        <v>21</v>
      </c>
      <c r="L1742">
        <v>-0.98099999999999998</v>
      </c>
    </row>
    <row r="1743" spans="1:12" x14ac:dyDescent="0.25">
      <c r="A1743">
        <v>310687</v>
      </c>
      <c r="B1743">
        <v>3.8220000000000001</v>
      </c>
      <c r="C1743">
        <v>3.8239999999999998</v>
      </c>
      <c r="D1743">
        <v>3.7789999999999999</v>
      </c>
      <c r="E1743">
        <v>3.69</v>
      </c>
      <c r="F1743">
        <v>3.9350000000000001</v>
      </c>
      <c r="G1743">
        <v>3.8130000000000002</v>
      </c>
      <c r="H1743">
        <v>3.7469999999999999</v>
      </c>
      <c r="I1743">
        <v>3.718</v>
      </c>
      <c r="J1743">
        <v>30.327999999999999</v>
      </c>
      <c r="K1743">
        <v>21</v>
      </c>
      <c r="L1743">
        <v>-0.97</v>
      </c>
    </row>
    <row r="1744" spans="1:12" x14ac:dyDescent="0.25">
      <c r="A1744">
        <v>315688</v>
      </c>
      <c r="B1744">
        <v>3.8220000000000001</v>
      </c>
      <c r="C1744">
        <v>3.8330000000000002</v>
      </c>
      <c r="D1744">
        <v>3.7549999999999999</v>
      </c>
      <c r="E1744">
        <v>3.7040000000000002</v>
      </c>
      <c r="F1744">
        <v>3.9529999999999998</v>
      </c>
      <c r="G1744">
        <v>3.8130000000000002</v>
      </c>
      <c r="H1744">
        <v>3.714</v>
      </c>
      <c r="I1744">
        <v>3.75</v>
      </c>
      <c r="J1744">
        <v>30.344000000000001</v>
      </c>
      <c r="K1744">
        <v>21</v>
      </c>
      <c r="L1744">
        <v>-0.97199999999999998</v>
      </c>
    </row>
    <row r="1745" spans="1:12" x14ac:dyDescent="0.25">
      <c r="A1745">
        <v>320693</v>
      </c>
      <c r="B1745">
        <v>3.8170000000000002</v>
      </c>
      <c r="C1745">
        <v>3.8290000000000002</v>
      </c>
      <c r="D1745">
        <v>3.7789999999999999</v>
      </c>
      <c r="E1745">
        <v>3.69</v>
      </c>
      <c r="F1745">
        <v>3.9809999999999999</v>
      </c>
      <c r="G1745">
        <v>3.7850000000000001</v>
      </c>
      <c r="H1745">
        <v>3.7469999999999999</v>
      </c>
      <c r="I1745">
        <v>3.718</v>
      </c>
      <c r="J1745">
        <v>30.346</v>
      </c>
      <c r="K1745">
        <v>21</v>
      </c>
      <c r="L1745">
        <v>-0.97199999999999998</v>
      </c>
    </row>
    <row r="1746" spans="1:12" x14ac:dyDescent="0.25">
      <c r="A1746">
        <v>325696</v>
      </c>
      <c r="B1746">
        <v>3.8220000000000001</v>
      </c>
      <c r="C1746">
        <v>3.8239999999999998</v>
      </c>
      <c r="D1746">
        <v>3.7789999999999999</v>
      </c>
      <c r="E1746">
        <v>3.69</v>
      </c>
      <c r="F1746">
        <v>3.9529999999999998</v>
      </c>
      <c r="G1746">
        <v>3.8130000000000002</v>
      </c>
      <c r="H1746">
        <v>3.714</v>
      </c>
      <c r="I1746">
        <v>3.7109999999999999</v>
      </c>
      <c r="J1746">
        <v>30.306000000000001</v>
      </c>
      <c r="K1746">
        <v>21</v>
      </c>
      <c r="L1746">
        <v>-0.96399999999999997</v>
      </c>
    </row>
    <row r="1747" spans="1:12" x14ac:dyDescent="0.25">
      <c r="A1747">
        <v>330700</v>
      </c>
      <c r="B1747">
        <v>3.8220000000000001</v>
      </c>
      <c r="C1747">
        <v>3.8239999999999998</v>
      </c>
      <c r="D1747">
        <v>3.7639999999999998</v>
      </c>
      <c r="E1747">
        <v>3.7040000000000002</v>
      </c>
      <c r="F1747">
        <v>3.9630000000000001</v>
      </c>
      <c r="G1747">
        <v>3.7850000000000001</v>
      </c>
      <c r="H1747">
        <v>3.714</v>
      </c>
      <c r="I1747">
        <v>3.75</v>
      </c>
      <c r="J1747">
        <v>30.326000000000001</v>
      </c>
      <c r="K1747">
        <v>21</v>
      </c>
      <c r="L1747">
        <v>-0.97699999999999998</v>
      </c>
    </row>
    <row r="1748" spans="1:12" x14ac:dyDescent="0.25">
      <c r="A1748">
        <v>335703</v>
      </c>
      <c r="B1748">
        <v>3.8170000000000002</v>
      </c>
      <c r="C1748">
        <v>3.8290000000000002</v>
      </c>
      <c r="D1748">
        <v>3.7639999999999998</v>
      </c>
      <c r="E1748">
        <v>3.7040000000000002</v>
      </c>
      <c r="F1748">
        <v>3.9529999999999998</v>
      </c>
      <c r="G1748">
        <v>3.8130000000000002</v>
      </c>
      <c r="H1748">
        <v>3.7469999999999999</v>
      </c>
      <c r="I1748">
        <v>3.718</v>
      </c>
      <c r="J1748">
        <v>30.344999999999999</v>
      </c>
      <c r="K1748">
        <v>21</v>
      </c>
      <c r="L1748">
        <v>-0.96299999999999997</v>
      </c>
    </row>
    <row r="1749" spans="1:12" x14ac:dyDescent="0.25">
      <c r="A1749">
        <v>340703</v>
      </c>
      <c r="B1749">
        <v>3.8220000000000001</v>
      </c>
      <c r="C1749">
        <v>3.8239999999999998</v>
      </c>
      <c r="D1749">
        <v>3.7639999999999998</v>
      </c>
      <c r="E1749">
        <v>3.7040000000000002</v>
      </c>
      <c r="F1749">
        <v>3.9529999999999998</v>
      </c>
      <c r="G1749">
        <v>3.7839999999999998</v>
      </c>
      <c r="H1749">
        <v>3.7749999999999999</v>
      </c>
      <c r="I1749">
        <v>3.718</v>
      </c>
      <c r="J1749">
        <v>30.344000000000001</v>
      </c>
      <c r="K1749">
        <v>21</v>
      </c>
      <c r="L1749">
        <v>-0.96399999999999997</v>
      </c>
    </row>
    <row r="1750" spans="1:12" x14ac:dyDescent="0.25">
      <c r="A1750">
        <v>345705</v>
      </c>
      <c r="B1750">
        <v>3.8170000000000002</v>
      </c>
      <c r="C1750">
        <v>3.8290000000000002</v>
      </c>
      <c r="D1750">
        <v>3.7639999999999998</v>
      </c>
      <c r="E1750">
        <v>3.7040000000000002</v>
      </c>
      <c r="F1750">
        <v>3.9350000000000001</v>
      </c>
      <c r="G1750">
        <v>3.7839999999999998</v>
      </c>
      <c r="H1750">
        <v>3.7429999999999999</v>
      </c>
      <c r="I1750">
        <v>3.7109999999999999</v>
      </c>
      <c r="J1750">
        <v>30.286999999999999</v>
      </c>
      <c r="K1750">
        <v>21</v>
      </c>
      <c r="L1750">
        <v>-0.97</v>
      </c>
    </row>
    <row r="1751" spans="1:12" x14ac:dyDescent="0.25">
      <c r="A1751">
        <v>350717</v>
      </c>
      <c r="B1751">
        <v>3.8220000000000001</v>
      </c>
      <c r="C1751">
        <v>3.8239999999999998</v>
      </c>
      <c r="D1751">
        <v>3.7639999999999998</v>
      </c>
      <c r="E1751">
        <v>3.6859999999999999</v>
      </c>
      <c r="F1751">
        <v>3.9529999999999998</v>
      </c>
      <c r="G1751">
        <v>3.8130000000000002</v>
      </c>
      <c r="H1751">
        <v>3.714</v>
      </c>
      <c r="I1751">
        <v>3.75</v>
      </c>
      <c r="J1751">
        <v>30.326000000000001</v>
      </c>
      <c r="K1751">
        <v>21</v>
      </c>
      <c r="L1751">
        <v>-0.96499999999999997</v>
      </c>
    </row>
    <row r="1752" spans="1:12" x14ac:dyDescent="0.25">
      <c r="A1752">
        <v>355723</v>
      </c>
      <c r="B1752">
        <v>3.8170000000000002</v>
      </c>
      <c r="C1752">
        <v>3.82</v>
      </c>
      <c r="D1752">
        <v>3.7730000000000001</v>
      </c>
      <c r="E1752">
        <v>3.6859999999999999</v>
      </c>
      <c r="F1752">
        <v>3.9529999999999998</v>
      </c>
      <c r="G1752">
        <v>3.8130000000000002</v>
      </c>
      <c r="H1752">
        <v>3.714</v>
      </c>
      <c r="I1752">
        <v>3.7109999999999999</v>
      </c>
      <c r="J1752">
        <v>30.286999999999999</v>
      </c>
      <c r="K1752">
        <v>21</v>
      </c>
      <c r="L1752">
        <v>-0.96599999999999997</v>
      </c>
    </row>
    <row r="1753" spans="1:12" x14ac:dyDescent="0.25">
      <c r="A1753">
        <v>360723</v>
      </c>
      <c r="B1753">
        <v>3.8170000000000002</v>
      </c>
      <c r="C1753">
        <v>3.8290000000000002</v>
      </c>
      <c r="D1753">
        <v>3.7639999999999998</v>
      </c>
      <c r="E1753">
        <v>3.6859999999999999</v>
      </c>
      <c r="F1753">
        <v>3.9529999999999998</v>
      </c>
      <c r="G1753">
        <v>3.7839999999999998</v>
      </c>
      <c r="H1753">
        <v>3.7429999999999999</v>
      </c>
      <c r="I1753">
        <v>3.7109999999999999</v>
      </c>
      <c r="J1753">
        <v>30.286999999999999</v>
      </c>
      <c r="K1753">
        <v>21</v>
      </c>
      <c r="L1753">
        <v>-0.96699999999999997</v>
      </c>
    </row>
    <row r="1754" spans="1:12" x14ac:dyDescent="0.25">
      <c r="A1754">
        <v>365727</v>
      </c>
      <c r="B1754">
        <v>3.8170000000000002</v>
      </c>
      <c r="C1754">
        <v>3.82</v>
      </c>
      <c r="D1754">
        <v>3.7730000000000001</v>
      </c>
      <c r="E1754">
        <v>3.6859999999999999</v>
      </c>
      <c r="F1754">
        <v>3.9710000000000001</v>
      </c>
      <c r="G1754">
        <v>3.8130000000000002</v>
      </c>
      <c r="H1754">
        <v>3.714</v>
      </c>
      <c r="I1754">
        <v>3.7109999999999999</v>
      </c>
      <c r="J1754">
        <v>30.305</v>
      </c>
      <c r="K1754">
        <v>21</v>
      </c>
      <c r="L1754">
        <v>-0.96799999999999997</v>
      </c>
    </row>
    <row r="1755" spans="1:12" x14ac:dyDescent="0.25">
      <c r="A1755">
        <v>370732</v>
      </c>
      <c r="B1755">
        <v>3.8170000000000002</v>
      </c>
      <c r="C1755">
        <v>3.8290000000000002</v>
      </c>
      <c r="D1755">
        <v>3.7639999999999998</v>
      </c>
      <c r="E1755">
        <v>3.6859999999999999</v>
      </c>
      <c r="F1755">
        <v>3.9710000000000001</v>
      </c>
      <c r="G1755">
        <v>3.7839999999999998</v>
      </c>
      <c r="H1755">
        <v>3.7429999999999999</v>
      </c>
      <c r="I1755">
        <v>3.7109999999999999</v>
      </c>
      <c r="J1755">
        <v>30.305</v>
      </c>
      <c r="K1755">
        <v>21</v>
      </c>
      <c r="L1755">
        <v>-0.96199999999999997</v>
      </c>
    </row>
    <row r="1756" spans="1:12" x14ac:dyDescent="0.25">
      <c r="A1756">
        <v>375733</v>
      </c>
      <c r="B1756">
        <v>3.8170000000000002</v>
      </c>
      <c r="C1756">
        <v>3.82</v>
      </c>
      <c r="D1756">
        <v>3.7730000000000001</v>
      </c>
      <c r="E1756">
        <v>3.6859999999999999</v>
      </c>
      <c r="F1756">
        <v>3.9529999999999998</v>
      </c>
      <c r="G1756">
        <v>3.7839999999999998</v>
      </c>
      <c r="H1756">
        <v>3.7429999999999999</v>
      </c>
      <c r="I1756">
        <v>3.7109999999999999</v>
      </c>
      <c r="J1756">
        <v>30.286999999999999</v>
      </c>
      <c r="K1756">
        <v>21</v>
      </c>
      <c r="L1756">
        <v>-0.95899999999999996</v>
      </c>
    </row>
    <row r="1757" spans="1:12" x14ac:dyDescent="0.25">
      <c r="A1757">
        <v>380739</v>
      </c>
      <c r="B1757">
        <v>3.8170000000000002</v>
      </c>
      <c r="C1757">
        <v>3.82</v>
      </c>
      <c r="D1757">
        <v>3.7730000000000001</v>
      </c>
      <c r="E1757">
        <v>3.6859999999999999</v>
      </c>
      <c r="F1757">
        <v>3.9529999999999998</v>
      </c>
      <c r="G1757">
        <v>3.7839999999999998</v>
      </c>
      <c r="H1757">
        <v>3.7429999999999999</v>
      </c>
      <c r="I1757">
        <v>3.7109999999999999</v>
      </c>
      <c r="J1757">
        <v>30.286999999999999</v>
      </c>
      <c r="K1757">
        <v>21</v>
      </c>
      <c r="L1757">
        <v>-0.96699999999999997</v>
      </c>
    </row>
    <row r="1758" spans="1:12" x14ac:dyDescent="0.25">
      <c r="A1758">
        <v>385741</v>
      </c>
      <c r="B1758">
        <v>3.8170000000000002</v>
      </c>
      <c r="C1758">
        <v>3.82</v>
      </c>
      <c r="D1758">
        <v>3.7730000000000001</v>
      </c>
      <c r="E1758">
        <v>3.6859999999999999</v>
      </c>
      <c r="F1758">
        <v>3.9260000000000002</v>
      </c>
      <c r="G1758">
        <v>3.8119999999999998</v>
      </c>
      <c r="H1758">
        <v>3.71</v>
      </c>
      <c r="I1758">
        <v>3.7440000000000002</v>
      </c>
      <c r="J1758">
        <v>30.288</v>
      </c>
      <c r="K1758">
        <v>21</v>
      </c>
      <c r="L1758">
        <v>-0.96399999999999997</v>
      </c>
    </row>
    <row r="1759" spans="1:12" x14ac:dyDescent="0.25">
      <c r="A1759">
        <v>390751</v>
      </c>
      <c r="B1759">
        <v>3.8170000000000002</v>
      </c>
      <c r="C1759">
        <v>3.82</v>
      </c>
      <c r="D1759">
        <v>3.758</v>
      </c>
      <c r="E1759">
        <v>3.7010000000000001</v>
      </c>
      <c r="F1759">
        <v>3.944</v>
      </c>
      <c r="G1759">
        <v>3.8119999999999998</v>
      </c>
      <c r="H1759">
        <v>3.7429999999999999</v>
      </c>
      <c r="I1759">
        <v>3.6720000000000002</v>
      </c>
      <c r="J1759">
        <v>30.266999999999999</v>
      </c>
      <c r="K1759">
        <v>21.1</v>
      </c>
      <c r="L1759">
        <v>-0.98</v>
      </c>
    </row>
    <row r="1760" spans="1:12" x14ac:dyDescent="0.25">
      <c r="A1760">
        <v>395752</v>
      </c>
      <c r="B1760">
        <v>3.8170000000000002</v>
      </c>
      <c r="C1760">
        <v>3.82</v>
      </c>
      <c r="D1760">
        <v>3.7730000000000001</v>
      </c>
      <c r="E1760">
        <v>3.6859999999999999</v>
      </c>
      <c r="F1760">
        <v>3.9529999999999998</v>
      </c>
      <c r="G1760">
        <v>3.7839999999999998</v>
      </c>
      <c r="H1760">
        <v>3.7429999999999999</v>
      </c>
      <c r="I1760">
        <v>3.7109999999999999</v>
      </c>
      <c r="J1760">
        <v>30.286999999999999</v>
      </c>
      <c r="K1760">
        <v>21.1</v>
      </c>
      <c r="L1760">
        <v>-0.96199999999999997</v>
      </c>
    </row>
    <row r="1761" spans="1:12" x14ac:dyDescent="0.25">
      <c r="A1761">
        <v>400758</v>
      </c>
      <c r="B1761">
        <v>3.8170000000000002</v>
      </c>
      <c r="C1761">
        <v>3.82</v>
      </c>
      <c r="D1761">
        <v>3.758</v>
      </c>
      <c r="E1761">
        <v>3.7010000000000001</v>
      </c>
      <c r="F1761">
        <v>3.9260000000000002</v>
      </c>
      <c r="G1761">
        <v>3.8119999999999998</v>
      </c>
      <c r="H1761">
        <v>3.71</v>
      </c>
      <c r="I1761">
        <v>3.7440000000000002</v>
      </c>
      <c r="J1761">
        <v>30.288</v>
      </c>
      <c r="K1761">
        <v>21</v>
      </c>
      <c r="L1761">
        <v>-0.97299999999999998</v>
      </c>
    </row>
    <row r="1762" spans="1:12" x14ac:dyDescent="0.25">
      <c r="A1762">
        <v>405765</v>
      </c>
      <c r="B1762">
        <v>3.8119999999999998</v>
      </c>
      <c r="C1762">
        <v>3.8250000000000002</v>
      </c>
      <c r="D1762">
        <v>3.758</v>
      </c>
      <c r="E1762">
        <v>3.6829999999999998</v>
      </c>
      <c r="F1762">
        <v>3.9529999999999998</v>
      </c>
      <c r="G1762">
        <v>3.7839999999999998</v>
      </c>
      <c r="H1762">
        <v>3.71</v>
      </c>
      <c r="I1762">
        <v>3.7050000000000001</v>
      </c>
      <c r="J1762">
        <v>30.23</v>
      </c>
      <c r="K1762">
        <v>21</v>
      </c>
      <c r="L1762">
        <v>-0.98099999999999998</v>
      </c>
    </row>
    <row r="1763" spans="1:12" x14ac:dyDescent="0.25">
      <c r="A1763">
        <v>410766</v>
      </c>
      <c r="B1763">
        <v>3.8119999999999998</v>
      </c>
      <c r="C1763">
        <v>3.8250000000000002</v>
      </c>
      <c r="D1763">
        <v>3.758</v>
      </c>
      <c r="E1763">
        <v>3.7010000000000001</v>
      </c>
      <c r="F1763">
        <v>3.944</v>
      </c>
      <c r="G1763">
        <v>3.8119999999999998</v>
      </c>
      <c r="H1763">
        <v>3.7429999999999999</v>
      </c>
      <c r="I1763">
        <v>3.7109999999999999</v>
      </c>
      <c r="J1763">
        <v>30.306000000000001</v>
      </c>
      <c r="K1763">
        <v>21</v>
      </c>
      <c r="L1763">
        <v>-0.97599999999999998</v>
      </c>
    </row>
    <row r="1764" spans="1:12" x14ac:dyDescent="0.25">
      <c r="A1764">
        <v>415779</v>
      </c>
      <c r="B1764">
        <v>3.8119999999999998</v>
      </c>
      <c r="C1764">
        <v>3.8159999999999998</v>
      </c>
      <c r="D1764">
        <v>3.7669999999999999</v>
      </c>
      <c r="E1764">
        <v>3.7010000000000001</v>
      </c>
      <c r="F1764">
        <v>3.944</v>
      </c>
      <c r="G1764">
        <v>3.7829999999999999</v>
      </c>
      <c r="H1764">
        <v>3.7389999999999999</v>
      </c>
      <c r="I1764">
        <v>3.7440000000000002</v>
      </c>
      <c r="J1764">
        <v>30.306000000000001</v>
      </c>
      <c r="K1764">
        <v>21</v>
      </c>
      <c r="L1764">
        <v>-0.98199999999999998</v>
      </c>
    </row>
    <row r="1765" spans="1:12" x14ac:dyDescent="0.25">
      <c r="A1765">
        <v>420788</v>
      </c>
      <c r="B1765">
        <v>3.8119999999999998</v>
      </c>
      <c r="C1765">
        <v>3.8250000000000002</v>
      </c>
      <c r="D1765">
        <v>3.758</v>
      </c>
      <c r="E1765">
        <v>3.7010000000000001</v>
      </c>
      <c r="F1765">
        <v>3.9159999999999999</v>
      </c>
      <c r="G1765">
        <v>3.839</v>
      </c>
      <c r="H1765">
        <v>3.71</v>
      </c>
      <c r="I1765">
        <v>3.7050000000000001</v>
      </c>
      <c r="J1765">
        <v>30.265999999999998</v>
      </c>
      <c r="K1765">
        <v>21</v>
      </c>
      <c r="L1765">
        <v>-0.97799999999999998</v>
      </c>
    </row>
    <row r="1766" spans="1:12" x14ac:dyDescent="0.25">
      <c r="A1766">
        <v>425795</v>
      </c>
      <c r="B1766">
        <v>3.8119999999999998</v>
      </c>
      <c r="C1766">
        <v>3.8159999999999998</v>
      </c>
      <c r="D1766">
        <v>3.7669999999999999</v>
      </c>
      <c r="E1766">
        <v>3.6829999999999998</v>
      </c>
      <c r="F1766">
        <v>3.944</v>
      </c>
      <c r="G1766">
        <v>3.8119999999999998</v>
      </c>
      <c r="H1766">
        <v>3.71</v>
      </c>
      <c r="I1766">
        <v>3.7050000000000001</v>
      </c>
      <c r="J1766">
        <v>30.248999999999999</v>
      </c>
      <c r="K1766">
        <v>21.1</v>
      </c>
      <c r="L1766">
        <v>-0.97099999999999997</v>
      </c>
    </row>
    <row r="1767" spans="1:12" x14ac:dyDescent="0.25">
      <c r="A1767">
        <v>430802</v>
      </c>
      <c r="B1767">
        <v>3.8420000000000001</v>
      </c>
      <c r="C1767">
        <v>3.8660000000000001</v>
      </c>
      <c r="D1767">
        <v>3.8039999999999998</v>
      </c>
      <c r="E1767">
        <v>3.7269999999999999</v>
      </c>
      <c r="F1767">
        <v>4.0129999999999999</v>
      </c>
      <c r="G1767">
        <v>3.823</v>
      </c>
      <c r="H1767">
        <v>3.7879999999999998</v>
      </c>
      <c r="I1767">
        <v>3.7810000000000001</v>
      </c>
      <c r="J1767">
        <v>30.643999999999998</v>
      </c>
      <c r="K1767">
        <v>21</v>
      </c>
      <c r="L1767">
        <v>-0.03</v>
      </c>
    </row>
    <row r="1768" spans="1:12" x14ac:dyDescent="0.25">
      <c r="A1768">
        <v>435802</v>
      </c>
      <c r="B1768">
        <v>3.8559999999999999</v>
      </c>
      <c r="C1768">
        <v>3.8690000000000002</v>
      </c>
      <c r="D1768">
        <v>3.8010000000000002</v>
      </c>
      <c r="E1768">
        <v>3.7490000000000001</v>
      </c>
      <c r="F1768">
        <v>3.9769999999999999</v>
      </c>
      <c r="G1768">
        <v>3.88</v>
      </c>
      <c r="H1768">
        <v>3.7959999999999998</v>
      </c>
      <c r="I1768">
        <v>3.794</v>
      </c>
      <c r="J1768">
        <v>30.722000000000001</v>
      </c>
      <c r="K1768">
        <v>21</v>
      </c>
      <c r="L1768">
        <v>-0.02</v>
      </c>
    </row>
    <row r="1769" spans="1:12" x14ac:dyDescent="0.25">
      <c r="A1769">
        <v>440815</v>
      </c>
      <c r="B1769">
        <v>3.8610000000000002</v>
      </c>
      <c r="C1769">
        <v>3.8730000000000002</v>
      </c>
      <c r="D1769">
        <v>3.8069999999999999</v>
      </c>
      <c r="E1769">
        <v>3.734</v>
      </c>
      <c r="F1769">
        <v>3.9860000000000002</v>
      </c>
      <c r="G1769">
        <v>3.8239999999999998</v>
      </c>
      <c r="H1769">
        <v>3.8239999999999998</v>
      </c>
      <c r="I1769">
        <v>3.794</v>
      </c>
      <c r="J1769">
        <v>30.702999999999999</v>
      </c>
      <c r="K1769">
        <v>21.1</v>
      </c>
      <c r="L1769">
        <v>-4.0000000000000001E-3</v>
      </c>
    </row>
    <row r="1770" spans="1:12" x14ac:dyDescent="0.25">
      <c r="A1770">
        <v>7277</v>
      </c>
      <c r="B1770">
        <v>0</v>
      </c>
      <c r="C1770">
        <v>3.89</v>
      </c>
      <c r="D1770">
        <v>3.8090000000000002</v>
      </c>
      <c r="E1770">
        <v>3.7589999999999999</v>
      </c>
      <c r="F1770">
        <v>4.0060000000000002</v>
      </c>
      <c r="G1770">
        <v>3.8540000000000001</v>
      </c>
      <c r="H1770">
        <v>3.8370000000000002</v>
      </c>
      <c r="I1770">
        <v>3.774</v>
      </c>
      <c r="J1770">
        <v>26.928999999999998</v>
      </c>
      <c r="K1770">
        <v>21.1</v>
      </c>
      <c r="L1770">
        <v>-1.9E-2</v>
      </c>
    </row>
    <row r="1771" spans="1:12" x14ac:dyDescent="0.25">
      <c r="A1771">
        <v>12282</v>
      </c>
      <c r="B1771">
        <v>3.871</v>
      </c>
      <c r="C1771">
        <v>3.89</v>
      </c>
      <c r="D1771">
        <v>3.8090000000000002</v>
      </c>
      <c r="E1771">
        <v>3.7589999999999999</v>
      </c>
      <c r="F1771">
        <v>4.0060000000000002</v>
      </c>
      <c r="G1771">
        <v>3.883</v>
      </c>
      <c r="H1771">
        <v>3.8079999999999998</v>
      </c>
      <c r="I1771">
        <v>3.774</v>
      </c>
      <c r="J1771">
        <v>30.8</v>
      </c>
      <c r="K1771">
        <v>21</v>
      </c>
      <c r="L1771">
        <v>-1E-3</v>
      </c>
    </row>
    <row r="1772" spans="1:12" x14ac:dyDescent="0.25">
      <c r="A1772">
        <v>17345</v>
      </c>
      <c r="B1772">
        <v>3.8660000000000001</v>
      </c>
      <c r="C1772">
        <v>3.895</v>
      </c>
      <c r="D1772">
        <v>3.8090000000000002</v>
      </c>
      <c r="E1772">
        <v>3.7589999999999999</v>
      </c>
      <c r="F1772">
        <v>4.0060000000000002</v>
      </c>
      <c r="G1772">
        <v>3.883</v>
      </c>
      <c r="H1772">
        <v>3.8079999999999998</v>
      </c>
      <c r="I1772">
        <v>3.8130000000000002</v>
      </c>
      <c r="J1772">
        <v>30.838999999999999</v>
      </c>
      <c r="K1772">
        <v>21</v>
      </c>
      <c r="L1772">
        <v>-8.9999999999999993E-3</v>
      </c>
    </row>
    <row r="1773" spans="1:12" x14ac:dyDescent="0.25">
      <c r="A1773">
        <v>22355</v>
      </c>
      <c r="B1773">
        <v>3.871</v>
      </c>
      <c r="C1773">
        <v>3.8809999999999998</v>
      </c>
      <c r="D1773">
        <v>3.8180000000000001</v>
      </c>
      <c r="E1773">
        <v>3.7589999999999999</v>
      </c>
      <c r="F1773">
        <v>3.988</v>
      </c>
      <c r="G1773">
        <v>3.8540000000000001</v>
      </c>
      <c r="H1773">
        <v>3.8370000000000002</v>
      </c>
      <c r="I1773">
        <v>3.8130000000000002</v>
      </c>
      <c r="J1773">
        <v>30.821000000000002</v>
      </c>
      <c r="K1773">
        <v>21.1</v>
      </c>
      <c r="L1773">
        <v>-1.2999999999999999E-2</v>
      </c>
    </row>
    <row r="1774" spans="1:12" x14ac:dyDescent="0.25">
      <c r="A1774">
        <v>27362</v>
      </c>
      <c r="B1774">
        <v>3.871</v>
      </c>
      <c r="C1774">
        <v>3.89</v>
      </c>
      <c r="D1774">
        <v>3.8090000000000002</v>
      </c>
      <c r="E1774">
        <v>3.7589999999999999</v>
      </c>
      <c r="F1774">
        <v>4.0330000000000004</v>
      </c>
      <c r="G1774">
        <v>3.855</v>
      </c>
      <c r="H1774">
        <v>3.8079999999999998</v>
      </c>
      <c r="I1774">
        <v>3.8130000000000002</v>
      </c>
      <c r="J1774">
        <v>30.838000000000001</v>
      </c>
      <c r="K1774">
        <v>21</v>
      </c>
      <c r="L1774">
        <v>-8.0000000000000002E-3</v>
      </c>
    </row>
    <row r="1775" spans="1:12" x14ac:dyDescent="0.25">
      <c r="A1775">
        <v>32362</v>
      </c>
      <c r="B1775">
        <v>3.871</v>
      </c>
      <c r="C1775">
        <v>3.89</v>
      </c>
      <c r="D1775">
        <v>3.8090000000000002</v>
      </c>
      <c r="E1775">
        <v>3.7589999999999999</v>
      </c>
      <c r="F1775">
        <v>4.0149999999999997</v>
      </c>
      <c r="G1775">
        <v>3.855</v>
      </c>
      <c r="H1775">
        <v>3.7759999999999998</v>
      </c>
      <c r="I1775">
        <v>3.8450000000000002</v>
      </c>
      <c r="J1775">
        <v>30.82</v>
      </c>
      <c r="K1775">
        <v>21.1</v>
      </c>
      <c r="L1775">
        <v>-1.4E-2</v>
      </c>
    </row>
    <row r="1776" spans="1:12" x14ac:dyDescent="0.25">
      <c r="A1776">
        <v>37364</v>
      </c>
      <c r="B1776">
        <v>3.871</v>
      </c>
      <c r="C1776">
        <v>3.89</v>
      </c>
      <c r="D1776">
        <v>3.8239999999999998</v>
      </c>
      <c r="E1776">
        <v>3.7440000000000002</v>
      </c>
      <c r="F1776">
        <v>4.0149999999999997</v>
      </c>
      <c r="G1776">
        <v>3.855</v>
      </c>
      <c r="H1776">
        <v>3.8079999999999998</v>
      </c>
      <c r="I1776">
        <v>3.8130000000000002</v>
      </c>
      <c r="J1776">
        <v>30.82</v>
      </c>
      <c r="K1776">
        <v>21.1</v>
      </c>
      <c r="L1776">
        <v>-2.1000000000000001E-2</v>
      </c>
    </row>
    <row r="1777" spans="1:12" x14ac:dyDescent="0.25">
      <c r="A1777">
        <v>42369</v>
      </c>
      <c r="B1777">
        <v>3.871</v>
      </c>
      <c r="C1777">
        <v>3.89</v>
      </c>
      <c r="D1777">
        <v>3.8090000000000002</v>
      </c>
      <c r="E1777">
        <v>3.7589999999999999</v>
      </c>
      <c r="F1777">
        <v>3.988</v>
      </c>
      <c r="G1777">
        <v>3.883</v>
      </c>
      <c r="H1777">
        <v>3.8079999999999998</v>
      </c>
      <c r="I1777">
        <v>3.8130000000000002</v>
      </c>
      <c r="J1777">
        <v>30.821000000000002</v>
      </c>
      <c r="K1777">
        <v>21</v>
      </c>
      <c r="L1777">
        <v>-2.4E-2</v>
      </c>
    </row>
    <row r="1778" spans="1:12" x14ac:dyDescent="0.25">
      <c r="A1778">
        <v>47411</v>
      </c>
      <c r="B1778">
        <v>3.871</v>
      </c>
      <c r="C1778">
        <v>3.89</v>
      </c>
      <c r="D1778">
        <v>3.8239999999999998</v>
      </c>
      <c r="E1778">
        <v>3.7440000000000002</v>
      </c>
      <c r="F1778">
        <v>3.988</v>
      </c>
      <c r="G1778">
        <v>3.883</v>
      </c>
      <c r="H1778">
        <v>3.8410000000000002</v>
      </c>
      <c r="I1778">
        <v>3.819</v>
      </c>
      <c r="J1778">
        <v>30.86</v>
      </c>
      <c r="K1778">
        <v>21</v>
      </c>
      <c r="L1778">
        <v>-2.5000000000000001E-2</v>
      </c>
    </row>
    <row r="1779" spans="1:12" x14ac:dyDescent="0.25">
      <c r="A1779">
        <v>52422</v>
      </c>
      <c r="B1779">
        <v>3.8759999999999999</v>
      </c>
      <c r="C1779">
        <v>3.8940000000000001</v>
      </c>
      <c r="D1779">
        <v>3.8149999999999999</v>
      </c>
      <c r="E1779">
        <v>3.7440000000000002</v>
      </c>
      <c r="F1779">
        <v>4.0060000000000002</v>
      </c>
      <c r="G1779">
        <v>3.883</v>
      </c>
      <c r="H1779">
        <v>3.8410000000000002</v>
      </c>
      <c r="I1779">
        <v>3.819</v>
      </c>
      <c r="J1779">
        <v>30.878</v>
      </c>
      <c r="K1779">
        <v>21</v>
      </c>
      <c r="L1779">
        <v>-1.9E-2</v>
      </c>
    </row>
    <row r="1780" spans="1:12" x14ac:dyDescent="0.25">
      <c r="A1780">
        <v>57428</v>
      </c>
      <c r="B1780">
        <v>3.8759999999999999</v>
      </c>
      <c r="C1780">
        <v>3.8940000000000001</v>
      </c>
      <c r="D1780">
        <v>3.8149999999999999</v>
      </c>
      <c r="E1780">
        <v>3.7440000000000002</v>
      </c>
      <c r="F1780">
        <v>4.0149999999999997</v>
      </c>
      <c r="G1780">
        <v>3.855</v>
      </c>
      <c r="H1780">
        <v>3.8079999999999998</v>
      </c>
      <c r="I1780">
        <v>3.8130000000000002</v>
      </c>
      <c r="J1780">
        <v>30.82</v>
      </c>
      <c r="K1780">
        <v>21.1</v>
      </c>
      <c r="L1780">
        <v>-7.0000000000000001E-3</v>
      </c>
    </row>
    <row r="1781" spans="1:12" x14ac:dyDescent="0.25">
      <c r="A1781">
        <v>62429</v>
      </c>
      <c r="B1781">
        <v>3.8759999999999999</v>
      </c>
      <c r="C1781">
        <v>3.8849999999999998</v>
      </c>
      <c r="D1781">
        <v>3.8239999999999998</v>
      </c>
      <c r="E1781">
        <v>3.7440000000000002</v>
      </c>
      <c r="F1781">
        <v>4.0149999999999997</v>
      </c>
      <c r="G1781">
        <v>3.8839999999999999</v>
      </c>
      <c r="H1781">
        <v>3.78</v>
      </c>
      <c r="I1781">
        <v>3.8130000000000002</v>
      </c>
      <c r="J1781">
        <v>30.821000000000002</v>
      </c>
      <c r="K1781">
        <v>21</v>
      </c>
      <c r="L1781">
        <v>-1.7999999999999999E-2</v>
      </c>
    </row>
    <row r="1782" spans="1:12" x14ac:dyDescent="0.25">
      <c r="A1782">
        <v>67433</v>
      </c>
      <c r="B1782">
        <v>3.871</v>
      </c>
      <c r="C1782">
        <v>3.89</v>
      </c>
      <c r="D1782">
        <v>3.8239999999999998</v>
      </c>
      <c r="E1782">
        <v>3.7440000000000002</v>
      </c>
      <c r="F1782">
        <v>3.988</v>
      </c>
      <c r="G1782">
        <v>3.883</v>
      </c>
      <c r="H1782">
        <v>3.8079999999999998</v>
      </c>
      <c r="I1782">
        <v>3.8130000000000002</v>
      </c>
      <c r="J1782">
        <v>30.821000000000002</v>
      </c>
      <c r="K1782">
        <v>21</v>
      </c>
      <c r="L1782">
        <v>-1.2E-2</v>
      </c>
    </row>
    <row r="1783" spans="1:12" x14ac:dyDescent="0.25">
      <c r="A1783">
        <v>72438</v>
      </c>
      <c r="B1783">
        <v>3.8759999999999999</v>
      </c>
      <c r="C1783">
        <v>3.8940000000000001</v>
      </c>
      <c r="D1783">
        <v>3.8149999999999999</v>
      </c>
      <c r="E1783">
        <v>3.7440000000000002</v>
      </c>
      <c r="F1783">
        <v>4.0149999999999997</v>
      </c>
      <c r="G1783">
        <v>3.855</v>
      </c>
      <c r="H1783">
        <v>3.8410000000000002</v>
      </c>
      <c r="I1783">
        <v>3.819</v>
      </c>
      <c r="J1783">
        <v>30.859000000000002</v>
      </c>
      <c r="K1783">
        <v>21.1</v>
      </c>
      <c r="L1783">
        <v>-2.5000000000000001E-2</v>
      </c>
    </row>
    <row r="1784" spans="1:12" x14ac:dyDescent="0.25">
      <c r="A1784">
        <v>77480</v>
      </c>
      <c r="B1784">
        <v>3.8759999999999999</v>
      </c>
      <c r="C1784">
        <v>3.8940000000000001</v>
      </c>
      <c r="D1784">
        <v>3.8149999999999999</v>
      </c>
      <c r="E1784">
        <v>3.762</v>
      </c>
      <c r="F1784">
        <v>4.0330000000000004</v>
      </c>
      <c r="G1784">
        <v>3.855</v>
      </c>
      <c r="H1784">
        <v>3.8410000000000002</v>
      </c>
      <c r="I1784">
        <v>3.78</v>
      </c>
      <c r="J1784">
        <v>30.856000000000002</v>
      </c>
      <c r="K1784">
        <v>21.1</v>
      </c>
      <c r="L1784">
        <v>-2.8000000000000001E-2</v>
      </c>
    </row>
    <row r="1785" spans="1:12" x14ac:dyDescent="0.25">
      <c r="A1785">
        <v>82491</v>
      </c>
      <c r="B1785">
        <v>3.871</v>
      </c>
      <c r="C1785">
        <v>3.899</v>
      </c>
      <c r="D1785">
        <v>3.8149999999999999</v>
      </c>
      <c r="E1785">
        <v>3.762</v>
      </c>
      <c r="F1785">
        <v>4.0149999999999997</v>
      </c>
      <c r="G1785">
        <v>3.8839999999999999</v>
      </c>
      <c r="H1785">
        <v>3.8119999999999998</v>
      </c>
      <c r="I1785">
        <v>3.819</v>
      </c>
      <c r="J1785">
        <v>30.876999999999999</v>
      </c>
      <c r="K1785">
        <v>21.1</v>
      </c>
      <c r="L1785">
        <v>-2.3E-2</v>
      </c>
    </row>
    <row r="1786" spans="1:12" x14ac:dyDescent="0.25">
      <c r="A1786">
        <v>87498</v>
      </c>
      <c r="B1786">
        <v>3.871</v>
      </c>
      <c r="C1786">
        <v>3.89</v>
      </c>
      <c r="D1786">
        <v>3.8239999999999998</v>
      </c>
      <c r="E1786">
        <v>3.762</v>
      </c>
      <c r="F1786">
        <v>4.0149999999999997</v>
      </c>
      <c r="G1786">
        <v>3.8839999999999999</v>
      </c>
      <c r="H1786">
        <v>3.78</v>
      </c>
      <c r="I1786">
        <v>3.8519999999999999</v>
      </c>
      <c r="J1786">
        <v>30.878</v>
      </c>
      <c r="K1786">
        <v>21</v>
      </c>
      <c r="L1786">
        <v>5.0000000000000001E-3</v>
      </c>
    </row>
    <row r="1787" spans="1:12" x14ac:dyDescent="0.25">
      <c r="A1787">
        <v>92498</v>
      </c>
      <c r="B1787">
        <v>3.8759999999999999</v>
      </c>
      <c r="C1787">
        <v>3.8940000000000001</v>
      </c>
      <c r="D1787">
        <v>3.8149999999999999</v>
      </c>
      <c r="E1787">
        <v>3.762</v>
      </c>
      <c r="F1787">
        <v>3.988</v>
      </c>
      <c r="G1787">
        <v>3.883</v>
      </c>
      <c r="H1787">
        <v>3.8410000000000002</v>
      </c>
      <c r="I1787">
        <v>3.819</v>
      </c>
      <c r="J1787">
        <v>30.878</v>
      </c>
      <c r="K1787">
        <v>21.1</v>
      </c>
      <c r="L1787">
        <v>-0.03</v>
      </c>
    </row>
    <row r="1788" spans="1:12" x14ac:dyDescent="0.25">
      <c r="A1788">
        <v>97500</v>
      </c>
      <c r="B1788">
        <v>3.8759999999999999</v>
      </c>
      <c r="C1788">
        <v>3.8940000000000001</v>
      </c>
      <c r="D1788">
        <v>3.8149999999999999</v>
      </c>
      <c r="E1788">
        <v>3.7440000000000002</v>
      </c>
      <c r="F1788">
        <v>3.9969999999999999</v>
      </c>
      <c r="G1788">
        <v>3.8839999999999999</v>
      </c>
      <c r="H1788">
        <v>3.78</v>
      </c>
      <c r="I1788">
        <v>3.8519999999999999</v>
      </c>
      <c r="J1788">
        <v>30.841999999999999</v>
      </c>
      <c r="K1788">
        <v>21</v>
      </c>
      <c r="L1788">
        <v>-2.1000000000000001E-2</v>
      </c>
    </row>
    <row r="1789" spans="1:12" x14ac:dyDescent="0.25">
      <c r="A1789">
        <v>102505</v>
      </c>
      <c r="B1789">
        <v>3.8759999999999999</v>
      </c>
      <c r="C1789">
        <v>3.8940000000000001</v>
      </c>
      <c r="D1789">
        <v>3.8149999999999999</v>
      </c>
      <c r="E1789">
        <v>3.762</v>
      </c>
      <c r="F1789">
        <v>3.9969999999999999</v>
      </c>
      <c r="G1789">
        <v>3.8839999999999999</v>
      </c>
      <c r="H1789">
        <v>3.78</v>
      </c>
      <c r="I1789">
        <v>3.8519999999999999</v>
      </c>
      <c r="J1789">
        <v>30.86</v>
      </c>
      <c r="K1789">
        <v>21.1</v>
      </c>
      <c r="L1789">
        <v>-2.5000000000000001E-2</v>
      </c>
    </row>
    <row r="1790" spans="1:12" x14ac:dyDescent="0.25">
      <c r="A1790">
        <v>107547</v>
      </c>
      <c r="B1790">
        <v>3.8759999999999999</v>
      </c>
      <c r="C1790">
        <v>3.8940000000000001</v>
      </c>
      <c r="D1790">
        <v>3.8149999999999999</v>
      </c>
      <c r="E1790">
        <v>3.762</v>
      </c>
      <c r="F1790">
        <v>3.9969999999999999</v>
      </c>
      <c r="G1790">
        <v>3.855</v>
      </c>
      <c r="H1790">
        <v>3.8410000000000002</v>
      </c>
      <c r="I1790">
        <v>3.819</v>
      </c>
      <c r="J1790">
        <v>30.859000000000002</v>
      </c>
      <c r="K1790">
        <v>21.1</v>
      </c>
      <c r="L1790">
        <v>-2.7E-2</v>
      </c>
    </row>
    <row r="1791" spans="1:12" x14ac:dyDescent="0.25">
      <c r="A1791">
        <v>112558</v>
      </c>
      <c r="B1791">
        <v>3.8759999999999999</v>
      </c>
      <c r="C1791">
        <v>3.8849999999999998</v>
      </c>
      <c r="D1791">
        <v>3.8239999999999998</v>
      </c>
      <c r="E1791">
        <v>3.762</v>
      </c>
      <c r="F1791">
        <v>3.9969999999999999</v>
      </c>
      <c r="G1791">
        <v>3.8839999999999999</v>
      </c>
      <c r="H1791">
        <v>3.8119999999999998</v>
      </c>
      <c r="I1791">
        <v>3.819</v>
      </c>
      <c r="J1791">
        <v>30.859000000000002</v>
      </c>
      <c r="K1791">
        <v>21.1</v>
      </c>
      <c r="L1791">
        <v>-2.8000000000000001E-2</v>
      </c>
    </row>
    <row r="1792" spans="1:12" x14ac:dyDescent="0.25">
      <c r="A1792">
        <v>117565</v>
      </c>
      <c r="B1792">
        <v>3.8759999999999999</v>
      </c>
      <c r="C1792">
        <v>3.8940000000000001</v>
      </c>
      <c r="D1792">
        <v>3.8149999999999999</v>
      </c>
      <c r="E1792">
        <v>3.762</v>
      </c>
      <c r="F1792">
        <v>3.9969999999999999</v>
      </c>
      <c r="G1792">
        <v>3.8839999999999999</v>
      </c>
      <c r="H1792">
        <v>3.8119999999999998</v>
      </c>
      <c r="I1792">
        <v>3.819</v>
      </c>
      <c r="J1792">
        <v>30.859000000000002</v>
      </c>
      <c r="K1792">
        <v>21.1</v>
      </c>
      <c r="L1792">
        <v>-1.9E-2</v>
      </c>
    </row>
    <row r="1793" spans="1:12" x14ac:dyDescent="0.25">
      <c r="A1793">
        <v>122565</v>
      </c>
      <c r="B1793">
        <v>3.8809999999999998</v>
      </c>
      <c r="C1793">
        <v>3.8889999999999998</v>
      </c>
      <c r="D1793">
        <v>3.8149999999999999</v>
      </c>
      <c r="E1793">
        <v>3.7440000000000002</v>
      </c>
      <c r="F1793">
        <v>3.9969999999999999</v>
      </c>
      <c r="G1793">
        <v>3.8839999999999999</v>
      </c>
      <c r="H1793">
        <v>3.8119999999999998</v>
      </c>
      <c r="I1793">
        <v>3.819</v>
      </c>
      <c r="J1793">
        <v>30.841000000000001</v>
      </c>
      <c r="K1793">
        <v>21.1</v>
      </c>
      <c r="L1793">
        <v>-4.3999999999999997E-2</v>
      </c>
    </row>
    <row r="1794" spans="1:12" x14ac:dyDescent="0.25">
      <c r="A1794">
        <v>127568</v>
      </c>
      <c r="B1794">
        <v>3.8759999999999999</v>
      </c>
      <c r="C1794">
        <v>3.8940000000000001</v>
      </c>
      <c r="D1794">
        <v>3.8149999999999999</v>
      </c>
      <c r="E1794">
        <v>3.762</v>
      </c>
      <c r="F1794">
        <v>3.9969999999999999</v>
      </c>
      <c r="G1794">
        <v>3.8839999999999999</v>
      </c>
      <c r="H1794">
        <v>3.8119999999999998</v>
      </c>
      <c r="I1794">
        <v>3.819</v>
      </c>
      <c r="J1794">
        <v>30.859000000000002</v>
      </c>
      <c r="K1794">
        <v>21.1</v>
      </c>
      <c r="L1794">
        <v>-3.7999999999999999E-2</v>
      </c>
    </row>
    <row r="1795" spans="1:12" x14ac:dyDescent="0.25">
      <c r="A1795">
        <v>132568</v>
      </c>
      <c r="B1795">
        <v>3.8759999999999999</v>
      </c>
      <c r="C1795">
        <v>3.8940000000000001</v>
      </c>
      <c r="D1795">
        <v>3.8149999999999999</v>
      </c>
      <c r="E1795">
        <v>3.762</v>
      </c>
      <c r="F1795">
        <v>4.0250000000000004</v>
      </c>
      <c r="G1795">
        <v>3.8559999999999999</v>
      </c>
      <c r="H1795">
        <v>3.8119999999999998</v>
      </c>
      <c r="I1795">
        <v>3.819</v>
      </c>
      <c r="J1795">
        <v>30.859000000000002</v>
      </c>
      <c r="K1795">
        <v>21.1</v>
      </c>
      <c r="L1795">
        <v>-4.1000000000000002E-2</v>
      </c>
    </row>
    <row r="1796" spans="1:12" x14ac:dyDescent="0.25">
      <c r="A1796">
        <v>137610</v>
      </c>
      <c r="B1796">
        <v>3.8759999999999999</v>
      </c>
      <c r="C1796">
        <v>3.8940000000000001</v>
      </c>
      <c r="D1796">
        <v>3.8149999999999999</v>
      </c>
      <c r="E1796">
        <v>3.762</v>
      </c>
      <c r="F1796">
        <v>3.9969999999999999</v>
      </c>
      <c r="G1796">
        <v>3.8839999999999999</v>
      </c>
      <c r="H1796">
        <v>3.8119999999999998</v>
      </c>
      <c r="I1796">
        <v>3.819</v>
      </c>
      <c r="J1796">
        <v>30.859000000000002</v>
      </c>
      <c r="K1796">
        <v>21.1</v>
      </c>
      <c r="L1796">
        <v>-4.2000000000000003E-2</v>
      </c>
    </row>
    <row r="1797" spans="1:12" x14ac:dyDescent="0.25">
      <c r="A1797">
        <v>142622</v>
      </c>
      <c r="B1797">
        <v>3.8759999999999999</v>
      </c>
      <c r="C1797">
        <v>3.8940000000000001</v>
      </c>
      <c r="D1797">
        <v>3.8149999999999999</v>
      </c>
      <c r="E1797">
        <v>3.762</v>
      </c>
      <c r="F1797">
        <v>3.9969999999999999</v>
      </c>
      <c r="G1797">
        <v>3.855</v>
      </c>
      <c r="H1797">
        <v>3.8730000000000002</v>
      </c>
      <c r="I1797">
        <v>3.8260000000000001</v>
      </c>
      <c r="J1797">
        <v>30.898</v>
      </c>
      <c r="K1797">
        <v>21.1</v>
      </c>
      <c r="L1797">
        <v>-2.9000000000000001E-2</v>
      </c>
    </row>
    <row r="1798" spans="1:12" x14ac:dyDescent="0.25">
      <c r="A1798">
        <v>147628</v>
      </c>
      <c r="B1798">
        <v>3.8759999999999999</v>
      </c>
      <c r="C1798">
        <v>3.8940000000000001</v>
      </c>
      <c r="D1798">
        <v>3.8149999999999999</v>
      </c>
      <c r="E1798">
        <v>3.7440000000000002</v>
      </c>
      <c r="F1798">
        <v>3.9969999999999999</v>
      </c>
      <c r="G1798">
        <v>3.855</v>
      </c>
      <c r="H1798">
        <v>3.8730000000000002</v>
      </c>
      <c r="I1798">
        <v>3.8260000000000001</v>
      </c>
      <c r="J1798">
        <v>30.88</v>
      </c>
      <c r="K1798">
        <v>21.1</v>
      </c>
      <c r="L1798">
        <v>-4.7E-2</v>
      </c>
    </row>
    <row r="1799" spans="1:12" x14ac:dyDescent="0.25">
      <c r="A1799">
        <v>152628</v>
      </c>
      <c r="B1799">
        <v>3.8759999999999999</v>
      </c>
      <c r="C1799">
        <v>3.903</v>
      </c>
      <c r="D1799">
        <v>3.806</v>
      </c>
      <c r="E1799">
        <v>3.762</v>
      </c>
      <c r="F1799">
        <v>4.0250000000000004</v>
      </c>
      <c r="G1799">
        <v>3.8559999999999999</v>
      </c>
      <c r="H1799">
        <v>3.8450000000000002</v>
      </c>
      <c r="I1799">
        <v>3.8260000000000001</v>
      </c>
      <c r="J1799">
        <v>30.899000000000001</v>
      </c>
      <c r="K1799">
        <v>21.1</v>
      </c>
      <c r="L1799">
        <v>-5.5E-2</v>
      </c>
    </row>
    <row r="1800" spans="1:12" x14ac:dyDescent="0.25">
      <c r="A1800">
        <v>157631</v>
      </c>
      <c r="B1800">
        <v>3.8759999999999999</v>
      </c>
      <c r="C1800">
        <v>3.8940000000000001</v>
      </c>
      <c r="D1800">
        <v>3.8149999999999999</v>
      </c>
      <c r="E1800">
        <v>3.762</v>
      </c>
      <c r="F1800">
        <v>4.0419999999999998</v>
      </c>
      <c r="G1800">
        <v>3.8559999999999999</v>
      </c>
      <c r="H1800">
        <v>3.8450000000000002</v>
      </c>
      <c r="I1800">
        <v>3.8260000000000001</v>
      </c>
      <c r="J1800">
        <v>30.916</v>
      </c>
      <c r="K1800">
        <v>21.1</v>
      </c>
      <c r="L1800">
        <v>-3.7999999999999999E-2</v>
      </c>
    </row>
    <row r="1801" spans="1:12" x14ac:dyDescent="0.25">
      <c r="A1801">
        <v>162636</v>
      </c>
      <c r="B1801">
        <v>3.8759999999999999</v>
      </c>
      <c r="C1801">
        <v>3.903</v>
      </c>
      <c r="D1801">
        <v>3.8210000000000002</v>
      </c>
      <c r="E1801">
        <v>3.7469999999999999</v>
      </c>
      <c r="F1801">
        <v>3.9969999999999999</v>
      </c>
      <c r="G1801">
        <v>3.8839999999999999</v>
      </c>
      <c r="H1801">
        <v>3.8119999999999998</v>
      </c>
      <c r="I1801">
        <v>3.8580000000000001</v>
      </c>
      <c r="J1801">
        <v>30.898</v>
      </c>
      <c r="K1801">
        <v>21.1</v>
      </c>
      <c r="L1801">
        <v>-4.9000000000000002E-2</v>
      </c>
    </row>
    <row r="1802" spans="1:12" x14ac:dyDescent="0.25">
      <c r="A1802">
        <v>167678</v>
      </c>
      <c r="B1802">
        <v>3.8759999999999999</v>
      </c>
      <c r="C1802">
        <v>3.903</v>
      </c>
      <c r="D1802">
        <v>3.8210000000000002</v>
      </c>
      <c r="E1802">
        <v>3.7469999999999999</v>
      </c>
      <c r="F1802">
        <v>4.0250000000000004</v>
      </c>
      <c r="G1802">
        <v>3.8849999999999998</v>
      </c>
      <c r="H1802">
        <v>3.7839999999999998</v>
      </c>
      <c r="I1802">
        <v>3.8580000000000001</v>
      </c>
      <c r="J1802">
        <v>30.899000000000001</v>
      </c>
      <c r="K1802">
        <v>21.1</v>
      </c>
      <c r="L1802">
        <v>-4.2999999999999997E-2</v>
      </c>
    </row>
    <row r="1803" spans="1:12" x14ac:dyDescent="0.25">
      <c r="A1803">
        <v>172689</v>
      </c>
      <c r="B1803">
        <v>3.8809999999999998</v>
      </c>
      <c r="C1803">
        <v>3.8889999999999998</v>
      </c>
      <c r="D1803">
        <v>3.83</v>
      </c>
      <c r="E1803">
        <v>3.7469999999999999</v>
      </c>
      <c r="F1803">
        <v>4.0250000000000004</v>
      </c>
      <c r="G1803">
        <v>3.8849999999999998</v>
      </c>
      <c r="H1803">
        <v>3.7839999999999998</v>
      </c>
      <c r="I1803">
        <v>3.8580000000000001</v>
      </c>
      <c r="J1803">
        <v>30.899000000000001</v>
      </c>
      <c r="K1803">
        <v>21.1</v>
      </c>
      <c r="L1803">
        <v>-4.4999999999999998E-2</v>
      </c>
    </row>
    <row r="1804" spans="1:12" x14ac:dyDescent="0.25">
      <c r="A1804">
        <v>177696</v>
      </c>
      <c r="B1804">
        <v>3.8759999999999999</v>
      </c>
      <c r="C1804">
        <v>3.8940000000000001</v>
      </c>
      <c r="D1804">
        <v>3.83</v>
      </c>
      <c r="E1804">
        <v>3.7469999999999999</v>
      </c>
      <c r="F1804">
        <v>4.0419999999999998</v>
      </c>
      <c r="G1804">
        <v>3.8559999999999999</v>
      </c>
      <c r="H1804">
        <v>3.8450000000000002</v>
      </c>
      <c r="I1804">
        <v>3.8260000000000001</v>
      </c>
      <c r="J1804">
        <v>30.916</v>
      </c>
      <c r="K1804">
        <v>21.1</v>
      </c>
      <c r="L1804">
        <v>-4.7E-2</v>
      </c>
    </row>
    <row r="1805" spans="1:12" x14ac:dyDescent="0.25">
      <c r="A1805">
        <v>182697</v>
      </c>
      <c r="B1805">
        <v>3.8759999999999999</v>
      </c>
      <c r="C1805">
        <v>3.8940000000000001</v>
      </c>
      <c r="D1805">
        <v>3.83</v>
      </c>
      <c r="E1805">
        <v>3.7469999999999999</v>
      </c>
      <c r="F1805">
        <v>4.0250000000000004</v>
      </c>
      <c r="G1805">
        <v>3.8559999999999999</v>
      </c>
      <c r="H1805">
        <v>3.8119999999999998</v>
      </c>
      <c r="I1805">
        <v>3.819</v>
      </c>
      <c r="J1805">
        <v>30.859000000000002</v>
      </c>
      <c r="K1805">
        <v>21.2</v>
      </c>
      <c r="L1805">
        <v>-4.2000000000000003E-2</v>
      </c>
    </row>
    <row r="1806" spans="1:12" x14ac:dyDescent="0.25">
      <c r="A1806">
        <v>187699</v>
      </c>
      <c r="B1806">
        <v>3.8759999999999999</v>
      </c>
      <c r="C1806">
        <v>3.903</v>
      </c>
      <c r="D1806">
        <v>3.806</v>
      </c>
      <c r="E1806">
        <v>3.762</v>
      </c>
      <c r="F1806">
        <v>3.9969999999999999</v>
      </c>
      <c r="G1806">
        <v>3.8839999999999999</v>
      </c>
      <c r="H1806">
        <v>3.8119999999999998</v>
      </c>
      <c r="I1806">
        <v>3.8580000000000001</v>
      </c>
      <c r="J1806">
        <v>30.898</v>
      </c>
      <c r="K1806">
        <v>21.1</v>
      </c>
      <c r="L1806">
        <v>-1.6E-2</v>
      </c>
    </row>
    <row r="1807" spans="1:12" x14ac:dyDescent="0.25">
      <c r="A1807">
        <v>192704</v>
      </c>
      <c r="B1807">
        <v>3.8759999999999999</v>
      </c>
      <c r="C1807">
        <v>3.903</v>
      </c>
      <c r="D1807">
        <v>3.806</v>
      </c>
      <c r="E1807">
        <v>3.762</v>
      </c>
      <c r="F1807">
        <v>4.0419999999999998</v>
      </c>
      <c r="G1807">
        <v>3.8559999999999999</v>
      </c>
      <c r="H1807">
        <v>3.8119999999999998</v>
      </c>
      <c r="I1807">
        <v>3.8580000000000001</v>
      </c>
      <c r="J1807">
        <v>30.914999999999999</v>
      </c>
      <c r="K1807">
        <v>21.1</v>
      </c>
      <c r="L1807">
        <v>-3.9E-2</v>
      </c>
    </row>
    <row r="1808" spans="1:12" x14ac:dyDescent="0.25">
      <c r="A1808">
        <v>197746</v>
      </c>
      <c r="B1808">
        <v>3.8809999999999998</v>
      </c>
      <c r="C1808">
        <v>3.8980000000000001</v>
      </c>
      <c r="D1808">
        <v>3.8210000000000002</v>
      </c>
      <c r="E1808">
        <v>3.7469999999999999</v>
      </c>
      <c r="F1808">
        <v>3.9969999999999999</v>
      </c>
      <c r="G1808">
        <v>3.8839999999999999</v>
      </c>
      <c r="H1808">
        <v>3.8450000000000002</v>
      </c>
      <c r="I1808">
        <v>3.8260000000000001</v>
      </c>
      <c r="J1808">
        <v>30.899000000000001</v>
      </c>
      <c r="K1808">
        <v>21.1</v>
      </c>
      <c r="L1808">
        <v>-4.2999999999999997E-2</v>
      </c>
    </row>
    <row r="1809" spans="1:12" x14ac:dyDescent="0.25">
      <c r="A1809">
        <v>202757</v>
      </c>
      <c r="B1809">
        <v>3.8809999999999998</v>
      </c>
      <c r="C1809">
        <v>3.8980000000000001</v>
      </c>
      <c r="D1809">
        <v>3.8210000000000002</v>
      </c>
      <c r="E1809">
        <v>3.7469999999999999</v>
      </c>
      <c r="F1809">
        <v>4.0250000000000004</v>
      </c>
      <c r="G1809">
        <v>3.8559999999999999</v>
      </c>
      <c r="H1809">
        <v>3.8450000000000002</v>
      </c>
      <c r="I1809">
        <v>3.8260000000000001</v>
      </c>
      <c r="J1809">
        <v>30.899000000000001</v>
      </c>
      <c r="K1809">
        <v>21.1</v>
      </c>
      <c r="L1809">
        <v>-3.4000000000000002E-2</v>
      </c>
    </row>
    <row r="1810" spans="1:12" x14ac:dyDescent="0.25">
      <c r="A1810">
        <v>207759</v>
      </c>
      <c r="B1810">
        <v>3.8809999999999998</v>
      </c>
      <c r="C1810">
        <v>3.8889999999999998</v>
      </c>
      <c r="D1810">
        <v>3.83</v>
      </c>
      <c r="E1810">
        <v>3.7469999999999999</v>
      </c>
      <c r="F1810">
        <v>4.0250000000000004</v>
      </c>
      <c r="G1810">
        <v>3.8559999999999999</v>
      </c>
      <c r="H1810">
        <v>3.8119999999999998</v>
      </c>
      <c r="I1810">
        <v>3.819</v>
      </c>
      <c r="J1810">
        <v>30.859000000000002</v>
      </c>
      <c r="K1810">
        <v>21</v>
      </c>
      <c r="L1810">
        <v>-1.4E-2</v>
      </c>
    </row>
    <row r="1811" spans="1:12" x14ac:dyDescent="0.25">
      <c r="A1811">
        <v>212765</v>
      </c>
      <c r="B1811">
        <v>3.8759999999999999</v>
      </c>
      <c r="C1811">
        <v>3.8940000000000001</v>
      </c>
      <c r="D1811">
        <v>3.83</v>
      </c>
      <c r="E1811">
        <v>3.7469999999999999</v>
      </c>
      <c r="F1811">
        <v>4.0250000000000004</v>
      </c>
      <c r="G1811">
        <v>3.8849999999999998</v>
      </c>
      <c r="H1811">
        <v>3.8170000000000002</v>
      </c>
      <c r="I1811">
        <v>3.8260000000000001</v>
      </c>
      <c r="J1811">
        <v>30.9</v>
      </c>
      <c r="K1811">
        <v>21.1</v>
      </c>
      <c r="L1811">
        <v>-5.0999999999999997E-2</v>
      </c>
    </row>
    <row r="1812" spans="1:12" x14ac:dyDescent="0.25">
      <c r="A1812">
        <v>217772</v>
      </c>
      <c r="B1812">
        <v>3.8809999999999998</v>
      </c>
      <c r="C1812">
        <v>3.8980000000000001</v>
      </c>
      <c r="D1812">
        <v>3.8210000000000002</v>
      </c>
      <c r="E1812">
        <v>3.7469999999999999</v>
      </c>
      <c r="F1812">
        <v>4.0250000000000004</v>
      </c>
      <c r="G1812">
        <v>3.8849999999999998</v>
      </c>
      <c r="H1812">
        <v>3.8170000000000002</v>
      </c>
      <c r="I1812">
        <v>3.8260000000000001</v>
      </c>
      <c r="J1812">
        <v>30.9</v>
      </c>
      <c r="K1812">
        <v>21</v>
      </c>
      <c r="L1812">
        <v>-0.03</v>
      </c>
    </row>
    <row r="1813" spans="1:12" x14ac:dyDescent="0.25">
      <c r="A1813">
        <v>222773</v>
      </c>
      <c r="B1813">
        <v>3.8809999999999998</v>
      </c>
      <c r="C1813">
        <v>3.8980000000000001</v>
      </c>
      <c r="D1813">
        <v>3.8210000000000002</v>
      </c>
      <c r="E1813">
        <v>3.7469999999999999</v>
      </c>
      <c r="F1813">
        <v>3.9969999999999999</v>
      </c>
      <c r="G1813">
        <v>3.8839999999999999</v>
      </c>
      <c r="H1813">
        <v>3.8119999999999998</v>
      </c>
      <c r="I1813">
        <v>3.8580000000000001</v>
      </c>
      <c r="J1813">
        <v>30.898</v>
      </c>
      <c r="K1813">
        <v>21.1</v>
      </c>
      <c r="L1813">
        <v>-3.3000000000000002E-2</v>
      </c>
    </row>
    <row r="1814" spans="1:12" x14ac:dyDescent="0.25">
      <c r="A1814">
        <v>227785</v>
      </c>
      <c r="B1814">
        <v>3.8809999999999998</v>
      </c>
      <c r="C1814">
        <v>3.8980000000000001</v>
      </c>
      <c r="D1814">
        <v>3.8210000000000002</v>
      </c>
      <c r="E1814">
        <v>3.7650000000000001</v>
      </c>
      <c r="F1814">
        <v>3.9790000000000001</v>
      </c>
      <c r="G1814">
        <v>3.9119999999999999</v>
      </c>
      <c r="H1814">
        <v>3.8170000000000002</v>
      </c>
      <c r="I1814">
        <v>3.8260000000000001</v>
      </c>
      <c r="J1814">
        <v>30.899000000000001</v>
      </c>
      <c r="K1814">
        <v>21.1</v>
      </c>
      <c r="L1814">
        <v>-3.4000000000000002E-2</v>
      </c>
    </row>
    <row r="1815" spans="1:12" x14ac:dyDescent="0.25">
      <c r="A1815">
        <v>232791</v>
      </c>
      <c r="B1815">
        <v>3.8759999999999999</v>
      </c>
      <c r="C1815">
        <v>3.903</v>
      </c>
      <c r="D1815">
        <v>3.8210000000000002</v>
      </c>
      <c r="E1815">
        <v>3.7650000000000001</v>
      </c>
      <c r="F1815">
        <v>4.0250000000000004</v>
      </c>
      <c r="G1815">
        <v>3.8559999999999999</v>
      </c>
      <c r="H1815">
        <v>3.8450000000000002</v>
      </c>
      <c r="I1815">
        <v>3.8260000000000001</v>
      </c>
      <c r="J1815">
        <v>30.917000000000002</v>
      </c>
      <c r="K1815">
        <v>21.1</v>
      </c>
      <c r="L1815">
        <v>-0.05</v>
      </c>
    </row>
    <row r="1816" spans="1:12" x14ac:dyDescent="0.25">
      <c r="A1816">
        <v>237793</v>
      </c>
      <c r="B1816">
        <v>3.8809999999999998</v>
      </c>
      <c r="C1816">
        <v>3.8980000000000001</v>
      </c>
      <c r="D1816">
        <v>3.8210000000000002</v>
      </c>
      <c r="E1816">
        <v>3.7469999999999999</v>
      </c>
      <c r="F1816">
        <v>4.0250000000000004</v>
      </c>
      <c r="G1816">
        <v>3.8849999999999998</v>
      </c>
      <c r="H1816">
        <v>3.8170000000000002</v>
      </c>
      <c r="I1816">
        <v>3.8260000000000001</v>
      </c>
      <c r="J1816">
        <v>30.9</v>
      </c>
      <c r="K1816">
        <v>21.1</v>
      </c>
      <c r="L1816">
        <v>-2.5999999999999999E-2</v>
      </c>
    </row>
    <row r="1817" spans="1:12" x14ac:dyDescent="0.25">
      <c r="A1817">
        <v>242799</v>
      </c>
      <c r="B1817">
        <v>3.8759999999999999</v>
      </c>
      <c r="C1817">
        <v>3.903</v>
      </c>
      <c r="D1817">
        <v>3.8210000000000002</v>
      </c>
      <c r="E1817">
        <v>3.7650000000000001</v>
      </c>
      <c r="F1817">
        <v>3.9969999999999999</v>
      </c>
      <c r="G1817">
        <v>3.9119999999999999</v>
      </c>
      <c r="H1817">
        <v>3.8170000000000002</v>
      </c>
      <c r="I1817">
        <v>3.8260000000000001</v>
      </c>
      <c r="J1817">
        <v>30.917000000000002</v>
      </c>
      <c r="K1817">
        <v>21</v>
      </c>
      <c r="L1817">
        <v>-3.7999999999999999E-2</v>
      </c>
    </row>
    <row r="1818" spans="1:12" x14ac:dyDescent="0.25">
      <c r="A1818">
        <v>247810</v>
      </c>
      <c r="B1818">
        <v>3.8809999999999998</v>
      </c>
      <c r="C1818">
        <v>3.8980000000000001</v>
      </c>
      <c r="D1818">
        <v>3.8210000000000002</v>
      </c>
      <c r="E1818">
        <v>3.7650000000000001</v>
      </c>
      <c r="F1818">
        <v>3.9969999999999999</v>
      </c>
      <c r="G1818">
        <v>3.8839999999999999</v>
      </c>
      <c r="H1818">
        <v>3.8450000000000002</v>
      </c>
      <c r="I1818">
        <v>3.8260000000000001</v>
      </c>
      <c r="J1818">
        <v>30.917000000000002</v>
      </c>
      <c r="K1818">
        <v>21.1</v>
      </c>
      <c r="L1818">
        <v>-3.7999999999999999E-2</v>
      </c>
    </row>
    <row r="1819" spans="1:12" x14ac:dyDescent="0.25">
      <c r="A1819">
        <v>252821</v>
      </c>
      <c r="B1819">
        <v>3.8759999999999999</v>
      </c>
      <c r="C1819">
        <v>3.903</v>
      </c>
      <c r="D1819">
        <v>3.8210000000000002</v>
      </c>
      <c r="E1819">
        <v>3.7650000000000001</v>
      </c>
      <c r="F1819">
        <v>4.0250000000000004</v>
      </c>
      <c r="G1819">
        <v>3.8849999999999998</v>
      </c>
      <c r="H1819">
        <v>3.8170000000000002</v>
      </c>
      <c r="I1819">
        <v>3.8260000000000001</v>
      </c>
      <c r="J1819">
        <v>30.917999999999999</v>
      </c>
      <c r="K1819">
        <v>21.1</v>
      </c>
      <c r="L1819">
        <v>-4.7E-2</v>
      </c>
    </row>
    <row r="1820" spans="1:12" x14ac:dyDescent="0.25">
      <c r="A1820">
        <v>257883</v>
      </c>
      <c r="B1820">
        <v>3.8809999999999998</v>
      </c>
      <c r="C1820">
        <v>3.8980000000000001</v>
      </c>
      <c r="D1820">
        <v>3.8210000000000002</v>
      </c>
      <c r="E1820">
        <v>3.7650000000000001</v>
      </c>
      <c r="F1820">
        <v>4.0069999999999997</v>
      </c>
      <c r="G1820">
        <v>3.8849999999999998</v>
      </c>
      <c r="H1820">
        <v>3.8170000000000002</v>
      </c>
      <c r="I1820">
        <v>3.7869999999999999</v>
      </c>
      <c r="J1820">
        <v>30.861000000000001</v>
      </c>
      <c r="K1820">
        <v>21.1</v>
      </c>
      <c r="L1820">
        <v>-4.2999999999999997E-2</v>
      </c>
    </row>
    <row r="1821" spans="1:12" x14ac:dyDescent="0.25">
      <c r="A1821">
        <v>262894</v>
      </c>
      <c r="B1821">
        <v>3.8809999999999998</v>
      </c>
      <c r="C1821">
        <v>3.8980000000000001</v>
      </c>
      <c r="D1821">
        <v>3.8210000000000002</v>
      </c>
      <c r="E1821">
        <v>3.7650000000000001</v>
      </c>
      <c r="F1821">
        <v>4.0250000000000004</v>
      </c>
      <c r="G1821">
        <v>3.8849999999999998</v>
      </c>
      <c r="H1821">
        <v>3.8170000000000002</v>
      </c>
      <c r="I1821">
        <v>3.8260000000000001</v>
      </c>
      <c r="J1821">
        <v>30.917999999999999</v>
      </c>
      <c r="K1821">
        <v>21.1</v>
      </c>
      <c r="L1821">
        <v>-3.3000000000000002E-2</v>
      </c>
    </row>
    <row r="1822" spans="1:12" x14ac:dyDescent="0.25">
      <c r="A1822">
        <v>267895</v>
      </c>
      <c r="B1822">
        <v>3.8759999999999999</v>
      </c>
      <c r="C1822">
        <v>3.8940000000000001</v>
      </c>
      <c r="D1822">
        <v>3.83</v>
      </c>
      <c r="E1822">
        <v>3.7469999999999999</v>
      </c>
      <c r="F1822">
        <v>3.9969999999999999</v>
      </c>
      <c r="G1822">
        <v>3.9119999999999999</v>
      </c>
      <c r="H1822">
        <v>3.7839999999999998</v>
      </c>
      <c r="I1822">
        <v>3.819</v>
      </c>
      <c r="J1822">
        <v>30.859000000000002</v>
      </c>
      <c r="K1822">
        <v>21.1</v>
      </c>
      <c r="L1822">
        <v>-2.4E-2</v>
      </c>
    </row>
    <row r="1823" spans="1:12" x14ac:dyDescent="0.25">
      <c r="A1823">
        <v>272901</v>
      </c>
      <c r="B1823">
        <v>3.8809999999999998</v>
      </c>
      <c r="C1823">
        <v>3.8980000000000001</v>
      </c>
      <c r="D1823">
        <v>3.8210000000000002</v>
      </c>
      <c r="E1823">
        <v>3.7650000000000001</v>
      </c>
      <c r="F1823">
        <v>3.9969999999999999</v>
      </c>
      <c r="G1823">
        <v>3.9119999999999999</v>
      </c>
      <c r="H1823">
        <v>3.7839999999999998</v>
      </c>
      <c r="I1823">
        <v>3.8580000000000001</v>
      </c>
      <c r="J1823">
        <v>30.916</v>
      </c>
      <c r="K1823">
        <v>21.1</v>
      </c>
      <c r="L1823">
        <v>-4.1000000000000002E-2</v>
      </c>
    </row>
    <row r="1824" spans="1:12" x14ac:dyDescent="0.25">
      <c r="A1824">
        <v>277902</v>
      </c>
      <c r="B1824">
        <v>3.8759999999999999</v>
      </c>
      <c r="C1824">
        <v>3.903</v>
      </c>
      <c r="D1824">
        <v>3.8210000000000002</v>
      </c>
      <c r="E1824">
        <v>3.7650000000000001</v>
      </c>
      <c r="F1824">
        <v>4.0250000000000004</v>
      </c>
      <c r="G1824">
        <v>3.8849999999999998</v>
      </c>
      <c r="H1824">
        <v>3.8170000000000002</v>
      </c>
      <c r="I1824">
        <v>3.8260000000000001</v>
      </c>
      <c r="J1824">
        <v>30.917999999999999</v>
      </c>
      <c r="K1824">
        <v>21.1</v>
      </c>
      <c r="L1824">
        <v>2.5999999999999999E-2</v>
      </c>
    </row>
    <row r="1825" spans="1:12" x14ac:dyDescent="0.25">
      <c r="A1825">
        <v>282906</v>
      </c>
      <c r="B1825">
        <v>3.8759999999999999</v>
      </c>
      <c r="C1825">
        <v>3.8940000000000001</v>
      </c>
      <c r="D1825">
        <v>3.83</v>
      </c>
      <c r="E1825">
        <v>3.7650000000000001</v>
      </c>
      <c r="F1825">
        <v>4.0250000000000004</v>
      </c>
      <c r="G1825">
        <v>3.8849999999999998</v>
      </c>
      <c r="H1825">
        <v>3.7839999999999998</v>
      </c>
      <c r="I1825">
        <v>3.8580000000000001</v>
      </c>
      <c r="J1825">
        <v>30.917000000000002</v>
      </c>
      <c r="K1825">
        <v>21.1</v>
      </c>
      <c r="L1825">
        <v>-2.3E-2</v>
      </c>
    </row>
    <row r="1826" spans="1:12" x14ac:dyDescent="0.25">
      <c r="A1826">
        <v>287958</v>
      </c>
      <c r="B1826">
        <v>3.8809999999999998</v>
      </c>
      <c r="C1826">
        <v>3.8980000000000001</v>
      </c>
      <c r="D1826">
        <v>3.8210000000000002</v>
      </c>
      <c r="E1826">
        <v>3.7650000000000001</v>
      </c>
      <c r="F1826">
        <v>4.0250000000000004</v>
      </c>
      <c r="G1826">
        <v>3.8849999999999998</v>
      </c>
      <c r="H1826">
        <v>3.8170000000000002</v>
      </c>
      <c r="I1826">
        <v>3.8260000000000001</v>
      </c>
      <c r="J1826">
        <v>30.917999999999999</v>
      </c>
      <c r="K1826">
        <v>21.1</v>
      </c>
      <c r="L1826">
        <v>-2.8000000000000001E-2</v>
      </c>
    </row>
    <row r="1827" spans="1:12" x14ac:dyDescent="0.25">
      <c r="A1827">
        <v>292969</v>
      </c>
      <c r="B1827">
        <v>3.8759999999999999</v>
      </c>
      <c r="C1827">
        <v>3.903</v>
      </c>
      <c r="D1827">
        <v>3.8210000000000002</v>
      </c>
      <c r="E1827">
        <v>3.7650000000000001</v>
      </c>
      <c r="F1827">
        <v>4.0250000000000004</v>
      </c>
      <c r="G1827">
        <v>3.8849999999999998</v>
      </c>
      <c r="H1827">
        <v>3.8170000000000002</v>
      </c>
      <c r="I1827">
        <v>3.8260000000000001</v>
      </c>
      <c r="J1827">
        <v>30.917999999999999</v>
      </c>
      <c r="K1827">
        <v>21.1</v>
      </c>
      <c r="L1827">
        <v>-3.5999999999999997E-2</v>
      </c>
    </row>
    <row r="1828" spans="1:12" x14ac:dyDescent="0.25">
      <c r="A1828">
        <v>297971</v>
      </c>
      <c r="B1828">
        <v>3.8809999999999998</v>
      </c>
      <c r="C1828">
        <v>3.8980000000000001</v>
      </c>
      <c r="D1828">
        <v>3.8210000000000002</v>
      </c>
      <c r="E1828">
        <v>3.7650000000000001</v>
      </c>
      <c r="F1828">
        <v>4.0250000000000004</v>
      </c>
      <c r="G1828">
        <v>3.8849999999999998</v>
      </c>
      <c r="H1828">
        <v>3.8170000000000002</v>
      </c>
      <c r="I1828">
        <v>3.8260000000000001</v>
      </c>
      <c r="J1828">
        <v>30.917999999999999</v>
      </c>
      <c r="K1828">
        <v>21.1</v>
      </c>
      <c r="L1828">
        <v>-3.3000000000000002E-2</v>
      </c>
    </row>
    <row r="1829" spans="1:12" x14ac:dyDescent="0.25">
      <c r="A1829">
        <v>302977</v>
      </c>
      <c r="B1829">
        <v>3.8809999999999998</v>
      </c>
      <c r="C1829">
        <v>3.8980000000000001</v>
      </c>
      <c r="D1829">
        <v>3.8210000000000002</v>
      </c>
      <c r="E1829">
        <v>3.7650000000000001</v>
      </c>
      <c r="F1829">
        <v>4.0250000000000004</v>
      </c>
      <c r="G1829">
        <v>3.8849999999999998</v>
      </c>
      <c r="H1829">
        <v>3.8170000000000002</v>
      </c>
      <c r="I1829">
        <v>3.8260000000000001</v>
      </c>
      <c r="J1829">
        <v>30.917999999999999</v>
      </c>
      <c r="K1829">
        <v>21.1</v>
      </c>
      <c r="L1829">
        <v>-3.2000000000000001E-2</v>
      </c>
    </row>
    <row r="1830" spans="1:12" x14ac:dyDescent="0.25">
      <c r="A1830">
        <v>307984</v>
      </c>
      <c r="B1830">
        <v>3.8809999999999998</v>
      </c>
      <c r="C1830">
        <v>3.8980000000000001</v>
      </c>
      <c r="D1830">
        <v>3.8210000000000002</v>
      </c>
      <c r="E1830">
        <v>3.7650000000000001</v>
      </c>
      <c r="F1830">
        <v>4.0250000000000004</v>
      </c>
      <c r="G1830">
        <v>3.8849999999999998</v>
      </c>
      <c r="H1830">
        <v>3.8170000000000002</v>
      </c>
      <c r="I1830">
        <v>3.8260000000000001</v>
      </c>
      <c r="J1830">
        <v>30.917999999999999</v>
      </c>
      <c r="K1830">
        <v>21.1</v>
      </c>
      <c r="L1830">
        <v>-4.9000000000000002E-2</v>
      </c>
    </row>
    <row r="1831" spans="1:12" x14ac:dyDescent="0.25">
      <c r="A1831">
        <v>312986</v>
      </c>
      <c r="B1831">
        <v>3.8809999999999998</v>
      </c>
      <c r="C1831">
        <v>3.8980000000000001</v>
      </c>
      <c r="D1831">
        <v>3.8210000000000002</v>
      </c>
      <c r="E1831">
        <v>3.7650000000000001</v>
      </c>
      <c r="F1831">
        <v>4.0250000000000004</v>
      </c>
      <c r="G1831">
        <v>3.8849999999999998</v>
      </c>
      <c r="H1831">
        <v>3.8170000000000002</v>
      </c>
      <c r="I1831">
        <v>3.8260000000000001</v>
      </c>
      <c r="J1831">
        <v>30.917999999999999</v>
      </c>
      <c r="K1831">
        <v>21.1</v>
      </c>
      <c r="L1831">
        <v>-5.5E-2</v>
      </c>
    </row>
    <row r="1832" spans="1:12" x14ac:dyDescent="0.25">
      <c r="A1832">
        <v>317987</v>
      </c>
      <c r="B1832">
        <v>3.8809999999999998</v>
      </c>
      <c r="C1832">
        <v>3.8980000000000001</v>
      </c>
      <c r="D1832">
        <v>3.8210000000000002</v>
      </c>
      <c r="E1832">
        <v>3.7650000000000001</v>
      </c>
      <c r="F1832">
        <v>4.0069999999999997</v>
      </c>
      <c r="G1832">
        <v>3.8849999999999998</v>
      </c>
      <c r="H1832">
        <v>3.7839999999999998</v>
      </c>
      <c r="I1832">
        <v>3.7029999999999998</v>
      </c>
      <c r="J1832">
        <v>30.744</v>
      </c>
      <c r="K1832">
        <v>21.1</v>
      </c>
      <c r="L1832">
        <v>-0.433</v>
      </c>
    </row>
    <row r="1833" spans="1:12" x14ac:dyDescent="0.25">
      <c r="A1833">
        <v>322994</v>
      </c>
      <c r="B1833">
        <v>3.8420000000000001</v>
      </c>
      <c r="C1833">
        <v>3.8490000000000002</v>
      </c>
      <c r="D1833">
        <v>3.7930000000000001</v>
      </c>
      <c r="E1833">
        <v>3.7210000000000001</v>
      </c>
      <c r="F1833">
        <v>3.99</v>
      </c>
      <c r="G1833">
        <v>3.8149999999999999</v>
      </c>
      <c r="H1833">
        <v>3.7549999999999999</v>
      </c>
      <c r="I1833">
        <v>3.7690000000000001</v>
      </c>
      <c r="J1833">
        <v>30.533999999999999</v>
      </c>
      <c r="K1833">
        <v>21</v>
      </c>
      <c r="L1833">
        <v>-0.98</v>
      </c>
    </row>
    <row r="1834" spans="1:12" x14ac:dyDescent="0.25">
      <c r="A1834">
        <v>327996</v>
      </c>
      <c r="B1834">
        <v>3.8370000000000002</v>
      </c>
      <c r="C1834">
        <v>3.8450000000000002</v>
      </c>
      <c r="D1834">
        <v>3.7869999999999999</v>
      </c>
      <c r="E1834">
        <v>3.7170000000000001</v>
      </c>
      <c r="F1834">
        <v>3.9710000000000001</v>
      </c>
      <c r="G1834">
        <v>3.8130000000000002</v>
      </c>
      <c r="H1834">
        <v>3.7789999999999999</v>
      </c>
      <c r="I1834">
        <v>3.7629999999999999</v>
      </c>
      <c r="J1834">
        <v>30.512</v>
      </c>
      <c r="K1834">
        <v>21.1</v>
      </c>
      <c r="L1834">
        <v>-0.98399999999999999</v>
      </c>
    </row>
    <row r="1835" spans="1:12" x14ac:dyDescent="0.25">
      <c r="A1835">
        <v>332997</v>
      </c>
      <c r="B1835">
        <v>3.8370000000000002</v>
      </c>
      <c r="C1835">
        <v>3.8359999999999999</v>
      </c>
      <c r="D1835">
        <v>3.7810000000000001</v>
      </c>
      <c r="E1835">
        <v>3.714</v>
      </c>
      <c r="F1835">
        <v>3.9710000000000001</v>
      </c>
      <c r="G1835">
        <v>3.8130000000000002</v>
      </c>
      <c r="H1835">
        <v>3.7469999999999999</v>
      </c>
      <c r="I1835">
        <v>3.7559999999999998</v>
      </c>
      <c r="J1835">
        <v>30.454999999999998</v>
      </c>
      <c r="K1835">
        <v>21.1</v>
      </c>
      <c r="L1835">
        <v>-1.004</v>
      </c>
    </row>
    <row r="1836" spans="1:12" x14ac:dyDescent="0.25">
      <c r="A1836">
        <v>338038</v>
      </c>
      <c r="B1836">
        <v>3.8319999999999999</v>
      </c>
      <c r="C1836">
        <v>3.8410000000000002</v>
      </c>
      <c r="D1836">
        <v>3.7810000000000001</v>
      </c>
      <c r="E1836">
        <v>3.714</v>
      </c>
      <c r="F1836">
        <v>3.9889999999999999</v>
      </c>
      <c r="G1836">
        <v>3.8130000000000002</v>
      </c>
      <c r="H1836">
        <v>3.7469999999999999</v>
      </c>
      <c r="I1836">
        <v>3.718</v>
      </c>
      <c r="J1836">
        <v>30.434999999999999</v>
      </c>
      <c r="K1836">
        <v>21.1</v>
      </c>
      <c r="L1836">
        <v>-1.0089999999999999</v>
      </c>
    </row>
    <row r="1837" spans="1:12" x14ac:dyDescent="0.25">
      <c r="A1837">
        <v>343049</v>
      </c>
      <c r="B1837">
        <v>3.827</v>
      </c>
      <c r="C1837">
        <v>3.8460000000000001</v>
      </c>
      <c r="D1837">
        <v>3.7810000000000001</v>
      </c>
      <c r="E1837">
        <v>3.6960000000000002</v>
      </c>
      <c r="F1837">
        <v>3.9620000000000002</v>
      </c>
      <c r="G1837">
        <v>3.8119999999999998</v>
      </c>
      <c r="H1837">
        <v>3.7429999999999999</v>
      </c>
      <c r="I1837">
        <v>3.75</v>
      </c>
      <c r="J1837">
        <v>30.417000000000002</v>
      </c>
      <c r="K1837">
        <v>21.1</v>
      </c>
      <c r="L1837">
        <v>-1.0089999999999999</v>
      </c>
    </row>
    <row r="1838" spans="1:12" x14ac:dyDescent="0.25">
      <c r="A1838">
        <v>348056</v>
      </c>
      <c r="B1838">
        <v>3.8319999999999999</v>
      </c>
      <c r="C1838">
        <v>3.8319999999999999</v>
      </c>
      <c r="D1838">
        <v>3.7759999999999998</v>
      </c>
      <c r="E1838">
        <v>3.7109999999999999</v>
      </c>
      <c r="F1838">
        <v>3.9620000000000002</v>
      </c>
      <c r="G1838">
        <v>3.8119999999999998</v>
      </c>
      <c r="H1838">
        <v>3.7429999999999999</v>
      </c>
      <c r="I1838">
        <v>3.75</v>
      </c>
      <c r="J1838">
        <v>30.417999999999999</v>
      </c>
      <c r="K1838">
        <v>21.1</v>
      </c>
      <c r="L1838">
        <v>-0.99299999999999999</v>
      </c>
    </row>
    <row r="1839" spans="1:12" x14ac:dyDescent="0.25">
      <c r="A1839">
        <v>353056</v>
      </c>
      <c r="B1839">
        <v>3.827</v>
      </c>
      <c r="C1839">
        <v>3.8370000000000002</v>
      </c>
      <c r="D1839">
        <v>3.7759999999999998</v>
      </c>
      <c r="E1839">
        <v>3.7109999999999999</v>
      </c>
      <c r="F1839">
        <v>3.9620000000000002</v>
      </c>
      <c r="G1839">
        <v>3.7829999999999999</v>
      </c>
      <c r="H1839">
        <v>3.7709999999999999</v>
      </c>
      <c r="I1839">
        <v>3.75</v>
      </c>
      <c r="J1839">
        <v>30.417000000000002</v>
      </c>
      <c r="K1839">
        <v>21.1</v>
      </c>
      <c r="L1839">
        <v>-0.99</v>
      </c>
    </row>
    <row r="1840" spans="1:12" x14ac:dyDescent="0.25">
      <c r="A1840">
        <v>358063</v>
      </c>
      <c r="B1840">
        <v>3.827</v>
      </c>
      <c r="C1840">
        <v>3.8370000000000002</v>
      </c>
      <c r="D1840">
        <v>3.7759999999999998</v>
      </c>
      <c r="E1840">
        <v>3.6930000000000001</v>
      </c>
      <c r="F1840">
        <v>3.952</v>
      </c>
      <c r="G1840">
        <v>3.839</v>
      </c>
      <c r="H1840">
        <v>3.71</v>
      </c>
      <c r="I1840">
        <v>3.7440000000000002</v>
      </c>
      <c r="J1840">
        <v>30.378</v>
      </c>
      <c r="K1840">
        <v>21.2</v>
      </c>
      <c r="L1840">
        <v>-0.99299999999999999</v>
      </c>
    </row>
    <row r="1841" spans="1:12" x14ac:dyDescent="0.25">
      <c r="A1841">
        <v>363063</v>
      </c>
      <c r="B1841">
        <v>3.827</v>
      </c>
      <c r="C1841">
        <v>3.8279999999999998</v>
      </c>
      <c r="D1841">
        <v>3.7839999999999998</v>
      </c>
      <c r="E1841">
        <v>3.6930000000000001</v>
      </c>
      <c r="F1841">
        <v>3.97</v>
      </c>
      <c r="G1841">
        <v>3.8109999999999999</v>
      </c>
      <c r="H1841">
        <v>3.7389999999999999</v>
      </c>
      <c r="I1841">
        <v>3.7440000000000002</v>
      </c>
      <c r="J1841">
        <v>30.396000000000001</v>
      </c>
      <c r="K1841">
        <v>21.1</v>
      </c>
      <c r="L1841">
        <v>-0.98899999999999999</v>
      </c>
    </row>
    <row r="1842" spans="1:12" x14ac:dyDescent="0.25">
      <c r="A1842">
        <v>368066</v>
      </c>
      <c r="B1842">
        <v>3.827</v>
      </c>
      <c r="C1842">
        <v>3.8279999999999998</v>
      </c>
      <c r="D1842">
        <v>3.77</v>
      </c>
      <c r="E1842">
        <v>3.7069999999999999</v>
      </c>
      <c r="F1842">
        <v>3.952</v>
      </c>
      <c r="G1842">
        <v>3.8109999999999999</v>
      </c>
      <c r="H1842">
        <v>3.7389999999999999</v>
      </c>
      <c r="I1842">
        <v>3.7440000000000002</v>
      </c>
      <c r="J1842">
        <v>30.378</v>
      </c>
      <c r="K1842">
        <v>21.1</v>
      </c>
      <c r="L1842">
        <v>-0.996</v>
      </c>
    </row>
    <row r="1843" spans="1:12" x14ac:dyDescent="0.25">
      <c r="A1843">
        <v>373066</v>
      </c>
      <c r="B1843">
        <v>3.8220000000000001</v>
      </c>
      <c r="C1843">
        <v>3.8330000000000002</v>
      </c>
      <c r="D1843">
        <v>3.77</v>
      </c>
      <c r="E1843">
        <v>3.69</v>
      </c>
      <c r="F1843">
        <v>3.9420000000000002</v>
      </c>
      <c r="G1843">
        <v>3.8380000000000001</v>
      </c>
      <c r="H1843">
        <v>3.7389999999999999</v>
      </c>
      <c r="I1843">
        <v>3.7050000000000001</v>
      </c>
      <c r="J1843">
        <v>30.338999999999999</v>
      </c>
      <c r="K1843">
        <v>21.1</v>
      </c>
      <c r="L1843">
        <v>-0.99399999999999999</v>
      </c>
    </row>
    <row r="1844" spans="1:12" x14ac:dyDescent="0.25">
      <c r="A1844">
        <v>378073</v>
      </c>
      <c r="B1844">
        <v>3.8220000000000001</v>
      </c>
      <c r="C1844">
        <v>3.8239999999999998</v>
      </c>
      <c r="D1844">
        <v>3.7789999999999999</v>
      </c>
      <c r="E1844">
        <v>3.69</v>
      </c>
      <c r="F1844">
        <v>3.96</v>
      </c>
      <c r="G1844">
        <v>3.8090000000000002</v>
      </c>
      <c r="H1844">
        <v>3.7349999999999999</v>
      </c>
      <c r="I1844">
        <v>3.7370000000000001</v>
      </c>
      <c r="J1844">
        <v>30.356000000000002</v>
      </c>
      <c r="K1844">
        <v>21.1</v>
      </c>
      <c r="L1844">
        <v>-0.99099999999999999</v>
      </c>
    </row>
    <row r="1845" spans="1:12" x14ac:dyDescent="0.25">
      <c r="A1845">
        <v>383079</v>
      </c>
      <c r="B1845">
        <v>3.8220000000000001</v>
      </c>
      <c r="C1845">
        <v>3.8239999999999998</v>
      </c>
      <c r="D1845">
        <v>3.7789999999999999</v>
      </c>
      <c r="E1845">
        <v>3.69</v>
      </c>
      <c r="F1845">
        <v>3.96</v>
      </c>
      <c r="G1845">
        <v>3.8090000000000002</v>
      </c>
      <c r="H1845">
        <v>3.7349999999999999</v>
      </c>
      <c r="I1845">
        <v>3.7370000000000001</v>
      </c>
      <c r="J1845">
        <v>30.356000000000002</v>
      </c>
      <c r="K1845">
        <v>21.1</v>
      </c>
      <c r="L1845">
        <v>-0.98799999999999999</v>
      </c>
    </row>
    <row r="1846" spans="1:12" x14ac:dyDescent="0.25">
      <c r="A1846">
        <v>388090</v>
      </c>
      <c r="B1846">
        <v>3.8170000000000002</v>
      </c>
      <c r="C1846">
        <v>3.8290000000000002</v>
      </c>
      <c r="D1846">
        <v>3.7789999999999999</v>
      </c>
      <c r="E1846">
        <v>3.69</v>
      </c>
      <c r="F1846">
        <v>3.9329999999999998</v>
      </c>
      <c r="G1846">
        <v>3.8370000000000002</v>
      </c>
      <c r="H1846">
        <v>3.7349999999999999</v>
      </c>
      <c r="I1846">
        <v>3.7370000000000001</v>
      </c>
      <c r="J1846">
        <v>30.356999999999999</v>
      </c>
      <c r="K1846">
        <v>21.1</v>
      </c>
      <c r="L1846">
        <v>-0.997</v>
      </c>
    </row>
    <row r="1847" spans="1:12" x14ac:dyDescent="0.25">
      <c r="A1847">
        <v>393101</v>
      </c>
      <c r="B1847">
        <v>3.8170000000000002</v>
      </c>
      <c r="C1847">
        <v>3.8290000000000002</v>
      </c>
      <c r="D1847">
        <v>3.7789999999999999</v>
      </c>
      <c r="E1847">
        <v>3.69</v>
      </c>
      <c r="F1847">
        <v>3.96</v>
      </c>
      <c r="G1847">
        <v>3.7810000000000001</v>
      </c>
      <c r="H1847">
        <v>3.73</v>
      </c>
      <c r="I1847">
        <v>3.77</v>
      </c>
      <c r="J1847">
        <v>30.356000000000002</v>
      </c>
      <c r="K1847">
        <v>21.2</v>
      </c>
      <c r="L1847">
        <v>-0.98499999999999999</v>
      </c>
    </row>
    <row r="1848" spans="1:12" x14ac:dyDescent="0.25">
      <c r="A1848">
        <v>398163</v>
      </c>
      <c r="B1848">
        <v>3.8170000000000002</v>
      </c>
      <c r="C1848">
        <v>3.8290000000000002</v>
      </c>
      <c r="D1848">
        <v>3.7639999999999998</v>
      </c>
      <c r="E1848">
        <v>3.7040000000000002</v>
      </c>
      <c r="F1848">
        <v>3.96</v>
      </c>
      <c r="G1848">
        <v>3.8090000000000002</v>
      </c>
      <c r="H1848">
        <v>3.7349999999999999</v>
      </c>
      <c r="I1848">
        <v>3.698</v>
      </c>
      <c r="J1848">
        <v>30.315999999999999</v>
      </c>
      <c r="K1848">
        <v>21.2</v>
      </c>
      <c r="L1848">
        <v>-0.98399999999999999</v>
      </c>
    </row>
    <row r="1849" spans="1:12" x14ac:dyDescent="0.25">
      <c r="A1849">
        <v>403174</v>
      </c>
      <c r="B1849">
        <v>3.8170000000000002</v>
      </c>
      <c r="C1849">
        <v>3.8290000000000002</v>
      </c>
      <c r="D1849">
        <v>3.7639999999999998</v>
      </c>
      <c r="E1849">
        <v>3.7040000000000002</v>
      </c>
      <c r="F1849">
        <v>3.9329999999999998</v>
      </c>
      <c r="G1849">
        <v>3.8079999999999998</v>
      </c>
      <c r="H1849">
        <v>3.73</v>
      </c>
      <c r="I1849">
        <v>3.7309999999999999</v>
      </c>
      <c r="J1849">
        <v>30.315999999999999</v>
      </c>
      <c r="K1849">
        <v>21.1</v>
      </c>
      <c r="L1849">
        <v>-1.0049999999999999</v>
      </c>
    </row>
    <row r="1850" spans="1:12" x14ac:dyDescent="0.25">
      <c r="A1850">
        <v>408176</v>
      </c>
      <c r="B1850">
        <v>3.8170000000000002</v>
      </c>
      <c r="C1850">
        <v>3.82</v>
      </c>
      <c r="D1850">
        <v>3.7730000000000001</v>
      </c>
      <c r="E1850">
        <v>3.6859999999999999</v>
      </c>
      <c r="F1850">
        <v>3.9510000000000001</v>
      </c>
      <c r="G1850">
        <v>3.8079999999999998</v>
      </c>
      <c r="H1850">
        <v>3.73</v>
      </c>
      <c r="I1850">
        <v>3.7309999999999999</v>
      </c>
      <c r="J1850">
        <v>30.315999999999999</v>
      </c>
      <c r="K1850">
        <v>21.1</v>
      </c>
      <c r="L1850">
        <v>-0.98699999999999999</v>
      </c>
    </row>
    <row r="1851" spans="1:12" x14ac:dyDescent="0.25">
      <c r="A1851">
        <v>413183</v>
      </c>
      <c r="B1851">
        <v>3.8170000000000002</v>
      </c>
      <c r="C1851">
        <v>3.82</v>
      </c>
      <c r="D1851">
        <v>3.7730000000000001</v>
      </c>
      <c r="E1851">
        <v>3.6859999999999999</v>
      </c>
      <c r="F1851">
        <v>3.9329999999999998</v>
      </c>
      <c r="G1851">
        <v>3.8079999999999998</v>
      </c>
      <c r="H1851">
        <v>3.73</v>
      </c>
      <c r="I1851">
        <v>3.7309999999999999</v>
      </c>
      <c r="J1851">
        <v>30.297999999999998</v>
      </c>
      <c r="K1851">
        <v>21.1</v>
      </c>
      <c r="L1851">
        <v>-0.98899999999999999</v>
      </c>
    </row>
    <row r="1852" spans="1:12" x14ac:dyDescent="0.25">
      <c r="A1852">
        <v>418189</v>
      </c>
      <c r="B1852">
        <v>3.8119999999999998</v>
      </c>
      <c r="C1852">
        <v>3.8250000000000002</v>
      </c>
      <c r="D1852">
        <v>3.7730000000000001</v>
      </c>
      <c r="E1852">
        <v>3.6859999999999999</v>
      </c>
      <c r="F1852">
        <v>3.9510000000000001</v>
      </c>
      <c r="G1852">
        <v>3.8079999999999998</v>
      </c>
      <c r="H1852">
        <v>3.73</v>
      </c>
      <c r="I1852">
        <v>3.7309999999999999</v>
      </c>
      <c r="J1852">
        <v>30.315999999999999</v>
      </c>
      <c r="K1852">
        <v>21.1</v>
      </c>
      <c r="L1852">
        <v>-0.98199999999999998</v>
      </c>
    </row>
    <row r="1853" spans="1:12" x14ac:dyDescent="0.25">
      <c r="A1853">
        <v>423190</v>
      </c>
      <c r="B1853">
        <v>3.8119999999999998</v>
      </c>
      <c r="C1853">
        <v>3.8250000000000002</v>
      </c>
      <c r="D1853">
        <v>3.7730000000000001</v>
      </c>
      <c r="E1853">
        <v>3.6859999999999999</v>
      </c>
      <c r="F1853">
        <v>3.9510000000000001</v>
      </c>
      <c r="G1853">
        <v>3.78</v>
      </c>
      <c r="H1853">
        <v>3.7589999999999999</v>
      </c>
      <c r="I1853">
        <v>3.7309999999999999</v>
      </c>
      <c r="J1853">
        <v>30.317</v>
      </c>
      <c r="K1853">
        <v>21.1</v>
      </c>
      <c r="L1853">
        <v>-0.995</v>
      </c>
    </row>
    <row r="1854" spans="1:12" x14ac:dyDescent="0.25">
      <c r="A1854">
        <v>428197</v>
      </c>
      <c r="B1854">
        <v>3.8119999999999998</v>
      </c>
      <c r="C1854">
        <v>3.8159999999999998</v>
      </c>
      <c r="D1854">
        <v>3.7669999999999999</v>
      </c>
      <c r="E1854">
        <v>3.7010000000000001</v>
      </c>
      <c r="F1854">
        <v>3.9510000000000001</v>
      </c>
      <c r="G1854">
        <v>3.78</v>
      </c>
      <c r="H1854">
        <v>3.726</v>
      </c>
      <c r="I1854">
        <v>3.7250000000000001</v>
      </c>
      <c r="J1854">
        <v>30.277999999999999</v>
      </c>
      <c r="K1854">
        <v>21.1</v>
      </c>
      <c r="L1854">
        <v>-0.98499999999999999</v>
      </c>
    </row>
    <row r="1855" spans="1:12" x14ac:dyDescent="0.25">
      <c r="A1855">
        <v>433202</v>
      </c>
      <c r="B1855">
        <v>3.8119999999999998</v>
      </c>
      <c r="C1855">
        <v>3.8250000000000002</v>
      </c>
      <c r="D1855">
        <v>3.758</v>
      </c>
      <c r="E1855">
        <v>3.7010000000000001</v>
      </c>
      <c r="F1855">
        <v>3.9510000000000001</v>
      </c>
      <c r="G1855">
        <v>3.8079999999999998</v>
      </c>
      <c r="H1855">
        <v>3.73</v>
      </c>
      <c r="I1855">
        <v>3.6920000000000002</v>
      </c>
      <c r="J1855">
        <v>30.277000000000001</v>
      </c>
      <c r="K1855">
        <v>21.1</v>
      </c>
      <c r="L1855">
        <v>-0.97699999999999998</v>
      </c>
    </row>
    <row r="1856" spans="1:12" x14ac:dyDescent="0.25">
      <c r="A1856">
        <v>438209</v>
      </c>
      <c r="B1856">
        <v>3.8119999999999998</v>
      </c>
      <c r="C1856">
        <v>3.8250000000000002</v>
      </c>
      <c r="D1856">
        <v>3.758</v>
      </c>
      <c r="E1856">
        <v>3.7010000000000001</v>
      </c>
      <c r="F1856">
        <v>3.9510000000000001</v>
      </c>
      <c r="G1856">
        <v>3.78</v>
      </c>
      <c r="H1856">
        <v>3.726</v>
      </c>
      <c r="I1856">
        <v>3.7250000000000001</v>
      </c>
      <c r="J1856">
        <v>30.277999999999999</v>
      </c>
      <c r="K1856">
        <v>21.2</v>
      </c>
      <c r="L1856">
        <v>-0.98199999999999998</v>
      </c>
    </row>
    <row r="1857" spans="1:12" x14ac:dyDescent="0.25">
      <c r="A1857">
        <v>443209</v>
      </c>
      <c r="B1857">
        <v>3.8069999999999999</v>
      </c>
      <c r="C1857">
        <v>3.8210000000000002</v>
      </c>
      <c r="D1857">
        <v>3.7530000000000001</v>
      </c>
      <c r="E1857">
        <v>3.6970000000000001</v>
      </c>
      <c r="F1857">
        <v>3.9319999999999999</v>
      </c>
      <c r="G1857">
        <v>3.778</v>
      </c>
      <c r="H1857">
        <v>3.7509999999999999</v>
      </c>
      <c r="I1857">
        <v>3.718</v>
      </c>
      <c r="J1857">
        <v>30.257000000000001</v>
      </c>
      <c r="K1857">
        <v>21.1</v>
      </c>
      <c r="L1857">
        <v>-1.0429999999999999</v>
      </c>
    </row>
    <row r="1858" spans="1:12" x14ac:dyDescent="0.25">
      <c r="A1858">
        <v>448236</v>
      </c>
      <c r="B1858">
        <v>3.8119999999999998</v>
      </c>
      <c r="C1858">
        <v>3.8250000000000002</v>
      </c>
      <c r="D1858">
        <v>3.758</v>
      </c>
      <c r="E1858">
        <v>3.6829999999999998</v>
      </c>
      <c r="F1858">
        <v>3.923</v>
      </c>
      <c r="G1858">
        <v>3.8069999999999999</v>
      </c>
      <c r="H1858">
        <v>3.726</v>
      </c>
      <c r="I1858">
        <v>3.7250000000000001</v>
      </c>
      <c r="J1858">
        <v>30.259</v>
      </c>
      <c r="K1858">
        <v>21.2</v>
      </c>
      <c r="L1858">
        <v>-0.98199999999999998</v>
      </c>
    </row>
    <row r="1859" spans="1:12" x14ac:dyDescent="0.25">
      <c r="A1859">
        <v>453236</v>
      </c>
      <c r="B1859">
        <v>3.8119999999999998</v>
      </c>
      <c r="C1859">
        <v>3.8250000000000002</v>
      </c>
      <c r="D1859">
        <v>3.758</v>
      </c>
      <c r="E1859">
        <v>3.6829999999999998</v>
      </c>
      <c r="F1859">
        <v>3.923</v>
      </c>
      <c r="G1859">
        <v>3.8069999999999999</v>
      </c>
      <c r="H1859">
        <v>3.726</v>
      </c>
      <c r="I1859">
        <v>3.7250000000000001</v>
      </c>
      <c r="J1859">
        <v>30.259</v>
      </c>
      <c r="K1859">
        <v>21.1</v>
      </c>
      <c r="L1859">
        <v>-0.98899999999999999</v>
      </c>
    </row>
    <row r="1860" spans="1:12" x14ac:dyDescent="0.25">
      <c r="A1860">
        <v>458243</v>
      </c>
      <c r="B1860">
        <v>3.8119999999999998</v>
      </c>
      <c r="C1860">
        <v>3.8159999999999998</v>
      </c>
      <c r="D1860">
        <v>3.7669999999999999</v>
      </c>
      <c r="E1860">
        <v>3.6829999999999998</v>
      </c>
      <c r="F1860">
        <v>3.923</v>
      </c>
      <c r="G1860">
        <v>3.8069999999999999</v>
      </c>
      <c r="H1860">
        <v>3.726</v>
      </c>
      <c r="I1860">
        <v>3.6859999999999999</v>
      </c>
      <c r="J1860">
        <v>30.22</v>
      </c>
      <c r="K1860">
        <v>21.1</v>
      </c>
      <c r="L1860">
        <v>-0.98899999999999999</v>
      </c>
    </row>
    <row r="1861" spans="1:12" x14ac:dyDescent="0.25">
      <c r="A1861">
        <v>463249</v>
      </c>
      <c r="B1861">
        <v>3.8119999999999998</v>
      </c>
      <c r="C1861">
        <v>3.8159999999999998</v>
      </c>
      <c r="D1861">
        <v>3.7669999999999999</v>
      </c>
      <c r="E1861">
        <v>3.6829999999999998</v>
      </c>
      <c r="F1861">
        <v>3.9409999999999998</v>
      </c>
      <c r="G1861">
        <v>3.8069999999999999</v>
      </c>
      <c r="H1861">
        <v>3.726</v>
      </c>
      <c r="I1861">
        <v>3.7250000000000001</v>
      </c>
      <c r="J1861">
        <v>30.277000000000001</v>
      </c>
      <c r="K1861">
        <v>21.1</v>
      </c>
      <c r="L1861">
        <v>-0.97699999999999998</v>
      </c>
    </row>
    <row r="1862" spans="1:12" x14ac:dyDescent="0.25">
      <c r="A1862">
        <v>468256</v>
      </c>
      <c r="B1862">
        <v>3.8119999999999998</v>
      </c>
      <c r="C1862">
        <v>3.8159999999999998</v>
      </c>
      <c r="D1862">
        <v>3.7669999999999999</v>
      </c>
      <c r="E1862">
        <v>3.6829999999999998</v>
      </c>
      <c r="F1862">
        <v>3.9409999999999998</v>
      </c>
      <c r="G1862">
        <v>3.8069999999999999</v>
      </c>
      <c r="H1862">
        <v>3.726</v>
      </c>
      <c r="I1862">
        <v>3.6859999999999999</v>
      </c>
      <c r="J1862">
        <v>30.238</v>
      </c>
      <c r="K1862">
        <v>21.1</v>
      </c>
      <c r="L1862">
        <v>-0.97899999999999998</v>
      </c>
    </row>
    <row r="1863" spans="1:12" x14ac:dyDescent="0.25">
      <c r="A1863">
        <v>473256</v>
      </c>
      <c r="B1863">
        <v>3.8069999999999999</v>
      </c>
      <c r="C1863">
        <v>3.8210000000000002</v>
      </c>
      <c r="D1863">
        <v>3.7530000000000001</v>
      </c>
      <c r="E1863">
        <v>3.68</v>
      </c>
      <c r="F1863">
        <v>3.9590000000000001</v>
      </c>
      <c r="G1863">
        <v>3.8069999999999999</v>
      </c>
      <c r="H1863">
        <v>3.694</v>
      </c>
      <c r="I1863">
        <v>3.7570000000000001</v>
      </c>
      <c r="J1863">
        <v>30.277999999999999</v>
      </c>
      <c r="K1863">
        <v>21.1</v>
      </c>
      <c r="L1863">
        <v>-0.98399999999999999</v>
      </c>
    </row>
    <row r="1864" spans="1:12" x14ac:dyDescent="0.25">
      <c r="A1864">
        <v>478303</v>
      </c>
      <c r="B1864">
        <v>3.8069999999999999</v>
      </c>
      <c r="C1864">
        <v>3.8210000000000002</v>
      </c>
      <c r="D1864">
        <v>3.7530000000000001</v>
      </c>
      <c r="E1864">
        <v>3.6970000000000001</v>
      </c>
      <c r="F1864">
        <v>3.9409999999999998</v>
      </c>
      <c r="G1864">
        <v>3.8069999999999999</v>
      </c>
      <c r="H1864">
        <v>3.726</v>
      </c>
      <c r="I1864">
        <v>3.6859999999999999</v>
      </c>
      <c r="J1864">
        <v>30.238</v>
      </c>
      <c r="K1864">
        <v>21.1</v>
      </c>
      <c r="L1864">
        <v>-0.97799999999999998</v>
      </c>
    </row>
    <row r="1865" spans="1:12" x14ac:dyDescent="0.25">
      <c r="A1865">
        <v>483310</v>
      </c>
      <c r="B1865">
        <v>3.8119999999999998</v>
      </c>
      <c r="C1865">
        <v>3.8159999999999998</v>
      </c>
      <c r="D1865">
        <v>3.7669999999999999</v>
      </c>
      <c r="E1865">
        <v>3.6829999999999998</v>
      </c>
      <c r="F1865">
        <v>3.9409999999999998</v>
      </c>
      <c r="G1865">
        <v>3.8069999999999999</v>
      </c>
      <c r="H1865">
        <v>3.726</v>
      </c>
      <c r="I1865">
        <v>3.6859999999999999</v>
      </c>
      <c r="J1865">
        <v>30.238</v>
      </c>
      <c r="K1865">
        <v>21.2</v>
      </c>
      <c r="L1865">
        <v>-0.98499999999999999</v>
      </c>
    </row>
    <row r="1866" spans="1:12" x14ac:dyDescent="0.25">
      <c r="A1866">
        <v>488317</v>
      </c>
      <c r="B1866">
        <v>3.8069999999999999</v>
      </c>
      <c r="C1866">
        <v>3.8210000000000002</v>
      </c>
      <c r="D1866">
        <v>3.7530000000000001</v>
      </c>
      <c r="E1866">
        <v>3.6970000000000001</v>
      </c>
      <c r="F1866">
        <v>3.9590000000000001</v>
      </c>
      <c r="G1866">
        <v>3.8069999999999999</v>
      </c>
      <c r="H1866">
        <v>3.726</v>
      </c>
      <c r="I1866">
        <v>3.6859999999999999</v>
      </c>
      <c r="J1866">
        <v>30.256</v>
      </c>
      <c r="K1866">
        <v>21.2</v>
      </c>
      <c r="L1866">
        <v>-0.97899999999999998</v>
      </c>
    </row>
    <row r="1867" spans="1:12" x14ac:dyDescent="0.25">
      <c r="A1867">
        <v>493323</v>
      </c>
      <c r="B1867">
        <v>3.8069999999999999</v>
      </c>
      <c r="C1867">
        <v>3.8210000000000002</v>
      </c>
      <c r="D1867">
        <v>3.7530000000000001</v>
      </c>
      <c r="E1867">
        <v>3.68</v>
      </c>
      <c r="F1867">
        <v>3.9409999999999998</v>
      </c>
      <c r="G1867">
        <v>3.7789999999999999</v>
      </c>
      <c r="H1867">
        <v>3.722</v>
      </c>
      <c r="I1867">
        <v>3.718</v>
      </c>
      <c r="J1867">
        <v>30.221</v>
      </c>
      <c r="K1867">
        <v>21.2</v>
      </c>
      <c r="L1867">
        <v>-0.98599999999999999</v>
      </c>
    </row>
    <row r="1868" spans="1:12" x14ac:dyDescent="0.25">
      <c r="A1868">
        <v>498330</v>
      </c>
      <c r="B1868">
        <v>3.8069999999999999</v>
      </c>
      <c r="C1868">
        <v>3.8119999999999998</v>
      </c>
      <c r="D1868">
        <v>3.762</v>
      </c>
      <c r="E1868">
        <v>3.68</v>
      </c>
      <c r="F1868">
        <v>3.9590000000000001</v>
      </c>
      <c r="G1868">
        <v>3.7789999999999999</v>
      </c>
      <c r="H1868">
        <v>3.722</v>
      </c>
      <c r="I1868">
        <v>3.718</v>
      </c>
      <c r="J1868">
        <v>30.239000000000001</v>
      </c>
      <c r="K1868">
        <v>21.2</v>
      </c>
      <c r="L1868">
        <v>-0.98</v>
      </c>
    </row>
    <row r="1869" spans="1:12" x14ac:dyDescent="0.25">
      <c r="A1869">
        <v>503330</v>
      </c>
      <c r="B1869">
        <v>3.8069999999999999</v>
      </c>
      <c r="C1869">
        <v>3.8210000000000002</v>
      </c>
      <c r="D1869">
        <v>3.7530000000000001</v>
      </c>
      <c r="E1869">
        <v>3.68</v>
      </c>
      <c r="F1869">
        <v>3.9319999999999999</v>
      </c>
      <c r="G1869">
        <v>3.806</v>
      </c>
      <c r="H1869">
        <v>3.722</v>
      </c>
      <c r="I1869">
        <v>3.718</v>
      </c>
      <c r="J1869">
        <v>30.239000000000001</v>
      </c>
      <c r="K1869">
        <v>21.2</v>
      </c>
      <c r="L1869">
        <v>-0.97699999999999998</v>
      </c>
    </row>
    <row r="1870" spans="1:12" x14ac:dyDescent="0.25">
      <c r="A1870">
        <v>508377</v>
      </c>
      <c r="B1870">
        <v>3.8069999999999999</v>
      </c>
      <c r="C1870">
        <v>3.8119999999999998</v>
      </c>
      <c r="D1870">
        <v>3.762</v>
      </c>
      <c r="E1870">
        <v>3.68</v>
      </c>
      <c r="F1870">
        <v>3.9319999999999999</v>
      </c>
      <c r="G1870">
        <v>3.806</v>
      </c>
      <c r="H1870">
        <v>3.722</v>
      </c>
      <c r="I1870">
        <v>3.718</v>
      </c>
      <c r="J1870">
        <v>30.239000000000001</v>
      </c>
      <c r="K1870">
        <v>21.2</v>
      </c>
      <c r="L1870">
        <v>-0.97599999999999998</v>
      </c>
    </row>
    <row r="1871" spans="1:12" x14ac:dyDescent="0.25">
      <c r="A1871">
        <v>513383</v>
      </c>
      <c r="B1871">
        <v>3.8029999999999999</v>
      </c>
      <c r="C1871">
        <v>3.8170000000000002</v>
      </c>
      <c r="D1871">
        <v>3.762</v>
      </c>
      <c r="E1871">
        <v>3.68</v>
      </c>
      <c r="F1871">
        <v>3.9409999999999998</v>
      </c>
      <c r="G1871">
        <v>3.7789999999999999</v>
      </c>
      <c r="H1871">
        <v>3.722</v>
      </c>
      <c r="I1871">
        <v>3.6789999999999998</v>
      </c>
      <c r="J1871">
        <v>30.183</v>
      </c>
      <c r="K1871">
        <v>21.2</v>
      </c>
      <c r="L1871">
        <v>-0.96799999999999997</v>
      </c>
    </row>
    <row r="1872" spans="1:12" x14ac:dyDescent="0.25">
      <c r="A1872">
        <v>518390</v>
      </c>
      <c r="B1872">
        <v>3.8029999999999999</v>
      </c>
      <c r="C1872">
        <v>3.8170000000000002</v>
      </c>
      <c r="D1872">
        <v>3.762</v>
      </c>
      <c r="E1872">
        <v>3.68</v>
      </c>
      <c r="F1872">
        <v>3.9590000000000001</v>
      </c>
      <c r="G1872">
        <v>3.7789999999999999</v>
      </c>
      <c r="H1872">
        <v>3.722</v>
      </c>
      <c r="I1872">
        <v>3.718</v>
      </c>
      <c r="J1872">
        <v>30.24</v>
      </c>
      <c r="K1872">
        <v>21.2</v>
      </c>
      <c r="L1872">
        <v>-0.97099999999999997</v>
      </c>
    </row>
    <row r="1873" spans="1:12" x14ac:dyDescent="0.25">
      <c r="A1873">
        <v>523398</v>
      </c>
      <c r="B1873">
        <v>5</v>
      </c>
      <c r="C1873">
        <v>4.032</v>
      </c>
      <c r="D1873">
        <v>5.8369999999999997</v>
      </c>
      <c r="E1873">
        <v>3.407</v>
      </c>
      <c r="F1873">
        <v>14.260999999999999</v>
      </c>
      <c r="G1873">
        <v>-6.367</v>
      </c>
      <c r="H1873">
        <v>2.6230000000000002</v>
      </c>
      <c r="I1873">
        <v>9.0419999999999998</v>
      </c>
      <c r="J1873">
        <v>37.835000000000001</v>
      </c>
      <c r="K1873">
        <v>24</v>
      </c>
      <c r="L1873">
        <v>-2.1999999999999999E-2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Charger Efficiency</vt:lpstr>
      <vt:lpstr>Charing Profile</vt:lpstr>
      <vt:lpstr>Voltage Reading Accuracy</vt:lpstr>
      <vt:lpstr>Current Reading Accuracy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THAMER ABDULRAHMAN SAMKARI</cp:lastModifiedBy>
  <cp:revision/>
  <dcterms:created xsi:type="dcterms:W3CDTF">2025-11-25T20:10:24Z</dcterms:created>
  <dcterms:modified xsi:type="dcterms:W3CDTF">2025-11-26T16:17:35Z</dcterms:modified>
  <cp:category/>
  <cp:contentStatus/>
</cp:coreProperties>
</file>